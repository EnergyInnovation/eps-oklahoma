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OK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296</v>
      </c>
      <c r="C4" t="inlineStr">
        <is>
          <t>Alfalfa Electric Coop, Inc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OK</t>
        </is>
      </c>
      <c r="H4" t="inlineStr">
        <is>
          <t>Cooperative</t>
        </is>
      </c>
      <c r="I4" t="inlineStr">
        <is>
          <t>SWPP</t>
        </is>
      </c>
      <c r="J4" t="n">
        <v>5044</v>
      </c>
      <c r="K4" t="n">
        <v>49434</v>
      </c>
      <c r="L4" t="n">
        <v>2630</v>
      </c>
      <c r="M4" t="n">
        <v>5371</v>
      </c>
      <c r="N4" t="n">
        <v>37743</v>
      </c>
      <c r="O4" t="n">
        <v>4294</v>
      </c>
      <c r="P4" t="n">
        <v>23807</v>
      </c>
      <c r="Q4" t="n">
        <v>301906</v>
      </c>
      <c r="R4" t="n">
        <v>612</v>
      </c>
      <c r="S4" t="inlineStr">
        <is>
          <t>.</t>
        </is>
      </c>
      <c r="T4" t="inlineStr">
        <is>
          <t>.</t>
        </is>
      </c>
      <c r="U4" t="inlineStr">
        <is>
          <t>.</t>
        </is>
      </c>
      <c r="V4" t="n">
        <v>34222</v>
      </c>
      <c r="W4" t="n">
        <v>389083</v>
      </c>
      <c r="X4" t="n">
        <v>7536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416</v>
      </c>
      <c r="C5" t="inlineStr">
        <is>
          <t>City of Altus - (OK)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OK</t>
        </is>
      </c>
      <c r="H5" t="inlineStr">
        <is>
          <t>Municipal</t>
        </is>
      </c>
      <c r="I5" t="inlineStr">
        <is>
          <t>SWPP</t>
        </is>
      </c>
      <c r="J5" t="n">
        <v>13567</v>
      </c>
      <c r="K5" t="n">
        <v>104947</v>
      </c>
      <c r="L5" t="n">
        <v>8167</v>
      </c>
      <c r="M5" t="n">
        <v>6814</v>
      </c>
      <c r="N5" t="n">
        <v>64630</v>
      </c>
      <c r="O5" t="n">
        <v>1268</v>
      </c>
      <c r="P5" t="n">
        <v>3079</v>
      </c>
      <c r="Q5" t="n">
        <v>39809</v>
      </c>
      <c r="R5" t="n">
        <v>8</v>
      </c>
      <c r="S5" t="inlineStr">
        <is>
          <t>.</t>
        </is>
      </c>
      <c r="T5" t="inlineStr">
        <is>
          <t>.</t>
        </is>
      </c>
      <c r="U5" t="inlineStr">
        <is>
          <t>.</t>
        </is>
      </c>
      <c r="V5" t="n">
        <v>23460</v>
      </c>
      <c r="W5" t="n">
        <v>209386</v>
      </c>
      <c r="X5" t="n">
        <v>9443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817</v>
      </c>
      <c r="C6" t="inlineStr">
        <is>
          <t>Arkansas Valley Elec Coop Corp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OK</t>
        </is>
      </c>
      <c r="H6" t="inlineStr">
        <is>
          <t>Cooperative</t>
        </is>
      </c>
      <c r="I6" t="inlineStr">
        <is>
          <t>SWPP</t>
        </is>
      </c>
      <c r="J6" t="n">
        <v>7630.9</v>
      </c>
      <c r="K6" t="n">
        <v>57453</v>
      </c>
      <c r="L6" t="n">
        <v>4250</v>
      </c>
      <c r="M6" t="n">
        <v>3405.6</v>
      </c>
      <c r="N6" t="n">
        <v>31479</v>
      </c>
      <c r="O6" t="n">
        <v>516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11036.5</v>
      </c>
      <c r="W6" t="n">
        <v>88932</v>
      </c>
      <c r="X6" t="n">
        <v>4766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2911</v>
      </c>
      <c r="C7" t="inlineStr">
        <is>
          <t>Canadian Valley Elec Coop, Inc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OK</t>
        </is>
      </c>
      <c r="H7" t="inlineStr">
        <is>
          <t>Cooperative</t>
        </is>
      </c>
      <c r="I7" t="inlineStr">
        <is>
          <t>SWPP</t>
        </is>
      </c>
      <c r="J7" t="n">
        <v>44985.1</v>
      </c>
      <c r="K7" t="n">
        <v>377977</v>
      </c>
      <c r="L7" t="n">
        <v>24605</v>
      </c>
      <c r="M7" t="n">
        <v>21560.1</v>
      </c>
      <c r="N7" t="n">
        <v>216425</v>
      </c>
      <c r="O7" t="n">
        <v>2745</v>
      </c>
      <c r="P7" t="n">
        <v>13420.1</v>
      </c>
      <c r="Q7" t="n">
        <v>223000</v>
      </c>
      <c r="R7" t="n">
        <v>11</v>
      </c>
      <c r="S7" t="inlineStr">
        <is>
          <t>.</t>
        </is>
      </c>
      <c r="T7" t="inlineStr">
        <is>
          <t>.</t>
        </is>
      </c>
      <c r="U7" t="inlineStr">
        <is>
          <t>.</t>
        </is>
      </c>
      <c r="V7" t="n">
        <v>79965.3</v>
      </c>
      <c r="W7" t="n">
        <v>817402</v>
      </c>
      <c r="X7" t="n">
        <v>27361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3226</v>
      </c>
      <c r="C8" t="inlineStr">
        <is>
          <t>Central Rural Electric Cooperative, Inc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OK</t>
        </is>
      </c>
      <c r="H8" t="inlineStr">
        <is>
          <t>Cooperative</t>
        </is>
      </c>
      <c r="I8" t="inlineStr">
        <is>
          <t>AECI</t>
        </is>
      </c>
      <c r="J8" t="n">
        <v>41022.6</v>
      </c>
      <c r="K8" t="n">
        <v>354953</v>
      </c>
      <c r="L8" t="n">
        <v>19650</v>
      </c>
      <c r="M8" t="n">
        <v>27309.2</v>
      </c>
      <c r="N8" t="n">
        <v>247180</v>
      </c>
      <c r="O8" t="n">
        <v>4948</v>
      </c>
      <c r="P8" t="n">
        <v>1469.8</v>
      </c>
      <c r="Q8" t="n">
        <v>12052</v>
      </c>
      <c r="R8" t="n">
        <v>4</v>
      </c>
      <c r="S8" t="inlineStr">
        <is>
          <t>.</t>
        </is>
      </c>
      <c r="T8" t="inlineStr">
        <is>
          <t>.</t>
        </is>
      </c>
      <c r="U8" t="inlineStr">
        <is>
          <t>.</t>
        </is>
      </c>
      <c r="V8" t="n">
        <v>69801.60000000001</v>
      </c>
      <c r="W8" t="n">
        <v>614185</v>
      </c>
      <c r="X8" t="n">
        <v>24602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3478</v>
      </c>
      <c r="C9" t="inlineStr">
        <is>
          <t>Cimarron Electric Coop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OK</t>
        </is>
      </c>
      <c r="H9" t="inlineStr">
        <is>
          <t>Cooperative</t>
        </is>
      </c>
      <c r="I9" t="inlineStr">
        <is>
          <t>SWPP</t>
        </is>
      </c>
      <c r="J9" t="n">
        <v>21038</v>
      </c>
      <c r="K9" t="n">
        <v>177210</v>
      </c>
      <c r="L9" t="n">
        <v>15258</v>
      </c>
      <c r="M9" t="n">
        <v>41337</v>
      </c>
      <c r="N9" t="n">
        <v>383554</v>
      </c>
      <c r="O9" t="n">
        <v>4321</v>
      </c>
      <c r="P9" t="n">
        <v>11162</v>
      </c>
      <c r="Q9" t="n">
        <v>177170</v>
      </c>
      <c r="R9" t="n">
        <v>13</v>
      </c>
      <c r="S9" t="inlineStr">
        <is>
          <t>.</t>
        </is>
      </c>
      <c r="T9" t="inlineStr">
        <is>
          <t>.</t>
        </is>
      </c>
      <c r="U9" t="inlineStr">
        <is>
          <t>.</t>
        </is>
      </c>
      <c r="V9" t="n">
        <v>73537</v>
      </c>
      <c r="W9" t="n">
        <v>737934</v>
      </c>
      <c r="X9" t="n">
        <v>19592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3527</v>
      </c>
      <c r="C10" t="inlineStr">
        <is>
          <t>Choctaw Electric Coop Inc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OK</t>
        </is>
      </c>
      <c r="H10" t="inlineStr">
        <is>
          <t>Cooperative</t>
        </is>
      </c>
      <c r="I10" t="inlineStr">
        <is>
          <t>SWPP</t>
        </is>
      </c>
      <c r="J10" t="n">
        <v>40176</v>
      </c>
      <c r="K10" t="n">
        <v>304160</v>
      </c>
      <c r="L10" t="n">
        <v>21483</v>
      </c>
      <c r="M10" t="n">
        <v>9055</v>
      </c>
      <c r="N10" t="n">
        <v>110863</v>
      </c>
      <c r="O10" t="n">
        <v>315</v>
      </c>
      <c r="P10" t="n">
        <v>5917</v>
      </c>
      <c r="Q10" t="n">
        <v>106593</v>
      </c>
      <c r="R10" t="n">
        <v>2</v>
      </c>
      <c r="S10" t="inlineStr">
        <is>
          <t>.</t>
        </is>
      </c>
      <c r="T10" t="inlineStr">
        <is>
          <t>.</t>
        </is>
      </c>
      <c r="U10" t="inlineStr">
        <is>
          <t>.</t>
        </is>
      </c>
      <c r="V10" t="n">
        <v>55148</v>
      </c>
      <c r="W10" t="n">
        <v>521616</v>
      </c>
      <c r="X10" t="n">
        <v>21800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3647</v>
      </c>
      <c r="C11" t="inlineStr">
        <is>
          <t>City of Claremore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OK</t>
        </is>
      </c>
      <c r="H11" t="inlineStr">
        <is>
          <t>Municipal</t>
        </is>
      </c>
      <c r="I11" t="inlineStr">
        <is>
          <t>SWPP</t>
        </is>
      </c>
      <c r="J11" t="n">
        <v>17927</v>
      </c>
      <c r="K11" t="n">
        <v>135426</v>
      </c>
      <c r="L11" t="n">
        <v>11855</v>
      </c>
      <c r="M11" t="n">
        <v>4390</v>
      </c>
      <c r="N11" t="n">
        <v>31396</v>
      </c>
      <c r="O11" t="n">
        <v>1335</v>
      </c>
      <c r="P11" t="n">
        <v>11180</v>
      </c>
      <c r="Q11" t="n">
        <v>116626</v>
      </c>
      <c r="R11" t="n">
        <v>137</v>
      </c>
      <c r="S11" t="inlineStr">
        <is>
          <t>.</t>
        </is>
      </c>
      <c r="T11" t="inlineStr">
        <is>
          <t>.</t>
        </is>
      </c>
      <c r="U11" t="inlineStr">
        <is>
          <t>.</t>
        </is>
      </c>
      <c r="V11" t="n">
        <v>33497</v>
      </c>
      <c r="W11" t="n">
        <v>283448</v>
      </c>
      <c r="X11" t="n">
        <v>13327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4296</v>
      </c>
      <c r="C12" t="inlineStr">
        <is>
          <t>Cookson Hills Elec Coop, Inc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OK</t>
        </is>
      </c>
      <c r="H12" t="inlineStr">
        <is>
          <t>Cooperative</t>
        </is>
      </c>
      <c r="I12" t="inlineStr">
        <is>
          <t>AECI</t>
        </is>
      </c>
      <c r="J12" t="n">
        <v>34586.6</v>
      </c>
      <c r="K12" t="n">
        <v>243938</v>
      </c>
      <c r="L12" t="n">
        <v>17551</v>
      </c>
      <c r="M12" t="n">
        <v>4236</v>
      </c>
      <c r="N12" t="n">
        <v>35111</v>
      </c>
      <c r="O12" t="n">
        <v>1390</v>
      </c>
      <c r="P12" t="n">
        <v>3758.1</v>
      </c>
      <c r="Q12" t="n">
        <v>37394</v>
      </c>
      <c r="R12" t="n">
        <v>112</v>
      </c>
      <c r="S12" t="inlineStr">
        <is>
          <t>.</t>
        </is>
      </c>
      <c r="T12" t="inlineStr">
        <is>
          <t>.</t>
        </is>
      </c>
      <c r="U12" t="inlineStr">
        <is>
          <t>.</t>
        </is>
      </c>
      <c r="V12" t="n">
        <v>42580.7</v>
      </c>
      <c r="W12" t="n">
        <v>316443</v>
      </c>
      <c r="X12" t="n">
        <v>19053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4401</v>
      </c>
      <c r="C13" t="inlineStr">
        <is>
          <t>Cotton Electric Coop, Inc</t>
        </is>
      </c>
      <c r="D13" t="inlineStr">
        <is>
          <t>A</t>
        </is>
      </c>
      <c r="E13" t="inlineStr">
        <is>
          <t>Bundled</t>
        </is>
      </c>
      <c r="F13" t="inlineStr">
        <is>
          <t>O</t>
        </is>
      </c>
      <c r="G13" t="inlineStr">
        <is>
          <t>OK</t>
        </is>
      </c>
      <c r="H13" t="inlineStr">
        <is>
          <t>Cooperative</t>
        </is>
      </c>
      <c r="I13" t="inlineStr">
        <is>
          <t>SWPP</t>
        </is>
      </c>
      <c r="J13" t="n">
        <v>36617.3</v>
      </c>
      <c r="K13" t="n">
        <v>308792</v>
      </c>
      <c r="L13" t="n">
        <v>19696</v>
      </c>
      <c r="M13" t="n">
        <v>20718.4</v>
      </c>
      <c r="N13" t="n">
        <v>205491</v>
      </c>
      <c r="O13" t="n">
        <v>4019</v>
      </c>
      <c r="P13" t="n">
        <v>21899.5</v>
      </c>
      <c r="Q13" t="n">
        <v>348631</v>
      </c>
      <c r="R13" t="n">
        <v>29</v>
      </c>
      <c r="S13" t="n">
        <v>0</v>
      </c>
      <c r="T13" t="n">
        <v>0</v>
      </c>
      <c r="U13" t="n">
        <v>0</v>
      </c>
      <c r="V13" t="n">
        <v>79235.2</v>
      </c>
      <c r="W13" t="n">
        <v>862914</v>
      </c>
      <c r="X13" t="n">
        <v>23744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5598</v>
      </c>
      <c r="C14" t="inlineStr">
        <is>
          <t>East Central Oklahoma Elec Coop Inc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OK</t>
        </is>
      </c>
      <c r="H14" t="inlineStr">
        <is>
          <t>Cooperative</t>
        </is>
      </c>
      <c r="I14" t="inlineStr">
        <is>
          <t>AECI</t>
        </is>
      </c>
      <c r="J14" t="n">
        <v>54724</v>
      </c>
      <c r="K14" t="n">
        <v>456285</v>
      </c>
      <c r="L14" t="n">
        <v>33358</v>
      </c>
      <c r="M14" t="n">
        <v>19663</v>
      </c>
      <c r="N14" t="n">
        <v>203584</v>
      </c>
      <c r="O14" t="n">
        <v>4081</v>
      </c>
      <c r="P14" t="inlineStr">
        <is>
          <t>.</t>
        </is>
      </c>
      <c r="Q14" t="inlineStr">
        <is>
          <t>.</t>
        </is>
      </c>
      <c r="R14" t="inlineStr">
        <is>
          <t>.</t>
        </is>
      </c>
      <c r="S14" t="inlineStr">
        <is>
          <t>.</t>
        </is>
      </c>
      <c r="T14" t="inlineStr">
        <is>
          <t>.</t>
        </is>
      </c>
      <c r="U14" t="inlineStr">
        <is>
          <t>.</t>
        </is>
      </c>
      <c r="V14" t="n">
        <v>74387</v>
      </c>
      <c r="W14" t="n">
        <v>659869</v>
      </c>
      <c r="X14" t="n">
        <v>37439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5661</v>
      </c>
      <c r="C15" t="inlineStr">
        <is>
          <t>City of Edmond - (OK)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OK</t>
        </is>
      </c>
      <c r="H15" t="inlineStr">
        <is>
          <t>Municipal</t>
        </is>
      </c>
      <c r="I15" t="inlineStr">
        <is>
          <t>SWPP</t>
        </is>
      </c>
      <c r="J15" t="n">
        <v>60235.5</v>
      </c>
      <c r="K15" t="n">
        <v>536722</v>
      </c>
      <c r="L15" t="n">
        <v>39532</v>
      </c>
      <c r="M15" t="n">
        <v>40232.8</v>
      </c>
      <c r="N15" t="n">
        <v>389655</v>
      </c>
      <c r="O15" t="n">
        <v>4929</v>
      </c>
      <c r="P15" t="inlineStr">
        <is>
          <t>.</t>
        </is>
      </c>
      <c r="Q15" t="inlineStr">
        <is>
          <t>.</t>
        </is>
      </c>
      <c r="R15" t="inlineStr">
        <is>
          <t>.</t>
        </is>
      </c>
      <c r="S15" t="inlineStr">
        <is>
          <t>.</t>
        </is>
      </c>
      <c r="T15" t="inlineStr">
        <is>
          <t>.</t>
        </is>
      </c>
      <c r="U15" t="inlineStr">
        <is>
          <t>.</t>
        </is>
      </c>
      <c r="V15" t="n">
        <v>100468.3</v>
      </c>
      <c r="W15" t="n">
        <v>926377</v>
      </c>
      <c r="X15" t="n">
        <v>44461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5860</v>
      </c>
      <c r="C16" t="inlineStr">
        <is>
          <t>Empire District Electric Co</t>
        </is>
      </c>
      <c r="D16" t="inlineStr">
        <is>
          <t>A</t>
        </is>
      </c>
      <c r="E16" t="inlineStr">
        <is>
          <t>Bundled</t>
        </is>
      </c>
      <c r="F16" t="inlineStr">
        <is>
          <t>O</t>
        </is>
      </c>
      <c r="G16" t="inlineStr">
        <is>
          <t>OK</t>
        </is>
      </c>
      <c r="H16" t="inlineStr">
        <is>
          <t>Investor Owned</t>
        </is>
      </c>
      <c r="I16" t="inlineStr">
        <is>
          <t>SWPP</t>
        </is>
      </c>
      <c r="J16" t="n">
        <v>7101.5</v>
      </c>
      <c r="K16" t="n">
        <v>48606</v>
      </c>
      <c r="L16" t="n">
        <v>3901</v>
      </c>
      <c r="M16" t="n">
        <v>6206.2</v>
      </c>
      <c r="N16" t="n">
        <v>38313</v>
      </c>
      <c r="O16" t="n">
        <v>960</v>
      </c>
      <c r="P16" t="n">
        <v>6529.5</v>
      </c>
      <c r="Q16" t="n">
        <v>67089</v>
      </c>
      <c r="R16" t="n">
        <v>9</v>
      </c>
      <c r="S16" t="inlineStr">
        <is>
          <t>.</t>
        </is>
      </c>
      <c r="T16" t="inlineStr">
        <is>
          <t>.</t>
        </is>
      </c>
      <c r="U16" t="inlineStr">
        <is>
          <t>.</t>
        </is>
      </c>
      <c r="V16" t="n">
        <v>19837.2</v>
      </c>
      <c r="W16" t="n">
        <v>154008</v>
      </c>
      <c r="X16" t="n">
        <v>4870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7490</v>
      </c>
      <c r="C17" t="inlineStr">
        <is>
          <t>Grand River Dam Authority</t>
        </is>
      </c>
      <c r="D17" t="inlineStr">
        <is>
          <t>A</t>
        </is>
      </c>
      <c r="E17" t="inlineStr">
        <is>
          <t>Bundled</t>
        </is>
      </c>
      <c r="F17" t="inlineStr">
        <is>
          <t>O</t>
        </is>
      </c>
      <c r="G17" t="inlineStr">
        <is>
          <t>OK</t>
        </is>
      </c>
      <c r="H17" t="inlineStr">
        <is>
          <t>State</t>
        </is>
      </c>
      <c r="I17" t="inlineStr">
        <is>
          <t>SWPP</t>
        </is>
      </c>
      <c r="J17" t="inlineStr">
        <is>
          <t>.</t>
        </is>
      </c>
      <c r="K17" t="inlineStr">
        <is>
          <t>.</t>
        </is>
      </c>
      <c r="L17" t="inlineStr">
        <is>
          <t>.</t>
        </is>
      </c>
      <c r="M17" t="n">
        <v>467.5</v>
      </c>
      <c r="N17" t="n">
        <v>5179</v>
      </c>
      <c r="O17" t="n">
        <v>46</v>
      </c>
      <c r="P17" t="n">
        <v>209567.2</v>
      </c>
      <c r="Q17" t="n">
        <v>4275283</v>
      </c>
      <c r="R17" t="n">
        <v>33</v>
      </c>
      <c r="S17" t="inlineStr">
        <is>
          <t>.</t>
        </is>
      </c>
      <c r="T17" t="inlineStr">
        <is>
          <t>.</t>
        </is>
      </c>
      <c r="U17" t="inlineStr">
        <is>
          <t>.</t>
        </is>
      </c>
      <c r="V17" t="n">
        <v>210034.7</v>
      </c>
      <c r="W17" t="n">
        <v>4280462</v>
      </c>
      <c r="X17" t="n">
        <v>79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9246</v>
      </c>
      <c r="C18" t="inlineStr">
        <is>
          <t>Indian Electric Coop, Inc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OK</t>
        </is>
      </c>
      <c r="H18" t="inlineStr">
        <is>
          <t>Cooperative</t>
        </is>
      </c>
      <c r="I18" t="inlineStr">
        <is>
          <t>SWPP</t>
        </is>
      </c>
      <c r="J18" t="n">
        <v>29143.4</v>
      </c>
      <c r="K18" t="n">
        <v>231896</v>
      </c>
      <c r="L18" t="n">
        <v>14839</v>
      </c>
      <c r="M18" t="n">
        <v>23342.5</v>
      </c>
      <c r="N18" t="n">
        <v>216997</v>
      </c>
      <c r="O18" t="n">
        <v>5655</v>
      </c>
      <c r="P18" t="n">
        <v>12100.6</v>
      </c>
      <c r="Q18" t="n">
        <v>176262</v>
      </c>
      <c r="R18" t="n">
        <v>11</v>
      </c>
      <c r="S18" t="inlineStr">
        <is>
          <t>.</t>
        </is>
      </c>
      <c r="T18" t="inlineStr">
        <is>
          <t>.</t>
        </is>
      </c>
      <c r="U18" t="inlineStr">
        <is>
          <t>.</t>
        </is>
      </c>
      <c r="V18" t="n">
        <v>64586.5</v>
      </c>
      <c r="W18" t="n">
        <v>625155</v>
      </c>
      <c r="X18" t="n">
        <v>20505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10012</v>
      </c>
      <c r="C19" t="inlineStr">
        <is>
          <t>Kay Electric Coop</t>
        </is>
      </c>
      <c r="D19" t="inlineStr">
        <is>
          <t>A</t>
        </is>
      </c>
      <c r="E19" t="inlineStr">
        <is>
          <t>Bundled</t>
        </is>
      </c>
      <c r="F19" t="inlineStr">
        <is>
          <t>O</t>
        </is>
      </c>
      <c r="G19" t="inlineStr">
        <is>
          <t>OK</t>
        </is>
      </c>
      <c r="H19" t="inlineStr">
        <is>
          <t>Cooperative</t>
        </is>
      </c>
      <c r="I19" t="inlineStr">
        <is>
          <t>SWPP</t>
        </is>
      </c>
      <c r="J19" t="n">
        <v>7459</v>
      </c>
      <c r="K19" t="n">
        <v>52805</v>
      </c>
      <c r="L19" t="n">
        <v>4371</v>
      </c>
      <c r="M19" t="n">
        <v>16305</v>
      </c>
      <c r="N19" t="n">
        <v>130493</v>
      </c>
      <c r="O19" t="n">
        <v>1521</v>
      </c>
      <c r="P19" t="n">
        <v>15761</v>
      </c>
      <c r="Q19" t="n">
        <v>250547</v>
      </c>
      <c r="R19" t="n">
        <v>7</v>
      </c>
      <c r="S19" t="n">
        <v>0</v>
      </c>
      <c r="T19" t="n">
        <v>0</v>
      </c>
      <c r="U19" t="n">
        <v>0</v>
      </c>
      <c r="V19" t="n">
        <v>39525</v>
      </c>
      <c r="W19" t="n">
        <v>433845</v>
      </c>
      <c r="X19" t="n">
        <v>5899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10170</v>
      </c>
      <c r="C20" t="inlineStr">
        <is>
          <t>Kiamichi Electric Coop, Inc</t>
        </is>
      </c>
      <c r="D20" t="inlineStr">
        <is>
          <t>A</t>
        </is>
      </c>
      <c r="E20" t="inlineStr">
        <is>
          <t>Bundled</t>
        </is>
      </c>
      <c r="F20" t="inlineStr">
        <is>
          <t>O</t>
        </is>
      </c>
      <c r="G20" t="inlineStr">
        <is>
          <t>OK</t>
        </is>
      </c>
      <c r="H20" t="inlineStr">
        <is>
          <t>Cooperative</t>
        </is>
      </c>
      <c r="I20" t="inlineStr">
        <is>
          <t>AECI</t>
        </is>
      </c>
      <c r="J20" t="n">
        <v>35266</v>
      </c>
      <c r="K20" t="n">
        <v>273463</v>
      </c>
      <c r="L20" t="n">
        <v>18685</v>
      </c>
      <c r="M20" t="n">
        <v>9157</v>
      </c>
      <c r="N20" t="n">
        <v>73838</v>
      </c>
      <c r="O20" t="n">
        <v>1835</v>
      </c>
      <c r="P20" t="n">
        <v>3697</v>
      </c>
      <c r="Q20" t="n">
        <v>44218</v>
      </c>
      <c r="R20" t="n">
        <v>12</v>
      </c>
      <c r="S20" t="inlineStr">
        <is>
          <t>.</t>
        </is>
      </c>
      <c r="T20" t="inlineStr">
        <is>
          <t>.</t>
        </is>
      </c>
      <c r="U20" t="inlineStr">
        <is>
          <t>.</t>
        </is>
      </c>
      <c r="V20" t="n">
        <v>48120</v>
      </c>
      <c r="W20" t="n">
        <v>391519</v>
      </c>
      <c r="X20" t="n">
        <v>20532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10599</v>
      </c>
      <c r="C21" t="inlineStr">
        <is>
          <t>Lake Region Electric Coop, Inc - (OK)</t>
        </is>
      </c>
      <c r="D21" t="inlineStr">
        <is>
          <t>A</t>
        </is>
      </c>
      <c r="E21" t="inlineStr">
        <is>
          <t>Bundled</t>
        </is>
      </c>
      <c r="F21" t="inlineStr">
        <is>
          <t>O</t>
        </is>
      </c>
      <c r="G21" t="inlineStr">
        <is>
          <t>OK</t>
        </is>
      </c>
      <c r="H21" t="inlineStr">
        <is>
          <t>Cooperative</t>
        </is>
      </c>
      <c r="I21" t="inlineStr">
        <is>
          <t>AECI</t>
        </is>
      </c>
      <c r="J21" t="n">
        <v>41920</v>
      </c>
      <c r="K21" t="n">
        <v>348681</v>
      </c>
      <c r="L21" t="n">
        <v>24788</v>
      </c>
      <c r="M21" t="n">
        <v>3992</v>
      </c>
      <c r="N21" t="n">
        <v>35232</v>
      </c>
      <c r="O21" t="n">
        <v>1497</v>
      </c>
      <c r="P21" t="n">
        <v>7122</v>
      </c>
      <c r="Q21" t="n">
        <v>77152</v>
      </c>
      <c r="R21" t="n">
        <v>196</v>
      </c>
      <c r="S21" t="inlineStr">
        <is>
          <t>.</t>
        </is>
      </c>
      <c r="T21" t="inlineStr">
        <is>
          <t>.</t>
        </is>
      </c>
      <c r="U21" t="inlineStr">
        <is>
          <t>.</t>
        </is>
      </c>
      <c r="V21" t="n">
        <v>53034</v>
      </c>
      <c r="W21" t="n">
        <v>461065</v>
      </c>
      <c r="X21" t="n">
        <v>26481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13734</v>
      </c>
      <c r="C22" t="inlineStr">
        <is>
          <t>Northeast Oklahoma Electric Co</t>
        </is>
      </c>
      <c r="D22" t="inlineStr">
        <is>
          <t>A</t>
        </is>
      </c>
      <c r="E22" t="inlineStr">
        <is>
          <t>Bundled</t>
        </is>
      </c>
      <c r="F22" t="inlineStr">
        <is>
          <t>O</t>
        </is>
      </c>
      <c r="G22" t="inlineStr">
        <is>
          <t>OK</t>
        </is>
      </c>
      <c r="H22" t="inlineStr">
        <is>
          <t>Cooperative</t>
        </is>
      </c>
      <c r="I22" t="inlineStr">
        <is>
          <t>SWPP</t>
        </is>
      </c>
      <c r="J22" t="n">
        <v>65472</v>
      </c>
      <c r="K22" t="n">
        <v>509520</v>
      </c>
      <c r="L22" t="n">
        <v>37871</v>
      </c>
      <c r="M22" t="n">
        <v>22755</v>
      </c>
      <c r="N22" t="n">
        <v>203758</v>
      </c>
      <c r="O22" t="n">
        <v>4113</v>
      </c>
      <c r="P22" t="n">
        <v>2849</v>
      </c>
      <c r="Q22" t="n">
        <v>33613</v>
      </c>
      <c r="R22" t="n">
        <v>11</v>
      </c>
      <c r="S22" t="n">
        <v>0</v>
      </c>
      <c r="T22" t="n">
        <v>0</v>
      </c>
      <c r="U22" t="n">
        <v>0</v>
      </c>
      <c r="V22" t="n">
        <v>91076</v>
      </c>
      <c r="W22" t="n">
        <v>746891</v>
      </c>
      <c r="X22" t="n">
        <v>41995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13807</v>
      </c>
      <c r="C23" t="inlineStr">
        <is>
          <t>Northwestern Electric Coop Inc - (OK)</t>
        </is>
      </c>
      <c r="D23" t="inlineStr">
        <is>
          <t>A</t>
        </is>
      </c>
      <c r="E23" t="inlineStr">
        <is>
          <t>Bundled</t>
        </is>
      </c>
      <c r="F23" t="inlineStr">
        <is>
          <t>O</t>
        </is>
      </c>
      <c r="G23" t="inlineStr">
        <is>
          <t>OK</t>
        </is>
      </c>
      <c r="H23" t="inlineStr">
        <is>
          <t>Cooperative</t>
        </is>
      </c>
      <c r="I23" t="inlineStr">
        <is>
          <t>SWPP</t>
        </is>
      </c>
      <c r="J23" t="n">
        <v>16273</v>
      </c>
      <c r="K23" t="n">
        <v>106464</v>
      </c>
      <c r="L23" t="n">
        <v>9620</v>
      </c>
      <c r="M23" t="n">
        <v>13614</v>
      </c>
      <c r="N23" t="n">
        <v>109967</v>
      </c>
      <c r="O23" t="n">
        <v>2335</v>
      </c>
      <c r="P23" t="n">
        <v>8957</v>
      </c>
      <c r="Q23" t="n">
        <v>132140</v>
      </c>
      <c r="R23" t="n">
        <v>11</v>
      </c>
      <c r="S23" t="inlineStr">
        <is>
          <t>.</t>
        </is>
      </c>
      <c r="T23" t="inlineStr">
        <is>
          <t>.</t>
        </is>
      </c>
      <c r="U23" t="inlineStr">
        <is>
          <t>.</t>
        </is>
      </c>
      <c r="V23" t="n">
        <v>38844</v>
      </c>
      <c r="W23" t="n">
        <v>348571</v>
      </c>
      <c r="X23" t="n">
        <v>11966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14062</v>
      </c>
      <c r="C24" t="inlineStr">
        <is>
          <t>Oklahoma Electric Coop Inc</t>
        </is>
      </c>
      <c r="D24" t="inlineStr">
        <is>
          <t>A</t>
        </is>
      </c>
      <c r="E24" t="inlineStr">
        <is>
          <t>Bundled</t>
        </is>
      </c>
      <c r="F24" t="inlineStr">
        <is>
          <t>O</t>
        </is>
      </c>
      <c r="G24" t="inlineStr">
        <is>
          <t>OK</t>
        </is>
      </c>
      <c r="H24" t="inlineStr">
        <is>
          <t>Cooperative</t>
        </is>
      </c>
      <c r="I24" t="inlineStr">
        <is>
          <t>SWPP</t>
        </is>
      </c>
      <c r="J24" t="n">
        <v>108658</v>
      </c>
      <c r="K24" t="n">
        <v>886736</v>
      </c>
      <c r="L24" t="n">
        <v>58544</v>
      </c>
      <c r="M24" t="n">
        <v>36010</v>
      </c>
      <c r="N24" t="n">
        <v>312684</v>
      </c>
      <c r="O24" t="n">
        <v>5523</v>
      </c>
      <c r="P24" t="n">
        <v>19172</v>
      </c>
      <c r="Q24" t="n">
        <v>336865</v>
      </c>
      <c r="R24" t="n">
        <v>141</v>
      </c>
      <c r="S24" t="inlineStr">
        <is>
          <t>.</t>
        </is>
      </c>
      <c r="T24" t="inlineStr">
        <is>
          <t>.</t>
        </is>
      </c>
      <c r="U24" t="inlineStr">
        <is>
          <t>.</t>
        </is>
      </c>
      <c r="V24" t="n">
        <v>163840</v>
      </c>
      <c r="W24" t="n">
        <v>1536285</v>
      </c>
      <c r="X24" t="n">
        <v>64208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14063</v>
      </c>
      <c r="C25" t="inlineStr">
        <is>
          <t>Oklahoma Gas &amp; Electric Co</t>
        </is>
      </c>
      <c r="D25" t="inlineStr">
        <is>
          <t>A</t>
        </is>
      </c>
      <c r="E25" t="inlineStr">
        <is>
          <t>Bundled</t>
        </is>
      </c>
      <c r="F25" t="inlineStr">
        <is>
          <t>O</t>
        </is>
      </c>
      <c r="G25" t="inlineStr">
        <is>
          <t>OK</t>
        </is>
      </c>
      <c r="H25" t="inlineStr">
        <is>
          <t>Investor Owned</t>
        </is>
      </c>
      <c r="I25" t="inlineStr">
        <is>
          <t>SWPP</t>
        </is>
      </c>
      <c r="J25" t="n">
        <v>1068353.4</v>
      </c>
      <c r="K25" t="n">
        <v>9067611</v>
      </c>
      <c r="L25" t="n">
        <v>710123</v>
      </c>
      <c r="M25" t="n">
        <v>1022448.8</v>
      </c>
      <c r="N25" t="n">
        <v>12782432</v>
      </c>
      <c r="O25" t="n">
        <v>113936</v>
      </c>
      <c r="P25" t="n">
        <v>411746.8</v>
      </c>
      <c r="Q25" t="n">
        <v>7534932</v>
      </c>
      <c r="R25" t="n">
        <v>8662</v>
      </c>
      <c r="S25" t="n">
        <v>0</v>
      </c>
      <c r="T25" t="n">
        <v>0</v>
      </c>
      <c r="U25" t="n">
        <v>0</v>
      </c>
      <c r="V25" t="n">
        <v>2502549</v>
      </c>
      <c r="W25" t="n">
        <v>29384975</v>
      </c>
      <c r="X25" t="n">
        <v>832721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14289</v>
      </c>
      <c r="C26" t="inlineStr">
        <is>
          <t>Ozarks Electric Coop Corp - (AR)</t>
        </is>
      </c>
      <c r="D26" t="inlineStr">
        <is>
          <t>A</t>
        </is>
      </c>
      <c r="E26" t="inlineStr">
        <is>
          <t>Bundled</t>
        </is>
      </c>
      <c r="F26" t="inlineStr">
        <is>
          <t>O</t>
        </is>
      </c>
      <c r="G26" t="inlineStr">
        <is>
          <t>OK</t>
        </is>
      </c>
      <c r="H26" t="inlineStr">
        <is>
          <t>Cooperative</t>
        </is>
      </c>
      <c r="I26" t="inlineStr">
        <is>
          <t>SWPP</t>
        </is>
      </c>
      <c r="J26" t="n">
        <v>20407</v>
      </c>
      <c r="K26" t="n">
        <v>143757</v>
      </c>
      <c r="L26" t="n">
        <v>11783</v>
      </c>
      <c r="M26" t="n">
        <v>8146</v>
      </c>
      <c r="N26" t="n">
        <v>61965</v>
      </c>
      <c r="O26" t="n">
        <v>1101</v>
      </c>
      <c r="P26" t="n">
        <v>1186</v>
      </c>
      <c r="Q26" t="n">
        <v>9721</v>
      </c>
      <c r="R26" t="n">
        <v>6</v>
      </c>
      <c r="S26" t="inlineStr">
        <is>
          <t>.</t>
        </is>
      </c>
      <c r="T26" t="inlineStr">
        <is>
          <t>.</t>
        </is>
      </c>
      <c r="U26" t="inlineStr">
        <is>
          <t>.</t>
        </is>
      </c>
      <c r="V26" t="n">
        <v>29739</v>
      </c>
      <c r="W26" t="n">
        <v>215443</v>
      </c>
      <c r="X26" t="n">
        <v>12890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14775</v>
      </c>
      <c r="C27" t="inlineStr">
        <is>
          <t>People's Electric Cooperative</t>
        </is>
      </c>
      <c r="D27" t="inlineStr">
        <is>
          <t>A</t>
        </is>
      </c>
      <c r="E27" t="inlineStr">
        <is>
          <t>Bundled</t>
        </is>
      </c>
      <c r="F27" t="inlineStr">
        <is>
          <t>O</t>
        </is>
      </c>
      <c r="G27" t="inlineStr">
        <is>
          <t>OK</t>
        </is>
      </c>
      <c r="H27" t="inlineStr">
        <is>
          <t>Cooperative</t>
        </is>
      </c>
      <c r="I27" t="inlineStr">
        <is>
          <t>SWPP</t>
        </is>
      </c>
      <c r="J27" t="n">
        <v>29831.1</v>
      </c>
      <c r="K27" t="n">
        <v>238100</v>
      </c>
      <c r="L27" t="n">
        <v>14728</v>
      </c>
      <c r="M27" t="n">
        <v>32231.2</v>
      </c>
      <c r="N27" t="n">
        <v>232824</v>
      </c>
      <c r="O27" t="n">
        <v>8422</v>
      </c>
      <c r="P27" t="n">
        <v>22483.1</v>
      </c>
      <c r="Q27" t="n">
        <v>355260</v>
      </c>
      <c r="R27" t="n">
        <v>26</v>
      </c>
      <c r="S27" t="n">
        <v>0</v>
      </c>
      <c r="T27" t="n">
        <v>0</v>
      </c>
      <c r="U27" t="n">
        <v>0</v>
      </c>
      <c r="V27" t="n">
        <v>84545.39999999999</v>
      </c>
      <c r="W27" t="n">
        <v>826184</v>
      </c>
      <c r="X27" t="n">
        <v>23176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15202</v>
      </c>
      <c r="C28" t="inlineStr">
        <is>
          <t>City of Ponca City - (OK)</t>
        </is>
      </c>
      <c r="D28" t="inlineStr">
        <is>
          <t>A</t>
        </is>
      </c>
      <c r="E28" t="inlineStr">
        <is>
          <t>Bundled</t>
        </is>
      </c>
      <c r="F28" t="inlineStr">
        <is>
          <t>O</t>
        </is>
      </c>
      <c r="G28" t="inlineStr">
        <is>
          <t>OK</t>
        </is>
      </c>
      <c r="H28" t="inlineStr">
        <is>
          <t>Municipal</t>
        </is>
      </c>
      <c r="I28" t="inlineStr">
        <is>
          <t>SWPP</t>
        </is>
      </c>
      <c r="J28" t="n">
        <v>17853</v>
      </c>
      <c r="K28" t="n">
        <v>149695</v>
      </c>
      <c r="L28" t="n">
        <v>13790</v>
      </c>
      <c r="M28" t="n">
        <v>12845</v>
      </c>
      <c r="N28" t="n">
        <v>119862</v>
      </c>
      <c r="O28" t="n">
        <v>2068</v>
      </c>
      <c r="P28" t="n">
        <v>6593</v>
      </c>
      <c r="Q28" t="n">
        <v>76420</v>
      </c>
      <c r="R28" t="n">
        <v>18</v>
      </c>
      <c r="S28" t="inlineStr">
        <is>
          <t>.</t>
        </is>
      </c>
      <c r="T28" t="inlineStr">
        <is>
          <t>.</t>
        </is>
      </c>
      <c r="U28" t="inlineStr">
        <is>
          <t>.</t>
        </is>
      </c>
      <c r="V28" t="n">
        <v>37291</v>
      </c>
      <c r="W28" t="n">
        <v>345977</v>
      </c>
      <c r="X28" t="n">
        <v>15876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15474</v>
      </c>
      <c r="C29" t="inlineStr">
        <is>
          <t>Public Service Co of Oklahoma</t>
        </is>
      </c>
      <c r="D29" t="inlineStr">
        <is>
          <t>A</t>
        </is>
      </c>
      <c r="E29" t="inlineStr">
        <is>
          <t>Bundled</t>
        </is>
      </c>
      <c r="F29" t="inlineStr">
        <is>
          <t>O</t>
        </is>
      </c>
      <c r="G29" t="inlineStr">
        <is>
          <t>OK</t>
        </is>
      </c>
      <c r="H29" t="inlineStr">
        <is>
          <t>Investor Owned</t>
        </is>
      </c>
      <c r="I29" t="inlineStr">
        <is>
          <t>SWPP</t>
        </is>
      </c>
      <c r="J29" t="n">
        <v>800878.2</v>
      </c>
      <c r="K29" t="n">
        <v>6292790</v>
      </c>
      <c r="L29" t="n">
        <v>501093</v>
      </c>
      <c r="M29" t="n">
        <v>610771.9</v>
      </c>
      <c r="N29" t="n">
        <v>6952135</v>
      </c>
      <c r="O29" t="n">
        <v>67741</v>
      </c>
      <c r="P29" t="n">
        <v>349700.7</v>
      </c>
      <c r="Q29" t="n">
        <v>5882233</v>
      </c>
      <c r="R29" t="n">
        <v>5925</v>
      </c>
      <c r="S29" t="inlineStr">
        <is>
          <t>.</t>
        </is>
      </c>
      <c r="T29" t="inlineStr">
        <is>
          <t>.</t>
        </is>
      </c>
      <c r="U29" t="inlineStr">
        <is>
          <t>.</t>
        </is>
      </c>
      <c r="V29" t="n">
        <v>1761350.8</v>
      </c>
      <c r="W29" t="n">
        <v>19127158</v>
      </c>
      <c r="X29" t="n">
        <v>574759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15746</v>
      </c>
      <c r="C30" t="inlineStr">
        <is>
          <t>Red River Valley Rrl Elec Assn</t>
        </is>
      </c>
      <c r="D30" t="inlineStr">
        <is>
          <t>A</t>
        </is>
      </c>
      <c r="E30" t="inlineStr">
        <is>
          <t>Bundled</t>
        </is>
      </c>
      <c r="F30" t="inlineStr">
        <is>
          <t>O</t>
        </is>
      </c>
      <c r="G30" t="inlineStr">
        <is>
          <t>OK</t>
        </is>
      </c>
      <c r="H30" t="inlineStr">
        <is>
          <t>Cooperative</t>
        </is>
      </c>
      <c r="I30" t="inlineStr">
        <is>
          <t>SWPP</t>
        </is>
      </c>
      <c r="J30" t="n">
        <v>23536</v>
      </c>
      <c r="K30" t="n">
        <v>206750</v>
      </c>
      <c r="L30" t="n">
        <v>15852</v>
      </c>
      <c r="M30" t="n">
        <v>11258</v>
      </c>
      <c r="N30" t="n">
        <v>97721</v>
      </c>
      <c r="O30" t="n">
        <v>1910</v>
      </c>
      <c r="P30" t="n">
        <v>10873</v>
      </c>
      <c r="Q30" t="n">
        <v>174420</v>
      </c>
      <c r="R30" t="n">
        <v>4</v>
      </c>
      <c r="S30" t="inlineStr">
        <is>
          <t>.</t>
        </is>
      </c>
      <c r="T30" t="inlineStr">
        <is>
          <t>.</t>
        </is>
      </c>
      <c r="U30" t="inlineStr">
        <is>
          <t>.</t>
        </is>
      </c>
      <c r="V30" t="n">
        <v>45667</v>
      </c>
      <c r="W30" t="n">
        <v>478891</v>
      </c>
      <c r="X30" t="n">
        <v>17766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16382</v>
      </c>
      <c r="C31" t="inlineStr">
        <is>
          <t>Rural Electric Coop, Inc - (OK)</t>
        </is>
      </c>
      <c r="D31" t="inlineStr">
        <is>
          <t>A</t>
        </is>
      </c>
      <c r="E31" t="inlineStr">
        <is>
          <t>Bundled</t>
        </is>
      </c>
      <c r="F31" t="inlineStr">
        <is>
          <t>O</t>
        </is>
      </c>
      <c r="G31" t="inlineStr">
        <is>
          <t>OK</t>
        </is>
      </c>
      <c r="H31" t="inlineStr">
        <is>
          <t>Cooperative</t>
        </is>
      </c>
      <c r="I31" t="inlineStr">
        <is>
          <t>SWPP</t>
        </is>
      </c>
      <c r="J31" t="n">
        <v>14260.4</v>
      </c>
      <c r="K31" t="n">
        <v>125619</v>
      </c>
      <c r="L31" t="n">
        <v>9047</v>
      </c>
      <c r="M31" t="n">
        <v>31081</v>
      </c>
      <c r="N31" t="n">
        <v>313625</v>
      </c>
      <c r="O31" t="n">
        <v>3545</v>
      </c>
      <c r="P31" t="n">
        <v>10765.7</v>
      </c>
      <c r="Q31" t="n">
        <v>184254</v>
      </c>
      <c r="R31" t="n">
        <v>13</v>
      </c>
      <c r="S31" t="inlineStr">
        <is>
          <t>.</t>
        </is>
      </c>
      <c r="T31" t="inlineStr">
        <is>
          <t>.</t>
        </is>
      </c>
      <c r="U31" t="inlineStr">
        <is>
          <t>.</t>
        </is>
      </c>
      <c r="V31" t="n">
        <v>56107.1</v>
      </c>
      <c r="W31" t="n">
        <v>623498</v>
      </c>
      <c r="X31" t="n">
        <v>12605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17603</v>
      </c>
      <c r="C32" t="inlineStr">
        <is>
          <t>Southeastern Electric Coop Inc - (OK)</t>
        </is>
      </c>
      <c r="D32" t="inlineStr">
        <is>
          <t>A</t>
        </is>
      </c>
      <c r="E32" t="inlineStr">
        <is>
          <t>Bundled</t>
        </is>
      </c>
      <c r="F32" t="inlineStr">
        <is>
          <t>O</t>
        </is>
      </c>
      <c r="G32" t="inlineStr">
        <is>
          <t>OK</t>
        </is>
      </c>
      <c r="H32" t="inlineStr">
        <is>
          <t>Cooperative</t>
        </is>
      </c>
      <c r="I32" t="inlineStr">
        <is>
          <t>SWPP</t>
        </is>
      </c>
      <c r="J32" t="n">
        <v>20361</v>
      </c>
      <c r="K32" t="n">
        <v>224018</v>
      </c>
      <c r="L32" t="n">
        <v>15583</v>
      </c>
      <c r="M32" t="n">
        <v>4913.3</v>
      </c>
      <c r="N32" t="n">
        <v>40944</v>
      </c>
      <c r="O32" t="n">
        <v>1625</v>
      </c>
      <c r="P32" t="n">
        <v>10551</v>
      </c>
      <c r="Q32" t="n">
        <v>189454</v>
      </c>
      <c r="R32" t="n">
        <v>10</v>
      </c>
      <c r="S32" t="inlineStr">
        <is>
          <t>.</t>
        </is>
      </c>
      <c r="T32" t="inlineStr">
        <is>
          <t>.</t>
        </is>
      </c>
      <c r="U32" t="inlineStr">
        <is>
          <t>.</t>
        </is>
      </c>
      <c r="V32" t="n">
        <v>35825.3</v>
      </c>
      <c r="W32" t="n">
        <v>454416</v>
      </c>
      <c r="X32" t="n">
        <v>17218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  <row r="33">
      <c r="A33" t="n">
        <v>2024</v>
      </c>
      <c r="B33" t="n">
        <v>17671</v>
      </c>
      <c r="C33" t="inlineStr">
        <is>
          <t>Southwest Arkansas E C C</t>
        </is>
      </c>
      <c r="D33" t="inlineStr">
        <is>
          <t>A</t>
        </is>
      </c>
      <c r="E33" t="inlineStr">
        <is>
          <t>Bundled</t>
        </is>
      </c>
      <c r="F33" t="inlineStr">
        <is>
          <t>O</t>
        </is>
      </c>
      <c r="G33" t="inlineStr">
        <is>
          <t>OK</t>
        </is>
      </c>
      <c r="H33" t="inlineStr">
        <is>
          <t>Cooperative</t>
        </is>
      </c>
      <c r="I33" t="inlineStr">
        <is>
          <t>MISO</t>
        </is>
      </c>
      <c r="J33" t="n">
        <v>307.4</v>
      </c>
      <c r="K33" t="n">
        <v>2512</v>
      </c>
      <c r="L33" t="n">
        <v>220</v>
      </c>
      <c r="M33" t="n">
        <v>58.6</v>
      </c>
      <c r="N33" t="n">
        <v>543</v>
      </c>
      <c r="O33" t="n">
        <v>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366</v>
      </c>
      <c r="W33" t="n">
        <v>3055</v>
      </c>
      <c r="X33" t="n">
        <v>237</v>
      </c>
      <c r="Y33">
        <f>IF(ISNUMBER($W33),$W33,0)</f>
        <v/>
      </c>
      <c r="Z33">
        <f>IF(ISNUMBER(SEARCH("Adjustment",$C33)),"excluded",IF($H33="Behind the Meter","excluded",IF(NOT(OR($E33="Bundled",$E33="Energy")),"excluded",IF(OR($H33="Retail Power Marketer",$H33="Community Choice Aggregator",$E33="Energy"),"procurement",IF(OR($H33="Municipal",$H33="Cooperative",$H33="Federal",$H33="State",$H33="Political Subdivision"),"cost_service",IF($H33="Investor Owned",IF(AND(COUNTIF(Parameters!$A$4:$A$33,$G33)&gt;0,COUNTIF(Parameters!$B$4:$B$33,$B33)=0),"procurement","cost_service"),"unclassified"))))))</f>
        <v/>
      </c>
    </row>
    <row r="34">
      <c r="A34" t="n">
        <v>2024</v>
      </c>
      <c r="B34" t="n">
        <v>17715</v>
      </c>
      <c r="C34" t="inlineStr">
        <is>
          <t>Southwestern Electric Coop Inc - (NM)</t>
        </is>
      </c>
      <c r="D34" t="inlineStr">
        <is>
          <t>A</t>
        </is>
      </c>
      <c r="E34" t="inlineStr">
        <is>
          <t>Bundled</t>
        </is>
      </c>
      <c r="F34" t="inlineStr">
        <is>
          <t>O</t>
        </is>
      </c>
      <c r="G34" t="inlineStr">
        <is>
          <t>OK</t>
        </is>
      </c>
      <c r="H34" t="inlineStr">
        <is>
          <t>Cooperative</t>
        </is>
      </c>
      <c r="I34" t="inlineStr">
        <is>
          <t>PNM</t>
        </is>
      </c>
      <c r="J34" t="n">
        <v>0</v>
      </c>
      <c r="K34" t="n">
        <v>0</v>
      </c>
      <c r="L34" t="n">
        <v>0</v>
      </c>
      <c r="M34" t="inlineStr">
        <is>
          <t>.</t>
        </is>
      </c>
      <c r="N34" t="inlineStr">
        <is>
          <t>.</t>
        </is>
      </c>
      <c r="O34" t="inlineStr">
        <is>
          <t>.</t>
        </is>
      </c>
      <c r="P34" t="n">
        <v>100.1</v>
      </c>
      <c r="Q34" t="n">
        <v>750</v>
      </c>
      <c r="R34" t="n">
        <v>7</v>
      </c>
      <c r="S34" t="inlineStr">
        <is>
          <t>.</t>
        </is>
      </c>
      <c r="T34" t="inlineStr">
        <is>
          <t>.</t>
        </is>
      </c>
      <c r="U34" t="inlineStr">
        <is>
          <t>.</t>
        </is>
      </c>
      <c r="V34" t="n">
        <v>100.1</v>
      </c>
      <c r="W34" t="n">
        <v>750</v>
      </c>
      <c r="X34" t="n">
        <v>7</v>
      </c>
      <c r="Y34">
        <f>IF(ISNUMBER($W34),$W34,0)</f>
        <v/>
      </c>
      <c r="Z34">
        <f>IF(ISNUMBER(SEARCH("Adjustment",$C34)),"excluded",IF($H34="Behind the Meter","excluded",IF(NOT(OR($E34="Bundled",$E34="Energy")),"excluded",IF(OR($H34="Retail Power Marketer",$H34="Community Choice Aggregator",$E34="Energy"),"procurement",IF(OR($H34="Municipal",$H34="Cooperative",$H34="Federal",$H34="State",$H34="Political Subdivision"),"cost_service",IF($H34="Investor Owned",IF(AND(COUNTIF(Parameters!$A$4:$A$33,$G34)&gt;0,COUNTIF(Parameters!$B$4:$B$33,$B34)=0),"procurement","cost_service"),"unclassified"))))))</f>
        <v/>
      </c>
    </row>
    <row r="35">
      <c r="A35" t="n">
        <v>2024</v>
      </c>
      <c r="B35" t="n">
        <v>18125</v>
      </c>
      <c r="C35" t="inlineStr">
        <is>
          <t>Stillwater Utilities Authority</t>
        </is>
      </c>
      <c r="D35" t="inlineStr">
        <is>
          <t>A</t>
        </is>
      </c>
      <c r="E35" t="inlineStr">
        <is>
          <t>Bundled</t>
        </is>
      </c>
      <c r="F35" t="inlineStr">
        <is>
          <t>O</t>
        </is>
      </c>
      <c r="G35" t="inlineStr">
        <is>
          <t>OK</t>
        </is>
      </c>
      <c r="H35" t="inlineStr">
        <is>
          <t>Municipal</t>
        </is>
      </c>
      <c r="I35" t="inlineStr">
        <is>
          <t>SWPP</t>
        </is>
      </c>
      <c r="J35" t="n">
        <v>27913</v>
      </c>
      <c r="K35" t="n">
        <v>210623</v>
      </c>
      <c r="L35" t="n">
        <v>19640</v>
      </c>
      <c r="M35" t="n">
        <v>21576</v>
      </c>
      <c r="N35" t="n">
        <v>183115</v>
      </c>
      <c r="O35" t="n">
        <v>2546</v>
      </c>
      <c r="P35" t="n">
        <v>4075</v>
      </c>
      <c r="Q35" t="n">
        <v>45813</v>
      </c>
      <c r="R35" t="n">
        <v>5</v>
      </c>
      <c r="S35" t="inlineStr">
        <is>
          <t>.</t>
        </is>
      </c>
      <c r="T35" t="inlineStr">
        <is>
          <t>.</t>
        </is>
      </c>
      <c r="U35" t="inlineStr">
        <is>
          <t>.</t>
        </is>
      </c>
      <c r="V35" t="n">
        <v>53564</v>
      </c>
      <c r="W35" t="n">
        <v>439551</v>
      </c>
      <c r="X35" t="n">
        <v>22191</v>
      </c>
      <c r="Y35">
        <f>IF(ISNUMBER($W35),$W35,0)</f>
        <v/>
      </c>
      <c r="Z35">
        <f>IF(ISNUMBER(SEARCH("Adjustment",$C35)),"excluded",IF($H35="Behind the Meter","excluded",IF(NOT(OR($E35="Bundled",$E35="Energy")),"excluded",IF(OR($H35="Retail Power Marketer",$H35="Community Choice Aggregator",$E35="Energy"),"procurement",IF(OR($H35="Municipal",$H35="Cooperative",$H35="Federal",$H35="State",$H35="Political Subdivision"),"cost_service",IF($H35="Investor Owned",IF(AND(COUNTIF(Parameters!$A$4:$A$33,$G35)&gt;0,COUNTIF(Parameters!$B$4:$B$33,$B35)=0),"procurement","cost_service"),"unclassified"))))))</f>
        <v/>
      </c>
    </row>
    <row r="36">
      <c r="A36" t="n">
        <v>2024</v>
      </c>
      <c r="B36" t="n">
        <v>19160</v>
      </c>
      <c r="C36" t="inlineStr">
        <is>
          <t>Tri-County Electric Coop, Inc (OK)</t>
        </is>
      </c>
      <c r="D36" t="inlineStr">
        <is>
          <t>A</t>
        </is>
      </c>
      <c r="E36" t="inlineStr">
        <is>
          <t>Bundled</t>
        </is>
      </c>
      <c r="F36" t="inlineStr">
        <is>
          <t>O</t>
        </is>
      </c>
      <c r="G36" t="inlineStr">
        <is>
          <t>OK</t>
        </is>
      </c>
      <c r="H36" t="inlineStr">
        <is>
          <t>Cooperative</t>
        </is>
      </c>
      <c r="I36" t="inlineStr">
        <is>
          <t>SWPP</t>
        </is>
      </c>
      <c r="J36" t="n">
        <v>20359</v>
      </c>
      <c r="K36" t="n">
        <v>128293</v>
      </c>
      <c r="L36" t="n">
        <v>14212</v>
      </c>
      <c r="M36" t="n">
        <v>36305</v>
      </c>
      <c r="N36" t="n">
        <v>250011</v>
      </c>
      <c r="O36" t="n">
        <v>11151</v>
      </c>
      <c r="P36" t="n">
        <v>36136</v>
      </c>
      <c r="Q36" t="n">
        <v>399393</v>
      </c>
      <c r="R36" t="n">
        <v>2629</v>
      </c>
      <c r="S36" t="inlineStr">
        <is>
          <t>.</t>
        </is>
      </c>
      <c r="T36" t="inlineStr">
        <is>
          <t>.</t>
        </is>
      </c>
      <c r="U36" t="inlineStr">
        <is>
          <t>.</t>
        </is>
      </c>
      <c r="V36" t="n">
        <v>92800</v>
      </c>
      <c r="W36" t="n">
        <v>777697</v>
      </c>
      <c r="X36" t="n">
        <v>27992</v>
      </c>
      <c r="Y36">
        <f>IF(ISNUMBER($W36),$W36,0)</f>
        <v/>
      </c>
      <c r="Z36">
        <f>IF(ISNUMBER(SEARCH("Adjustment",$C36)),"excluded",IF($H36="Behind the Meter","excluded",IF(NOT(OR($E36="Bundled",$E36="Energy")),"excluded",IF(OR($H36="Retail Power Marketer",$H36="Community Choice Aggregator",$E36="Energy"),"procurement",IF(OR($H36="Municipal",$H36="Cooperative",$H36="Federal",$H36="State",$H36="Political Subdivision"),"cost_service",IF($H36="Investor Owned",IF(AND(COUNTIF(Parameters!$A$4:$A$33,$G36)&gt;0,COUNTIF(Parameters!$B$4:$B$33,$B36)=0),"procurement","cost_service"),"unclassified"))))))</f>
        <v/>
      </c>
    </row>
    <row r="37">
      <c r="A37" t="n">
        <v>2024</v>
      </c>
      <c r="B37" t="n">
        <v>19785</v>
      </c>
      <c r="C37" t="inlineStr">
        <is>
          <t>Verdigris Valley Elec Coop Inc</t>
        </is>
      </c>
      <c r="D37" t="inlineStr">
        <is>
          <t>A</t>
        </is>
      </c>
      <c r="E37" t="inlineStr">
        <is>
          <t>Bundled</t>
        </is>
      </c>
      <c r="F37" t="inlineStr">
        <is>
          <t>O</t>
        </is>
      </c>
      <c r="G37" t="inlineStr">
        <is>
          <t>OK</t>
        </is>
      </c>
      <c r="H37" t="inlineStr">
        <is>
          <t>Cooperative</t>
        </is>
      </c>
      <c r="I37" t="inlineStr">
        <is>
          <t>AECI</t>
        </is>
      </c>
      <c r="J37" t="n">
        <v>70188.5</v>
      </c>
      <c r="K37" t="n">
        <v>588211</v>
      </c>
      <c r="L37" t="n">
        <v>35102</v>
      </c>
      <c r="M37" t="n">
        <v>5896.8</v>
      </c>
      <c r="N37" t="n">
        <v>47700</v>
      </c>
      <c r="O37" t="n">
        <v>3264</v>
      </c>
      <c r="P37" t="n">
        <v>10807.4</v>
      </c>
      <c r="Q37" t="n">
        <v>106739</v>
      </c>
      <c r="R37" t="n">
        <v>701</v>
      </c>
      <c r="S37" t="n">
        <v>0</v>
      </c>
      <c r="T37" t="n">
        <v>0</v>
      </c>
      <c r="U37" t="n">
        <v>0</v>
      </c>
      <c r="V37" t="n">
        <v>86892.7</v>
      </c>
      <c r="W37" t="n">
        <v>742650</v>
      </c>
      <c r="X37" t="n">
        <v>39067</v>
      </c>
      <c r="Y37">
        <f>IF(ISNUMBER($W37),$W37,0)</f>
        <v/>
      </c>
      <c r="Z37">
        <f>IF(ISNUMBER(SEARCH("Adjustment",$C37)),"excluded",IF($H37="Behind the Meter","excluded",IF(NOT(OR($E37="Bundled",$E37="Energy")),"excluded",IF(OR($H37="Retail Power Marketer",$H37="Community Choice Aggregator",$E37="Energy"),"procurement",IF(OR($H37="Municipal",$H37="Cooperative",$H37="Federal",$H37="State",$H37="Political Subdivision"),"cost_service",IF($H37="Investor Owned",IF(AND(COUNTIF(Parameters!$A$4:$A$33,$G37)&gt;0,COUNTIF(Parameters!$B$4:$B$33,$B37)=0),"procurement","cost_service"),"unclassified"))))))</f>
        <v/>
      </c>
    </row>
    <row r="38">
      <c r="A38" t="n">
        <v>2024</v>
      </c>
      <c r="B38" t="n">
        <v>59579</v>
      </c>
      <c r="C38" t="inlineStr">
        <is>
          <t>Sunnova</t>
        </is>
      </c>
      <c r="D38" t="inlineStr">
        <is>
          <t>A</t>
        </is>
      </c>
      <c r="E38" t="inlineStr">
        <is>
          <t>Bundled</t>
        </is>
      </c>
      <c r="F38" t="inlineStr">
        <is>
          <t>O</t>
        </is>
      </c>
      <c r="G38" t="inlineStr">
        <is>
          <t>OK</t>
        </is>
      </c>
      <c r="H38" t="inlineStr">
        <is>
          <t>Behind the Meter</t>
        </is>
      </c>
      <c r="I38" t="inlineStr">
        <is>
          <t>MISO</t>
        </is>
      </c>
      <c r="J38" t="n">
        <v>12.6</v>
      </c>
      <c r="K38" t="n">
        <v>79</v>
      </c>
      <c r="L38" t="n">
        <v>8</v>
      </c>
      <c r="M38" t="inlineStr">
        <is>
          <t>.</t>
        </is>
      </c>
      <c r="N38" t="inlineStr">
        <is>
          <t>.</t>
        </is>
      </c>
      <c r="O38" t="inlineStr">
        <is>
          <t>.</t>
        </is>
      </c>
      <c r="P38" t="inlineStr">
        <is>
          <t>.</t>
        </is>
      </c>
      <c r="Q38" t="inlineStr">
        <is>
          <t>.</t>
        </is>
      </c>
      <c r="R38" t="inlineStr">
        <is>
          <t>.</t>
        </is>
      </c>
      <c r="S38" t="inlineStr">
        <is>
          <t>.</t>
        </is>
      </c>
      <c r="T38" t="inlineStr">
        <is>
          <t>.</t>
        </is>
      </c>
      <c r="U38" t="inlineStr">
        <is>
          <t>.</t>
        </is>
      </c>
      <c r="V38" t="n">
        <v>12.6</v>
      </c>
      <c r="W38" t="n">
        <v>79</v>
      </c>
      <c r="X38" t="n">
        <v>8</v>
      </c>
      <c r="Y38">
        <f>IF(ISNUMBER($W38),$W38,0)</f>
        <v/>
      </c>
      <c r="Z38">
        <f>IF(ISNUMBER(SEARCH("Adjustment",$C38)),"excluded",IF($H38="Behind the Meter","excluded",IF(NOT(OR($E38="Bundled",$E38="Energy")),"excluded",IF(OR($H38="Retail Power Marketer",$H38="Community Choice Aggregator",$E38="Energy"),"procurement",IF(OR($H38="Municipal",$H38="Cooperative",$H38="Federal",$H38="State",$H38="Political Subdivision"),"cost_service",IF($H38="Investor Owned",IF(AND(COUNTIF(Parameters!$A$4:$A$33,$G38)&gt;0,COUNTIF(Parameters!$B$4:$B$33,$B38)=0),"procurement","cost_service"),"unclassified"))))))</f>
        <v/>
      </c>
    </row>
    <row r="39">
      <c r="A39" t="n">
        <v>2024</v>
      </c>
      <c r="B39" t="n">
        <v>60482</v>
      </c>
      <c r="C39" t="inlineStr">
        <is>
          <t>CKenergy Electric Cooperative</t>
        </is>
      </c>
      <c r="D39" t="inlineStr">
        <is>
          <t>A</t>
        </is>
      </c>
      <c r="E39" t="inlineStr">
        <is>
          <t>Bundled</t>
        </is>
      </c>
      <c r="F39" t="inlineStr">
        <is>
          <t>O</t>
        </is>
      </c>
      <c r="G39" t="inlineStr">
        <is>
          <t>OK</t>
        </is>
      </c>
      <c r="H39" t="inlineStr">
        <is>
          <t>Cooperative</t>
        </is>
      </c>
      <c r="I39" t="inlineStr">
        <is>
          <t>SWPP</t>
        </is>
      </c>
      <c r="J39" t="n">
        <v>34784.6</v>
      </c>
      <c r="K39" t="n">
        <v>271430</v>
      </c>
      <c r="L39" t="n">
        <v>22555</v>
      </c>
      <c r="M39" t="n">
        <v>35056.3</v>
      </c>
      <c r="N39" t="n">
        <v>316967</v>
      </c>
      <c r="O39" t="n">
        <v>4810</v>
      </c>
      <c r="P39" t="n">
        <v>12875.7</v>
      </c>
      <c r="Q39" t="n">
        <v>188856</v>
      </c>
      <c r="R39" t="n">
        <v>33</v>
      </c>
      <c r="S39" t="inlineStr">
        <is>
          <t>.</t>
        </is>
      </c>
      <c r="T39" t="inlineStr">
        <is>
          <t>.</t>
        </is>
      </c>
      <c r="U39" t="inlineStr">
        <is>
          <t>.</t>
        </is>
      </c>
      <c r="V39" t="n">
        <v>82716.60000000001</v>
      </c>
      <c r="W39" t="n">
        <v>777253</v>
      </c>
      <c r="X39" t="n">
        <v>27398</v>
      </c>
      <c r="Y39">
        <f>IF(ISNUMBER($W39),$W39,0)</f>
        <v/>
      </c>
      <c r="Z39">
        <f>IF(ISNUMBER(SEARCH("Adjustment",$C39)),"excluded",IF($H39="Behind the Meter","excluded",IF(NOT(OR($E39="Bundled",$E39="Energy")),"excluded",IF(OR($H39="Retail Power Marketer",$H39="Community Choice Aggregator",$E39="Energy"),"procurement",IF(OR($H39="Municipal",$H39="Cooperative",$H39="Federal",$H39="State",$H39="Political Subdivision"),"cost_service",IF($H39="Investor Owned",IF(AND(COUNTIF(Parameters!$A$4:$A$33,$G39)&gt;0,COUNTIF(Parameters!$B$4:$B$33,$B39)=0),"procurement","cost_service"),"unclassified"))))))</f>
        <v/>
      </c>
    </row>
    <row r="40">
      <c r="A40" t="n">
        <v>2024</v>
      </c>
      <c r="B40" t="n">
        <v>66026</v>
      </c>
      <c r="C40" t="inlineStr">
        <is>
          <t>Palmetto Solar, LLC</t>
        </is>
      </c>
      <c r="D40" t="inlineStr">
        <is>
          <t>A</t>
        </is>
      </c>
      <c r="E40" t="inlineStr">
        <is>
          <t>Bundled</t>
        </is>
      </c>
      <c r="F40" t="inlineStr">
        <is>
          <t>O</t>
        </is>
      </c>
      <c r="G40" t="inlineStr">
        <is>
          <t>OK</t>
        </is>
      </c>
      <c r="H40" t="inlineStr">
        <is>
          <t>Behind the Meter</t>
        </is>
      </c>
      <c r="I40" t="inlineStr">
        <is>
          <t>SWPP</t>
        </is>
      </c>
      <c r="J40" t="n">
        <v>123.9</v>
      </c>
      <c r="K40" t="n">
        <v>1004</v>
      </c>
      <c r="L40" t="n">
        <v>18</v>
      </c>
      <c r="M40" t="inlineStr">
        <is>
          <t>.</t>
        </is>
      </c>
      <c r="N40" t="inlineStr">
        <is>
          <t>.</t>
        </is>
      </c>
      <c r="O40" t="inlineStr">
        <is>
          <t>.</t>
        </is>
      </c>
      <c r="P40" t="inlineStr">
        <is>
          <t>.</t>
        </is>
      </c>
      <c r="Q40" t="inlineStr">
        <is>
          <t>.</t>
        </is>
      </c>
      <c r="R40" t="inlineStr">
        <is>
          <t>.</t>
        </is>
      </c>
      <c r="S40" t="inlineStr">
        <is>
          <t>.</t>
        </is>
      </c>
      <c r="T40" t="inlineStr">
        <is>
          <t>.</t>
        </is>
      </c>
      <c r="U40" t="inlineStr">
        <is>
          <t>.</t>
        </is>
      </c>
      <c r="V40" t="n">
        <v>123.9</v>
      </c>
      <c r="W40" t="n">
        <v>1004</v>
      </c>
      <c r="X40" t="n">
        <v>18</v>
      </c>
      <c r="Y40">
        <f>IF(ISNUMBER($W40),$W40,0)</f>
        <v/>
      </c>
      <c r="Z40">
        <f>IF(ISNUMBER(SEARCH("Adjustment",$C40)),"excluded",IF($H40="Behind the Meter","excluded",IF(NOT(OR($E40="Bundled",$E40="Energy")),"excluded",IF(OR($H40="Retail Power Marketer",$H40="Community Choice Aggregator",$E40="Energy"),"procurement",IF(OR($H40="Municipal",$H40="Cooperative",$H40="Federal",$H40="State",$H40="Political Subdivision"),"cost_service",IF($H40="Investor Owned",IF(AND(COUNTIF(Parameters!$A$4:$A$33,$G40)&gt;0,COUNTIF(Parameters!$B$4:$B$33,$B40)=0),"procurement","cost_service"),"unclassified"))))))</f>
        <v/>
      </c>
    </row>
    <row r="41">
      <c r="A41" t="n">
        <v>2024</v>
      </c>
      <c r="B41" t="n">
        <v>99999</v>
      </c>
      <c r="C41" t="inlineStr">
        <is>
          <t>Adjustment 2024</t>
        </is>
      </c>
      <c r="D41" t="inlineStr">
        <is>
          <t>A</t>
        </is>
      </c>
      <c r="E41" t="inlineStr">
        <is>
          <t>Bundled</t>
        </is>
      </c>
      <c r="F41" t="inlineStr">
        <is>
          <t>I</t>
        </is>
      </c>
      <c r="G41" t="inlineStr">
        <is>
          <t>OK</t>
        </is>
      </c>
      <c r="H41" t="inlineStr"/>
      <c r="I41" t="inlineStr">
        <is>
          <t>AECI</t>
        </is>
      </c>
      <c r="J41" t="n">
        <v>2471.6</v>
      </c>
      <c r="K41" t="n">
        <v>23057</v>
      </c>
      <c r="L41" t="n">
        <v>1915</v>
      </c>
      <c r="M41" t="n">
        <v>3222.1</v>
      </c>
      <c r="N41" t="n">
        <v>28356</v>
      </c>
      <c r="O41" t="n">
        <v>416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5693.7</v>
      </c>
      <c r="W41" t="n">
        <v>51413</v>
      </c>
      <c r="X41" t="n">
        <v>2331</v>
      </c>
      <c r="Y41">
        <f>IF(ISNUMBER($W41),$W41,0)</f>
        <v/>
      </c>
      <c r="Z41">
        <f>IF(ISNUMBER(SEARCH("Adjustment",$C41)),"excluded",IF($H41="Behind the Meter","excluded",IF(NOT(OR($E41="Bundled",$E41="Energy")),"excluded",IF(OR($H41="Retail Power Marketer",$H41="Community Choice Aggregator",$E41="Energy"),"procurement",IF(OR($H41="Municipal",$H41="Cooperative",$H41="Federal",$H41="State",$H41="Political Subdivision"),"cost_service",IF($H41="Investor Owned",IF(AND(COUNTIF(Parameters!$A$4:$A$33,$G41)&gt;0,COUNTIF(Parameters!$B$4:$B$33,$B41)=0),"procurement","cost_service"),"unclassified"))))))</f>
        <v/>
      </c>
    </row>
    <row r="42">
      <c r="A42" t="n">
        <v>2024</v>
      </c>
      <c r="B42" t="n">
        <v>99999</v>
      </c>
      <c r="C42" t="inlineStr">
        <is>
          <t>Adjustment 2024</t>
        </is>
      </c>
      <c r="D42" t="inlineStr">
        <is>
          <t>A</t>
        </is>
      </c>
      <c r="E42" t="inlineStr">
        <is>
          <t>Bundled</t>
        </is>
      </c>
      <c r="F42" t="inlineStr">
        <is>
          <t>I</t>
        </is>
      </c>
      <c r="G42" t="inlineStr">
        <is>
          <t>OK</t>
        </is>
      </c>
      <c r="H42" t="inlineStr"/>
      <c r="I42" t="inlineStr">
        <is>
          <t>SPA</t>
        </is>
      </c>
      <c r="J42" t="n">
        <v>5680.7</v>
      </c>
      <c r="K42" t="n">
        <v>40370</v>
      </c>
      <c r="L42" t="n">
        <v>3699</v>
      </c>
      <c r="M42" t="n">
        <v>4974.4</v>
      </c>
      <c r="N42" t="n">
        <v>39927</v>
      </c>
      <c r="O42" t="n">
        <v>841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10655.1</v>
      </c>
      <c r="W42" t="n">
        <v>80297</v>
      </c>
      <c r="X42" t="n">
        <v>4540</v>
      </c>
      <c r="Y42">
        <f>IF(ISNUMBER($W42),$W42,0)</f>
        <v/>
      </c>
      <c r="Z42">
        <f>IF(ISNUMBER(SEARCH("Adjustment",$C42)),"excluded",IF($H42="Behind the Meter","excluded",IF(NOT(OR($E42="Bundled",$E42="Energy")),"excluded",IF(OR($H42="Retail Power Marketer",$H42="Community Choice Aggregator",$E42="Energy"),"procurement",IF(OR($H42="Municipal",$H42="Cooperative",$H42="Federal",$H42="State",$H42="Political Subdivision"),"cost_service",IF($H42="Investor Owned",IF(AND(COUNTIF(Parameters!$A$4:$A$33,$G42)&gt;0,COUNTIF(Parameters!$B$4:$B$33,$B42)=0),"procurement","cost_service"),"unclassified"))))))</f>
        <v/>
      </c>
    </row>
    <row r="43">
      <c r="A43" t="n">
        <v>2024</v>
      </c>
      <c r="B43" t="n">
        <v>99999</v>
      </c>
      <c r="C43" t="inlineStr">
        <is>
          <t>Adjustment 2024</t>
        </is>
      </c>
      <c r="D43" t="inlineStr">
        <is>
          <t>A</t>
        </is>
      </c>
      <c r="E43" t="inlineStr">
        <is>
          <t>Bundled</t>
        </is>
      </c>
      <c r="F43" t="inlineStr">
        <is>
          <t>I</t>
        </is>
      </c>
      <c r="G43" t="inlineStr">
        <is>
          <t>OK</t>
        </is>
      </c>
      <c r="H43" t="inlineStr"/>
      <c r="I43" t="inlineStr">
        <is>
          <t>MISO</t>
        </is>
      </c>
      <c r="J43" t="n">
        <v>535.4</v>
      </c>
      <c r="K43" t="n">
        <v>5452</v>
      </c>
      <c r="L43" t="n">
        <v>498</v>
      </c>
      <c r="M43" t="n">
        <v>46.6</v>
      </c>
      <c r="N43" t="n">
        <v>526</v>
      </c>
      <c r="O43" t="n">
        <v>20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582</v>
      </c>
      <c r="W43" t="n">
        <v>5978</v>
      </c>
      <c r="X43" t="n">
        <v>518</v>
      </c>
      <c r="Y43">
        <f>IF(ISNUMBER($W43),$W43,0)</f>
        <v/>
      </c>
      <c r="Z43">
        <f>IF(ISNUMBER(SEARCH("Adjustment",$C43)),"excluded",IF($H43="Behind the Meter","excluded",IF(NOT(OR($E43="Bundled",$E43="Energy")),"excluded",IF(OR($H43="Retail Power Marketer",$H43="Community Choice Aggregator",$E43="Energy"),"procurement",IF(OR($H43="Municipal",$H43="Cooperative",$H43="Federal",$H43="State",$H43="Political Subdivision"),"cost_service",IF($H43="Investor Owned",IF(AND(COUNTIF(Parameters!$A$4:$A$33,$G43)&gt;0,COUNTIF(Parameters!$B$4:$B$33,$B43)=0),"procurement","cost_service"),"unclassified"))))))</f>
        <v/>
      </c>
    </row>
    <row r="44">
      <c r="A44" t="n">
        <v>2024</v>
      </c>
      <c r="B44" t="n">
        <v>99999</v>
      </c>
      <c r="C44" t="inlineStr">
        <is>
          <t>Adjustment 2024</t>
        </is>
      </c>
      <c r="D44" t="inlineStr">
        <is>
          <t>A</t>
        </is>
      </c>
      <c r="E44" t="inlineStr">
        <is>
          <t>Bundled</t>
        </is>
      </c>
      <c r="F44" t="inlineStr">
        <is>
          <t>I</t>
        </is>
      </c>
      <c r="G44" t="inlineStr">
        <is>
          <t>OK</t>
        </is>
      </c>
      <c r="H44" t="inlineStr"/>
      <c r="I44" t="inlineStr">
        <is>
          <t>SWPP</t>
        </is>
      </c>
      <c r="J44" t="n">
        <v>130371.7</v>
      </c>
      <c r="K44" t="n">
        <v>1043440</v>
      </c>
      <c r="L44" t="n">
        <v>98298</v>
      </c>
      <c r="M44" t="n">
        <v>90844.10000000001</v>
      </c>
      <c r="N44" t="n">
        <v>860166</v>
      </c>
      <c r="O44" t="n">
        <v>17417</v>
      </c>
      <c r="P44" t="n">
        <v>35803.4</v>
      </c>
      <c r="Q44" t="n">
        <v>438508</v>
      </c>
      <c r="R44" t="n">
        <v>604</v>
      </c>
      <c r="S44" t="n">
        <v>0</v>
      </c>
      <c r="T44" t="n">
        <v>0</v>
      </c>
      <c r="U44" t="n">
        <v>0</v>
      </c>
      <c r="V44" t="n">
        <v>257019.2</v>
      </c>
      <c r="W44" t="n">
        <v>2342114</v>
      </c>
      <c r="X44" t="n">
        <v>116319</v>
      </c>
      <c r="Y44">
        <f>IF(ISNUMBER($W44),$W44,0)</f>
        <v/>
      </c>
      <c r="Z44">
        <f>IF(ISNUMBER(SEARCH("Adjustment",$C44)),"excluded",IF($H44="Behind the Meter","excluded",IF(NOT(OR($E44="Bundled",$E44="Energy")),"excluded",IF(OR($H44="Retail Power Marketer",$H44="Community Choice Aggregator",$E44="Energy"),"procurement",IF(OR($H44="Municipal",$H44="Cooperative",$H44="Federal",$H44="State",$H44="Political Subdivision"),"cost_service",IF($H44="Investor Owned",IF(AND(COUNTIF(Parameters!$A$4:$A$33,$G44)&gt;0,COUNTIF(Parameters!$B$4:$B$33,$B44)=0),"procurement","cost_service"),"unclassified"))))))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OK</t>
        </is>
      </c>
      <c r="B2">
        <f>SUMIFS('EIA-861 Sales 2024'!$Y$4:$Y$44,'EIA-861 Sales 2024'!$Z$4:$Z$44,"cost_service")</f>
        <v/>
      </c>
      <c r="C2">
        <f>SUMIFS('EIA-861 Sales 2024'!$Y$4:$Y$44,'EIA-861 Sales 2024'!$Z$4:$Z$44,"procurement")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2026-06-02T20:15:31Z</dcterms:created>
  <dcterms:modified xmlns:dcterms="http://purl.org/dc/terms/" xmlns:xsi="http://www.w3.org/2001/XMLSchema-instance" xsi:type="dcterms:W3CDTF">2026-06-02T20:15:31Z</dcterms:modified>
</cp:coreProperties>
</file>