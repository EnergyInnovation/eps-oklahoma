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elec\SYTaDC\"/>
    </mc:Choice>
  </mc:AlternateContent>
  <xr:revisionPtr revIDLastSave="0" documentId="8_{3552F454-90A4-4E2E-91DA-84D604746408}" xr6:coauthVersionLast="47" xr6:coauthVersionMax="47" xr10:uidLastSave="{00000000-0000-0000-0000-000000000000}"/>
  <bookViews>
    <workbookView xWindow="234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<sst xmlns="http://schemas.openxmlformats.org/spreadsheetml/2006/main" count="264" uniqueCount="144">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</sst>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88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OK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Oklahoma</v>
      </c>
    </row>
    <row r="44" spans="1:42" x14ac:dyDescent="0.25">
      <c r="A44" t="s">
        <v>143</v>
      </c>
      <c r="B44" s="15">
        <f>SUMIFS('HIFLD Outputs'!$F$2:$F$49,'HIFLD Outputs'!$B$2:$B$49,'Data National'!$A$43)*B34</f>
        <v>3995510.5807424765</v>
      </c>
      <c r="C44" s="15">
        <f>SUMIFS('HIFLD Outputs'!$F$2:$F$49,'HIFLD Outputs'!$B$2:$B$49,'Data National'!$A$43)*C34</f>
        <v>3998546.6830074782</v>
      </c>
      <c r="D44" s="15">
        <f>SUMIFS('HIFLD Outputs'!$F$2:$F$49,'HIFLD Outputs'!$B$2:$B$49,'Data National'!$A$43)*D34</f>
        <v>4001582.7852724805</v>
      </c>
      <c r="E44" s="15">
        <f>SUMIFS('HIFLD Outputs'!$F$2:$F$49,'HIFLD Outputs'!$B$2:$B$49,'Data National'!$A$43)*E34</f>
        <v>4004618.8875374822</v>
      </c>
      <c r="F44" s="15">
        <f>SUMIFS('HIFLD Outputs'!$F$2:$F$49,'HIFLD Outputs'!$B$2:$B$49,'Data National'!$A$43)*F34</f>
        <v>4007654.9898024844</v>
      </c>
      <c r="G44" s="15">
        <f>SUMIFS('HIFLD Outputs'!$F$2:$F$49,'HIFLD Outputs'!$B$2:$B$49,'Data National'!$A$43)*G34</f>
        <v>4010691.0920674861</v>
      </c>
      <c r="H44" s="15">
        <f>SUMIFS('HIFLD Outputs'!$F$2:$F$49,'HIFLD Outputs'!$B$2:$B$49,'Data National'!$A$43)*H34</f>
        <v>4013727.1943324879</v>
      </c>
      <c r="I44" s="15">
        <f>SUMIFS('HIFLD Outputs'!$F$2:$F$49,'HIFLD Outputs'!$B$2:$B$49,'Data National'!$A$43)*I34</f>
        <v>4016763.2965974901</v>
      </c>
      <c r="J44" s="15">
        <f>SUMIFS('HIFLD Outputs'!$F$2:$F$49,'HIFLD Outputs'!$B$2:$B$49,'Data National'!$A$43)*J34</f>
        <v>4019799.3988624918</v>
      </c>
      <c r="K44" s="15">
        <f>SUMIFS('HIFLD Outputs'!$F$2:$F$49,'HIFLD Outputs'!$B$2:$B$49,'Data National'!$A$43)*K34</f>
        <v>4022835.501127494</v>
      </c>
      <c r="L44" s="15">
        <f>SUMIFS('HIFLD Outputs'!$F$2:$F$49,'HIFLD Outputs'!$B$2:$B$49,'Data National'!$A$43)*L34</f>
        <v>4025871.6033924958</v>
      </c>
      <c r="M44" s="15">
        <f>SUMIFS('HIFLD Outputs'!$F$2:$F$49,'HIFLD Outputs'!$B$2:$B$49,'Data National'!$A$43)*M34</f>
        <v>4028907.705657498</v>
      </c>
      <c r="N44" s="15">
        <f>SUMIFS('HIFLD Outputs'!$F$2:$F$49,'HIFLD Outputs'!$B$2:$B$49,'Data National'!$A$43)*N34</f>
        <v>4031943.8079224997</v>
      </c>
      <c r="O44" s="15">
        <f>SUMIFS('HIFLD Outputs'!$F$2:$F$49,'HIFLD Outputs'!$B$2:$B$49,'Data National'!$A$43)*O34</f>
        <v>4034979.9101875019</v>
      </c>
      <c r="P44" s="15">
        <f>SUMIFS('HIFLD Outputs'!$F$2:$F$49,'HIFLD Outputs'!$B$2:$B$49,'Data National'!$A$43)*P34</f>
        <v>4038016.0124525037</v>
      </c>
      <c r="Q44" s="15">
        <f>SUMIFS('HIFLD Outputs'!$F$2:$F$49,'HIFLD Outputs'!$B$2:$B$49,'Data National'!$A$43)*Q34</f>
        <v>4041052.1147175059</v>
      </c>
      <c r="R44" s="15">
        <f>SUMIFS('HIFLD Outputs'!$F$2:$F$49,'HIFLD Outputs'!$B$2:$B$49,'Data National'!$A$43)*R34</f>
        <v>4044088.2169825076</v>
      </c>
      <c r="S44" s="15">
        <f>SUMIFS('HIFLD Outputs'!$F$2:$F$49,'HIFLD Outputs'!$B$2:$B$49,'Data National'!$A$43)*S34</f>
        <v>4047124.3192475094</v>
      </c>
      <c r="T44" s="15">
        <f>SUMIFS('HIFLD Outputs'!$F$2:$F$49,'HIFLD Outputs'!$B$2:$B$49,'Data National'!$A$43)*T34</f>
        <v>4050160.4215125116</v>
      </c>
      <c r="U44" s="15">
        <f>SUMIFS('HIFLD Outputs'!$F$2:$F$49,'HIFLD Outputs'!$B$2:$B$49,'Data National'!$A$43)*U34</f>
        <v>4053196.5237775133</v>
      </c>
      <c r="V44" s="15">
        <f>SUMIFS('HIFLD Outputs'!$F$2:$F$49,'HIFLD Outputs'!$B$2:$B$49,'Data National'!$A$43)*V34</f>
        <v>4056232.6260425155</v>
      </c>
      <c r="W44" s="15">
        <f>SUMIFS('HIFLD Outputs'!$F$2:$F$49,'HIFLD Outputs'!$B$2:$B$49,'Data National'!$A$43)*W34</f>
        <v>4059268.7283075172</v>
      </c>
      <c r="X44" s="15">
        <f>SUMIFS('HIFLD Outputs'!$F$2:$F$49,'HIFLD Outputs'!$B$2:$B$49,'Data National'!$A$43)*X34</f>
        <v>4062304.8305725195</v>
      </c>
      <c r="Y44" s="15">
        <f>SUMIFS('HIFLD Outputs'!$F$2:$F$49,'HIFLD Outputs'!$B$2:$B$49,'Data National'!$A$43)*Y34</f>
        <v>4065340.9328375212</v>
      </c>
      <c r="Z44" s="15">
        <f>SUMIFS('HIFLD Outputs'!$F$2:$F$49,'HIFLD Outputs'!$B$2:$B$49,'Data National'!$A$43)*Z34</f>
        <v>4068377.0351025234</v>
      </c>
      <c r="AA44" s="15">
        <f>SUMIFS('HIFLD Outputs'!$F$2:$F$49,'HIFLD Outputs'!$B$2:$B$49,'Data National'!$A$43)*AA34</f>
        <v>4071413.1373675251</v>
      </c>
      <c r="AB44" s="15">
        <f>SUMIFS('HIFLD Outputs'!$F$2:$F$49,'HIFLD Outputs'!$B$2:$B$49,'Data National'!$A$43)*AB34</f>
        <v>4074449.2396325273</v>
      </c>
      <c r="AC44" s="15">
        <f>SUMIFS('HIFLD Outputs'!$F$2:$F$49,'HIFLD Outputs'!$B$2:$B$49,'Data National'!$A$43)*AC34</f>
        <v>4077485.3418975291</v>
      </c>
      <c r="AD44" s="15">
        <f>SUMIFS('HIFLD Outputs'!$F$2:$F$49,'HIFLD Outputs'!$B$2:$B$49,'Data National'!$A$43)*AD34</f>
        <v>4080521.4441625313</v>
      </c>
      <c r="AE44" s="15">
        <f>SUMIFS('HIFLD Outputs'!$F$2:$F$49,'HIFLD Outputs'!$B$2:$B$49,'Data National'!$A$43)*AE34</f>
        <v>4083557.546427533</v>
      </c>
      <c r="AF44" s="15">
        <f>SUMIFS('HIFLD Outputs'!$F$2:$F$49,'HIFLD Outputs'!$B$2:$B$49,'Data National'!$A$43)*AF34</f>
        <v>4086593.6486925348</v>
      </c>
      <c r="AG44" s="15">
        <f>SUMIFS('HIFLD Outputs'!$F$2:$F$49,'HIFLD Outputs'!$B$2:$B$49,'Data National'!$A$43)*AG34</f>
        <v>4089629.750957537</v>
      </c>
      <c r="AH44" s="15">
        <f>SUMIFS('HIFLD Outputs'!$F$2:$F$49,'HIFLD Outputs'!$B$2:$B$49,'Data National'!$A$43)*AH34</f>
        <v>4092665.8532225387</v>
      </c>
      <c r="AI44" s="15">
        <f>SUMIFS('HIFLD Outputs'!$F$2:$F$49,'HIFLD Outputs'!$B$2:$B$49,'Data National'!$A$43)*AI34</f>
        <v>4095701.9554875409</v>
      </c>
      <c r="AJ44" s="15">
        <f>SUMIFS('HIFLD Outputs'!$F$2:$F$49,'HIFLD Outputs'!$B$2:$B$49,'Data National'!$A$43)*AJ34</f>
        <v>4098738.0577525427</v>
      </c>
      <c r="AK44" s="15">
        <f>SUMIFS('HIFLD Outputs'!$F$2:$F$49,'HIFLD Outputs'!$B$2:$B$49,'Data National'!$A$43)*AK34</f>
        <v>4101774.1600175449</v>
      </c>
      <c r="AL44" s="15">
        <f>SUMIFS('HIFLD Outputs'!$F$2:$F$49,'HIFLD Outputs'!$B$2:$B$49,'Data National'!$A$43)*AL34</f>
        <v>4104810.2622825466</v>
      </c>
      <c r="AM44" s="15">
        <f>SUMIFS('HIFLD Outputs'!$F$2:$F$49,'HIFLD Outputs'!$B$2:$B$49,'Data National'!$A$43)*AM34</f>
        <v>4107846.3645475488</v>
      </c>
      <c r="AN44" s="15">
        <f>SUMIFS('HIFLD Outputs'!$F$2:$F$49,'HIFLD Outputs'!$B$2:$B$49,'Data National'!$A$43)*AN34</f>
        <v>4110882.4668125506</v>
      </c>
      <c r="AO44" s="15">
        <f>SUMIFS('HIFLD Outputs'!$F$2:$F$49,'HIFLD Outputs'!$B$2:$B$49,'Data National'!$A$43)*AO34</f>
        <v>4113918.5690775528</v>
      </c>
      <c r="AP44" s="15">
        <f>SUMIFS('HIFLD Outputs'!$F$2:$F$49,'HIFLD Outputs'!$B$2:$B$49,'Data National'!$A$43)*AP34</f>
        <v>4116954.6713425545</v>
      </c>
    </row>
    <row r="45" spans="1:42" x14ac:dyDescent="0.25">
      <c r="A45" s="16" t="s">
        <v>15</v>
      </c>
      <c r="B45" s="17">
        <f>B37*SUMIFS('HIFLD Outputs'!$F$2:$F$49,'HIFLD Outputs'!$B$2:$B$49,$A$43)</f>
        <v>321130568.0473811</v>
      </c>
    </row>
    <row r="46" spans="1:42" x14ac:dyDescent="0.25">
      <c r="A46" s="16" t="s">
        <v>14</v>
      </c>
      <c r="B46" s="17">
        <f>B38*SUMIFS('HIFLD Outputs'!$F$2:$F$49,'HIFLD Outputs'!$B$2:$B$49,$A$43)</f>
        <v>504910110.00220764</v>
      </c>
    </row>
    <row r="47" spans="1:42" x14ac:dyDescent="0.25">
      <c r="A47" s="16" t="s">
        <v>16</v>
      </c>
      <c r="B47" s="17">
        <f>B39*SUMIFS('HIFLD Outputs'!$F$2:$F$49,'HIFLD Outputs'!$B$2:$B$49,$A$43)</f>
        <v>454612551.15141302</v>
      </c>
    </row>
    <row r="48" spans="1:42" x14ac:dyDescent="0.25">
      <c r="A48" s="16" t="s">
        <v>17</v>
      </c>
      <c r="B48" s="17">
        <f>B40*SUMIFS('HIFLD Outputs'!$F$2:$F$49,'HIFLD Outputs'!$B$2:$B$49,$A$43)</f>
        <v>607439749.19805825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321130568.0473811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504910110.00220764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454612551.15141302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607439749.19805825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2023-11-28T21:53:18Z</dcterms:modified>
</cp:coreProperties>
</file>