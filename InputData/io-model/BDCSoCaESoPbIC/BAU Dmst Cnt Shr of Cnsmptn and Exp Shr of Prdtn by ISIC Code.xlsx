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DCS_numerator_by_BEA" sheetId="3" state="visible" r:id="rId3"/>
    <sheet name="2_DCS_denominator_by_BEA" sheetId="4" state="visible" r:id="rId4"/>
    <sheet name="3_ESoP_RoUS_exports_by_BEA" sheetId="5" state="visible" r:id="rId5"/>
    <sheet name="4_ESoP_intl_exports_by_BEA" sheetId="6" state="visible" r:id="rId6"/>
    <sheet name="5_Exp_total_by_BEA" sheetId="7" state="visible" r:id="rId7"/>
    <sheet name="Src_Stateior_SoI_DomUse" sheetId="8" state="visible" r:id="rId8"/>
    <sheet name="Src_Stateior_SoI_TotUse" sheetId="9" state="visible" r:id="rId9"/>
    <sheet name="Src_Disagg_EIA_coal" sheetId="10" state="visible" r:id="rId10"/>
    <sheet name="Src_Disagg_heuristics" sheetId="11" state="visible" r:id="rId11"/>
    <sheet name="Crosswalk_BEA_to_ISIC" sheetId="12" state="visible" r:id="rId12"/>
    <sheet name="State_disagg_splits" sheetId="13" state="visible" r:id="rId13"/>
    <sheet name="NAICS_to_ISIC_Key" sheetId="14" state="visible" r:id="rId14"/>
    <sheet name="6_Calc_DCS_num_ISIC" sheetId="15" state="visible" r:id="rId15"/>
    <sheet name="7_Calc_DCS_den_ISIC" sheetId="16" state="visible" r:id="rId16"/>
    <sheet name="8_Calc_Exp_ISIC" sheetId="17" state="visible" r:id="rId17"/>
    <sheet name="9_Output_by_ISIC" sheetId="18" state="visible" r:id="rId18"/>
    <sheet name="9b_DCS_overrides" sheetId="19" state="visible" r:id="rId19"/>
    <sheet name="9c_ESoP_overrides" sheetId="20" state="visible" r:id="rId20"/>
    <sheet name="10_Calc_DCS_ratio" sheetId="21" state="visible" r:id="rId21"/>
    <sheet name="11_Calc_ESoP_ratio" sheetId="22" state="visible" r:id="rId22"/>
    <sheet name="BDCSoCbIC" sheetId="23" state="visible" r:id="rId23"/>
    <sheet name="BESoP" sheetId="24" state="visible" r:id="rId24"/>
  </sheets>
  <calcPr calcId="191029" fullCalcOnLoad="1"/>
</workbook>
</file>

<file path=xl/sharedStrings.xml><?xml version="1.0" encoding="utf-8"?>
<sst xmlns="http://schemas.openxmlformats.org/spreadsheetml/2006/main" count="613" uniqueCount="613">
  <si>
    <t xml:space="preserve">BDCSoCbIC - BAU Domestic Content Share by ISIC Code</t>
  </si>
  <si>
    <t xml:space="preserve"/>
  </si>
  <si>
    <t xml:space="preserve">State: Oklahoma (OK)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</si>
  <si>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</si>
  <si>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</si>
  <si>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</si>
  <si>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For each 42-ISIC commodity i, domestic content share =</t>
  </si>
  <si>
    <t xml:space="preserve">    DCS(i) = SoI-produced-consumed-in-SoI(i)</t>
  </si>
  <si>
    <t xml:space="preserve">             / total-consumed-in-SoI(i)</t>
  </si>
  <si>
    <t xml:space="preserve">where:</t>
  </si>
  <si>
    <t xml:space="preserve">  numerator   = rowSums(DomesticUse[i/US-&lt;ST&gt;, j/US-&lt;ST&gt;])</t>
  </si>
  <si>
    <t xml:space="preserve">  denominator = rowSums(Use[i/US-&lt;ST&gt;, j/US-&lt;ST&gt;]) +</t>
  </si>
  <si>
    <t xml:space="preserve">                rowSums(Use[i/RoUS, j/US-&lt;ST&gt;])</t>
  </si>
  <si>
    <t xml:space="preserve">The denominator captures total consumption of commodity i in the</t>
  </si>
  <si>
    <t xml:space="preserve">state from all sources: in-state production, out-of-state US</t>
  </si>
  <si>
    <t xml:space="preserve">production, and international imports (implicit in Use).</t>
  </si>
  <si>
    <t xml:space="preserve">EIA-anchored override (coal, ISIC 05): stateior's pooled trade</t>
  </si>
  <si>
    <t xml:space="preserve">allocation creates fictitious interstate cross-hauling that badly</t>
  </si>
  <si>
    <t xml:space="preserve">mis-states coal domestic content (both directions, e.g. TN 0.565 vs</t>
  </si>
  <si>
    <t xml:space="preserve">~0.04 true; WY 0.627 vs ~1.0). DCS[05] is therefore replaced by the</t>
  </si>
  <si>
    <t xml:space="preserve">physical commodity balance min(production, consumption)/consumption</t>
  </si>
  <si>
    <t xml:space="preserve">(own-use-first) from EIA-7A production + SEDS CLTCP consumption, both</t>
  </si>
  <si>
    <t xml:space="preserve">in short tons of the same vintage. The override value + source appear</t>
  </si>
  <si>
    <t xml:space="preserve">on the 9b_DCS_EIA_override tab and are applied by formula in the final</t>
  </si>
  <si>
    <t xml:space="preserve">DCS column. See notes/energy_dcs_override.md (incl. limitations, e.g.</t>
  </si>
  <si>
    <t xml:space="preserve">met-vs-steam coal mix in AL-type states).</t>
  </si>
  <si>
    <t xml:space="preserve">Values are fractions in [0, 1]. Unchanged from output; no deflator.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</si>
  <si>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</si>
  <si>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</si>
  <si>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</si>
  <si>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</si>
  <si>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</si>
  <si>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</si>
  <si>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</si>
  <si>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</si>
  <si>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</si>
  <si>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</si>
  <si>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</si>
  <si>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</si>
  <si>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</si>
  <si>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</si>
  <si>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</si>
  <si>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</si>
  <si>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</si>
  <si>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</si>
  <si>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</si>
  <si>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</si>
  <si>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</si>
  <si>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</si>
  <si>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</si>
  <si>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</si>
  <si>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</si>
  <si>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</si>
  <si>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</si>
  <si>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</si>
  <si>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</si>
  <si>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</si>
  <si>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</si>
  <si>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</si>
  <si>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</si>
  <si>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</si>
  <si>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</si>
  <si>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</si>
  <si>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</si>
  <si>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</si>
  <si>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</si>
  <si>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</si>
  <si>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</si>
  <si>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</si>
  <si>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</si>
  <si>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</si>
  <si>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</si>
  <si>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</si>
  <si>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</si>
  <si>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</si>
  <si>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</si>
  <si>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</si>
  <si>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</si>
  <si>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Both outputs are FORMULA-DERIVED from the per-BEA intermediate tabs:</t>
  </si>
  <si>
    <t xml:space="preserve">aggregate to 42 ISIC via the Crosswalk tab, ratio with the Keys epsilon</t>
  </si>
  <si>
    <t xml:space="preserve">floor, clamp to [0,1]. Edit an intermediate cell and they recompute.</t>
  </si>
  <si>
    <t xml:space="preserve">Note: the four per-BEA intermediates (tabs 1-4) are pipeline VALUES -</t>
  </si>
  <si>
    <t xml:space="preserve">they row-sum the TWO-REGION Use/DomesticUse tables (SoI + RoUS blocks),</t>
  </si>
  <si>
    <t xml:space="preserve">but only the SoI blocks are embedded here, so they cannot be reproduced</t>
  </si>
  <si>
    <t xml:space="preserve">in-sheet. The Src_ Use tabs are context/provenance. 9_Output_by_ISIC is</t>
  </si>
  <si>
    <t xml:space="preserve">also a pipeline value (= BObIC output row: 2012 USD, incl. OCS</t>
  </si>
  <si>
    <t xml:space="preserve">attribution for LA/TX/AL/MS).</t>
  </si>
  <si>
    <t xml:space="preserve">Tabs:</t>
  </si>
  <si>
    <t xml:space="preserve">  - About / Keys</t>
  </si>
  <si>
    <t xml:space="preserve">  - 1_DCS_numerator_by_BEA / 2_DCS_denominator_by_BEA (pipeline values)</t>
  </si>
  <si>
    <t xml:space="preserve">  - 3_ESoP_RoUS_exports_by_BEA / 4_ESoP_intl_exports_by_BEA (pipeline values)</t>
  </si>
  <si>
    <t xml:space="preserve">  - 5_Exp_total_by_BEA = tab3 + tab4 (formulas)</t>
  </si>
  <si>
    <t xml:space="preserve">  - Src_Stateior_SoI_DomUse / _TotUse (context)</t>
  </si>
  <si>
    <t xml:space="preserve">  - Crosswalk / splits / NAICS key</t>
  </si>
  <si>
    <t xml:space="preserve">  - 6/7_Calc_* - crosswalk-aggregate DCS num + den (nominal; units cancel)</t>
  </si>
  <si>
    <t xml:space="preserve">  - 8_Calc_Exp_ISIC - aggregate exports AND deflate to 2012 USD, so the</t>
  </si>
  <si>
    <t xml:space="preserve">    ESoP ratio is unit-consistent with its denominator</t>
  </si>
  <si>
    <t xml:space="preserve">  - 9_Output_by_ISIC - ESoP denominator (pipeline value, 2012 USD; matches BObIC.csv)</t>
  </si>
  <si>
    <t xml:space="preserve">  - 9b_DCS_overrides / 9c_ESoP_overrides - EIA-anchored energy balances</t>
  </si>
  <si>
    <t xml:space="preserve">    (coal 05, oil&amp;gas 06) + the 36T39 physical-locality assumption</t>
  </si>
  <si>
    <t xml:space="preserve">    (DCS=1, ESoP=0); each row carries its source/rationale</t>
  </si>
  <si>
    <t xml:space="preserve">  - 10_Calc_DCS_ratio / 11_Calc_ESoP_ratio - ratio + epsilon floor + clamp;</t>
  </si>
  <si>
    <t xml:space="preserve">    final columns apply the overrides where present</t>
  </si>
  <si>
    <t xml:space="preserve">  - BDCSoCbIC / BESoP - final fraction rows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</si>
  <si>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</si>
  <si>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</si>
  <si>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</si>
  <si>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</si>
  <si>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</si>
  <si>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</si>
  <si>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</si>
  <si>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</si>
  <si>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</si>
  <si>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</si>
  <si>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</si>
  <si>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</si>
  <si>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</si>
  <si>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</si>
  <si>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</si>
  <si>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</si>
  <si>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SoI_supply_to_SoI_USD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</si>
  <si>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</si>
  <si>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</si>
  <si>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</si>
  <si>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</si>
  <si>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</si>
  <si>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</si>
  <si>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</si>
  <si>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</si>
  <si>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</si>
  <si>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</si>
  <si>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</si>
  <si>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</si>
  <si>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</si>
  <si>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</si>
  <si>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</si>
  <si>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</si>
  <si>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</si>
  <si>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</si>
  <si>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</si>
  <si>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</si>
  <si>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</si>
  <si>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</si>
  <si>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</si>
  <si>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</si>
  <si>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</si>
  <si>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</si>
  <si>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</si>
  <si>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</si>
  <si>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</si>
  <si>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</si>
  <si>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</si>
  <si>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</si>
  <si>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</si>
  <si>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</si>
  <si>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</si>
  <si>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</si>
  <si>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</si>
  <si>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</si>
  <si>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</si>
  <si>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</si>
  <si>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</si>
  <si>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</si>
  <si>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</si>
  <si>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</si>
  <si>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</si>
  <si>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</si>
  <si>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</si>
  <si>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</si>
  <si>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</si>
  <si>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</si>
  <si>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</si>
  <si>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</si>
  <si>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</si>
  <si>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</si>
  <si>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</si>
  <si>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</si>
  <si>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</si>
  <si>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</si>
  <si>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</si>
  <si>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</si>
  <si>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</si>
  <si>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</si>
  <si>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</si>
  <si>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</si>
  <si>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</si>
  <si>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</si>
  <si>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</si>
  <si>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</si>
  <si>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</si>
  <si>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</si>
  <si>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</si>
  <si>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</si>
  <si>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</si>
  <si>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total_supply_in_SoI_USD</t>
  </si>
  <si>
    <t xml:space="preserve">exports_to_RoUS_USD</t>
  </si>
  <si>
    <t xml:space="preserve">exports_intl_USD</t>
  </si>
  <si>
    <t xml:space="preserve">exports_total_USD (= RoUS + intl)</t>
  </si>
  <si>
    <t xml:space="preserve">State-of-Interest Domestic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</si>
  <si>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</si>
  <si>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</si>
  <si>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</si>
  <si>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</si>
  <si>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</si>
  <si>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</si>
  <si>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</si>
  <si>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</si>
  <si>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</si>
  <si>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</si>
  <si>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</si>
  <si>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</si>
  <si>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</si>
  <si>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</si>
  <si>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</si>
  <si>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</si>
  <si>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</si>
  <si>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</si>
  <si>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</si>
  <si>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</si>
  <si>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</si>
  <si>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</si>
  <si>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</si>
  <si>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</si>
  <si>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</si>
  <si>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</si>
  <si>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State-of-Interest Total Use matrix at BEA Summary resolution, from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</si>
  <si>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</si>
  <si>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</si>
  <si>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</si>
  <si>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OK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</si>
  <si>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</si>
  <si>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</si>
  <si>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</si>
  <si>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</si>
  <si>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</si>
  <si>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</si>
  <si>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</si>
  <si>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</si>
  <si>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</si>
  <si>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</si>
  <si>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</si>
  <si>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</si>
  <si>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</si>
  <si>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</si>
  <si>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</si>
  <si>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</si>
  <si>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</si>
  <si>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</si>
  <si>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</si>
  <si>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</si>
  <si>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</si>
  <si>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</si>
  <si>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</si>
  <si>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</si>
  <si>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</si>
  <si>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</si>
  <si>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</si>
  <si>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</si>
  <si>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</si>
  <si>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</si>
  <si>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</si>
  <si>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</si>
  <si>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</si>
  <si>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</si>
  <si>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</si>
  <si>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</si>
  <si>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</si>
  <si>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</si>
  <si>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</si>
  <si>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</si>
  <si>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</si>
  <si>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</si>
  <si>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</si>
  <si>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</si>
  <si>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</si>
  <si>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</si>
  <si>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</si>
  <si>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</si>
  <si>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</si>
  <si>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</si>
  <si>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</si>
  <si>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</si>
  <si>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</si>
  <si>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</si>
  <si>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</si>
  <si>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</si>
  <si>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</si>
  <si>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</si>
  <si>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</si>
  <si>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</si>
  <si>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</si>
  <si>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</si>
  <si>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</si>
  <si>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</si>
  <si>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</si>
  <si>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</si>
  <si>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</si>
  <si>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</si>
  <si>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</si>
  <si>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</si>
  <si>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</si>
  <si>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</si>
  <si>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</si>
  <si>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</si>
  <si>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</si>
  <si>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</si>
  <si>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</si>
  <si>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</si>
  <si>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</si>
  <si>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</si>
  <si>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</si>
  <si>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</si>
  <si>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</si>
  <si>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</si>
  <si>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</si>
  <si>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</si>
  <si>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</si>
  <si>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</si>
  <si>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</si>
  <si>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</si>
  <si>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</si>
  <si>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</si>
  <si>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</si>
  <si>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</si>
  <si>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</si>
  <si>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</si>
  <si>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</si>
  <si>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</si>
  <si>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OK.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</si>
  <si>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</si>
  <si>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</si>
  <si>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</si>
  <si>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</si>
  <si>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</si>
  <si>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</si>
  <si>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</si>
  <si>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</si>
  <si>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</si>
  <si>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</si>
  <si>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</si>
  <si>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</si>
  <si>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</si>
  <si>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</si>
  <si>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</si>
  <si>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</si>
  <si>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</si>
  <si>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</si>
  <si>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</si>
  <si>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</si>
  <si>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</si>
  <si>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</si>
  <si>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</si>
  <si>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</si>
  <si>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</si>
  <si>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</si>
  <si>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</si>
  <si>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</si>
  <si>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</si>
  <si>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</si>
  <si>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</si>
  <si>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</si>
  <si>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</si>
  <si>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</si>
  <si>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</si>
  <si>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</si>
  <si>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</si>
  <si>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</si>
  <si>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</si>
  <si>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</si>
  <si>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</si>
  <si>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</si>
  <si>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</si>
  <si>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</si>
  <si>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</si>
  <si>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</si>
  <si>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</si>
  <si>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</si>
  <si>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</si>
  <si>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</si>
  <si>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</si>
  <si>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</si>
  <si>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</si>
  <si>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</si>
  <si>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</si>
  <si>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</si>
  <si>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</si>
  <si>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</si>
  <si>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</si>
  <si>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</si>
  <si>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</si>
  <si>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</si>
  <si>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</si>
  <si>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</si>
  <si>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</si>
  <si>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</si>
  <si>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</si>
  <si>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</si>
  <si>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</si>
  <si>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</si>
  <si>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</si>
  <si>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</si>
  <si>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</si>
  <si>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</si>
  <si>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</si>
  <si>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</si>
  <si>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</si>
  <si>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</si>
  <si>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</si>
  <si>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</si>
  <si>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</si>
  <si>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</si>
  <si>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</si>
  <si>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</si>
  <si>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</si>
  <si>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</si>
  <si>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</si>
  <si>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</si>
  <si>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</si>
  <si>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</si>
  <si>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</si>
  <si>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</si>
  <si>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</si>
  <si>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</si>
  <si>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</si>
  <si>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</si>
  <si>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</si>
  <si>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</si>
  <si>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</si>
  <si>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</si>
  <si>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</si>
  <si>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</si>
  <si>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</si>
  <si>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</si>
  <si>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</si>
  <si>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</si>
  <si>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</si>
  <si>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</si>
  <si>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</si>
  <si>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</si>
  <si>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</si>
  <si>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</si>
  <si>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</si>
  <si>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</si>
  <si>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</si>
  <si>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</si>
  <si>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</si>
  <si>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</si>
  <si>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</si>
  <si>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</si>
  <si>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</si>
  <si>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</si>
  <si>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</si>
  <si>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</si>
  <si>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</si>
  <si>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</si>
  <si>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</si>
  <si>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</si>
  <si>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</si>
  <si>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</si>
  <si>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</si>
  <si>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</si>
  <si>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</si>
  <si>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</si>
  <si>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</si>
  <si>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</si>
  <si>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</si>
  <si>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</si>
  <si>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</si>
  <si>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</si>
  <si>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</si>
  <si>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</si>
  <si>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</si>
  <si>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</si>
  <si>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</si>
  <si>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</si>
  <si>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</si>
  <si>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</si>
  <si>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</si>
  <si>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</si>
  <si>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</si>
  <si>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</si>
  <si>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</si>
  <si>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</si>
  <si>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</si>
  <si>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2019 $36M + USGS T3 nonfuel 2021 $794M -&gt; coal share 0.043 (applied to stateior 212 $1080M)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</si>
  <si>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</si>
  <si>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</si>
  <si>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</si>
  <si>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</si>
  <si>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</si>
  <si>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</si>
  <si>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</si>
  <si>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</si>
  <si>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</si>
  <si>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</si>
  <si>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</si>
  <si>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</si>
  <si>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</si>
  <si>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</si>
  <si>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</si>
  <si>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</si>
  <si>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</si>
  <si>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</si>
  <si>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OK.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</si>
  <si>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</si>
  <si>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</si>
  <si>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</si>
  <si>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</si>
  <si>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</si>
  <si>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</si>
  <si>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</si>
  <si>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</si>
  <si>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</si>
  <si>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</si>
  <si>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</si>
  <si>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</si>
  <si>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</si>
  <si>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</si>
  <si>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</si>
  <si>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</si>
  <si>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</si>
  <si>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</si>
  <si>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</si>
  <si>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</si>
  <si>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</si>
  <si>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</si>
  <si>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</si>
  <si>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</si>
  <si>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</si>
  <si>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</si>
  <si>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</si>
  <si>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</si>
  <si>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</si>
  <si>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</si>
  <si>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</si>
  <si>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</si>
  <si>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</si>
  <si>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</si>
  <si>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</si>
  <si>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</si>
  <si>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</si>
  <si>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</si>
  <si>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</si>
  <si>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</si>
  <si>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</si>
  <si>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</si>
  <si>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</si>
  <si>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</si>
  <si>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</si>
  <si>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</si>
  <si>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</si>
  <si>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</si>
  <si>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</si>
  <si>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</si>
  <si>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</si>
  <si>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</si>
  <si>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</si>
  <si>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</si>
  <si>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</si>
  <si>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</si>
  <si>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</si>
  <si>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</si>
  <si>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</si>
  <si>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</si>
  <si>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</si>
  <si>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</si>
  <si>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</si>
  <si>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</si>
  <si>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</si>
  <si>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</si>
  <si>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</si>
  <si>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</si>
  <si>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</si>
  <si>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</si>
  <si>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</si>
  <si>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</si>
  <si>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</si>
  <si>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</si>
  <si>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</si>
  <si>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</si>
  <si>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</si>
  <si>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</si>
  <si>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</si>
  <si>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</si>
  <si>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</si>
  <si>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</si>
  <si>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</si>
  <si>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</si>
  <si>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</si>
  <si>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</si>
  <si>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</si>
  <si>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</si>
  <si>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STEP 2 - aggregate weighted values to 42 ISIC, then deflate to 2012 USD (Keys!$C$2)</t>
  </si>
  <si>
    <t xml:space="preserve">value_2012USD</t>
  </si>
  <si>
    <t xml:space="preserve">output_USD_2012 (pipeline value; matches BObIC.csv; ESoP denominator)</t>
  </si>
  <si>
    <t xml:space="preserve">dcs_override</t>
  </si>
  <si>
    <t xml:space="preserve">EIA own-use-first balance: min(prod 0.9Mt, cons 5.4Mt)/cons [eia7a_coal_production_2019.csv + seds_coal_consumption_2019.csv]</t>
  </si>
  <si>
    <t xml:space="preserve">EIA energy-weighted balance: crude min(prod 217, runs 179)MMbbl=1.00 (w 54%), gas min(prod 3.04, cons 0.85)Tcf=1.00 (w 46%) [eia_og_balance_2019.csv]</t>
  </si>
  <si>
    <t xml:space="preserve">EIA SEDS balance: 1 - max(net inflow -17026, 0)/consumption 64796 GWh (ELISP+ELNIP vs ESTCP) [seds_electricity_2019.csv]</t>
  </si>
  <si>
    <t xml:space="preserve">Physical-locality assumption (staff decision 2026-07-16): local-infrastructure service; no federal interstate service-trade data exists</t>
  </si>
  <si>
    <t xml:space="preserve">esop_override</t>
  </si>
  <si>
    <t xml:space="preserve">Physical-locality assumption (staff decision 2026-07-16): local-infrastructure service; no exports</t>
  </si>
  <si>
    <t xml:space="preserve">EIA SEDS balance: max(net outflow 17026, 0)/(consumption 64796 + net outflow) GWh (ELISP+ELNIP vs ESTCP) [seds_electricity_2019.csv]</t>
  </si>
  <si>
    <t xml:space="preserve">DCS per ISIC = SoI-supplied / total consumption, den floored by Keys epsilon, clamped to [0,1]; final column applies overrides where present</t>
  </si>
  <si>
    <t xml:space="preserve">numerator</t>
  </si>
  <si>
    <t xml:space="preserve">denominator</t>
  </si>
  <si>
    <t xml:space="preserve">ratio (den floored by Keys epsilon)</t>
  </si>
  <si>
    <t xml:space="preserve">clamped_0_to_1</t>
  </si>
  <si>
    <t xml:space="preserve">final (override where present, else computed)</t>
  </si>
  <si>
    <t xml:space="preserve">ESoP per ISIC = (RoUS + intl exports) / output, den floored by Keys epsilon, clamped to [0,1]; final column applies overrides where present</t>
  </si>
  <si>
    <t xml:space="preserve">Unit: dimensionless (%)</t>
  </si>
  <si>
    <t xml:space="preserve">Percent of Consumption that is Domestic Content</t>
  </si>
  <si>
    <t xml:space="preserve">Export Share of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</si>
</sst>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1</v>
      </c>
    </row>
    <row r="35">
      <c r="A35" t="s">
        <v>4</v>
      </c>
    </row>
    <row r="36">
      <c r="A36" t="s">
        <v>27</v>
      </c>
    </row>
    <row r="37">
      <c r="A37" t="s">
        <v>4</v>
      </c>
    </row>
    <row r="38">
      <c r="A38" t="s">
        <v>28</v>
      </c>
    </row>
    <row r="39">
      <c r="A39" t="s">
        <v>29</v>
      </c>
    </row>
    <row r="40">
      <c r="A40" t="s">
        <v>1</v>
      </c>
    </row>
    <row r="41">
      <c r="A41" t="s">
        <v>30</v>
      </c>
    </row>
    <row r="42">
      <c r="A42" t="s">
        <v>31</v>
      </c>
    </row>
    <row r="43">
      <c r="A43" t="s">
        <v>32</v>
      </c>
    </row>
    <row r="44">
      <c r="A44" t="s">
        <v>33</v>
      </c>
    </row>
    <row r="45">
      <c r="A45" t="s">
        <v>34</v>
      </c>
    </row>
    <row r="46">
      <c r="A46" t="s">
        <v>35</v>
      </c>
    </row>
    <row r="47">
      <c r="A47" t="s">
        <v>36</v>
      </c>
    </row>
    <row r="48">
      <c r="A48" t="s">
        <v>37</v>
      </c>
    </row>
    <row r="49">
      <c r="A49" t="s">
        <v>38</v>
      </c>
    </row>
    <row r="50">
      <c r="A50" t="s">
        <v>39</v>
      </c>
    </row>
    <row r="51">
      <c r="A51" t="s">
        <v>40</v>
      </c>
    </row>
    <row r="52">
      <c r="A52" t="s">
        <v>1</v>
      </c>
    </row>
    <row r="53">
      <c r="A53" t="s">
        <v>41</v>
      </c>
    </row>
    <row r="54">
      <c r="A54" t="s">
        <v>42</v>
      </c>
    </row>
    <row r="55">
      <c r="A55" t="s">
        <v>1</v>
      </c>
    </row>
    <row r="56">
      <c r="A56" t="s">
        <v>4</v>
      </c>
    </row>
    <row r="57">
      <c r="A57" t="s">
        <v>43</v>
      </c>
    </row>
    <row r="58">
      <c r="A58" t="s">
        <v>4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71</v>
      </c>
    </row>
    <row r="96">
      <c r="A96" t="s">
        <v>72</v>
      </c>
    </row>
    <row r="97">
      <c r="A97" t="s">
        <v>73</v>
      </c>
    </row>
    <row r="98">
      <c r="A98" t="s">
        <v>1</v>
      </c>
    </row>
    <row r="99">
      <c r="A99" t="s">
        <v>74</v>
      </c>
    </row>
    <row r="100">
      <c r="A100" t="s">
        <v>75</v>
      </c>
    </row>
    <row r="101">
      <c r="A101" t="s">
        <v>76</v>
      </c>
    </row>
    <row r="102">
      <c r="A102" t="s">
        <v>1</v>
      </c>
    </row>
    <row r="103">
      <c r="A103" t="s">
        <v>4</v>
      </c>
    </row>
    <row r="104">
      <c r="A104" t="s">
        <v>77</v>
      </c>
    </row>
    <row r="105">
      <c r="A105" t="s">
        <v>4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1</v>
      </c>
    </row>
    <row r="110">
      <c r="A110" t="s">
        <v>81</v>
      </c>
    </row>
    <row r="111">
      <c r="A111" t="s">
        <v>82</v>
      </c>
    </row>
    <row r="112">
      <c r="A112" t="s">
        <v>83</v>
      </c>
    </row>
    <row r="113">
      <c r="A113" t="s">
        <v>84</v>
      </c>
    </row>
    <row r="114">
      <c r="A114" t="s">
        <v>85</v>
      </c>
    </row>
    <row r="115">
      <c r="A115" t="s">
        <v>86</v>
      </c>
    </row>
    <row r="116">
      <c r="A116" t="s">
        <v>1</v>
      </c>
    </row>
    <row r="117">
      <c r="A117" t="s">
        <v>87</v>
      </c>
    </row>
    <row r="118">
      <c r="A118" t="s">
        <v>88</v>
      </c>
    </row>
    <row r="119">
      <c r="A119" t="s">
        <v>89</v>
      </c>
    </row>
    <row r="120">
      <c r="A120" t="s">
        <v>90</v>
      </c>
    </row>
    <row r="121">
      <c r="A121" t="s">
        <v>91</v>
      </c>
    </row>
    <row r="122">
      <c r="A122" t="s">
        <v>92</v>
      </c>
    </row>
    <row r="123">
      <c r="A123" t="s">
        <v>93</v>
      </c>
    </row>
    <row r="124">
      <c r="A124" t="s">
        <v>94</v>
      </c>
    </row>
    <row r="125">
      <c r="A125" t="s">
        <v>95</v>
      </c>
    </row>
    <row r="126">
      <c r="A126" t="s">
        <v>96</v>
      </c>
    </row>
    <row r="127">
      <c r="A127" t="s">
        <v>97</v>
      </c>
    </row>
    <row r="128">
      <c r="A128" t="s">
        <v>98</v>
      </c>
    </row>
    <row r="129">
      <c r="A129" t="s">
        <v>99</v>
      </c>
    </row>
    <row r="130">
      <c r="A130" t="s">
        <v>100</v>
      </c>
    </row>
    <row r="131">
      <c r="A131" t="s">
        <v>101</v>
      </c>
    </row>
    <row r="132">
      <c r="A132" t="s">
        <v>102</v>
      </c>
    </row>
    <row r="133">
      <c r="A133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104</v>
      </c>
      <c r="B1" t="s">
        <v>105</v>
      </c>
      <c r="C1" t="s">
        <v>106</v>
      </c>
      <c r="D1" t="s">
        <v>107</v>
      </c>
    </row>
    <row r="2">
      <c r="A2" t="s">
        <v>108</v>
      </c>
      <c r="B2" t="s">
        <v>109</v>
      </c>
      <c r="C2" t="n">
        <v>1.12266</v>
      </c>
      <c r="D2" t="s">
        <v>110</v>
      </c>
    </row>
    <row r="3">
      <c r="A3" t="s">
        <v>111</v>
      </c>
      <c r="B3" t="s">
        <v>112</v>
      </c>
      <c r="C3" t="n">
        <v>2019</v>
      </c>
      <c r="D3" t="s">
        <v>113</v>
      </c>
    </row>
    <row r="4">
      <c r="A4" t="s">
        <v>114</v>
      </c>
      <c r="B4" t="s">
        <v>115</v>
      </c>
      <c r="C4" t="n">
        <v>0.000000001</v>
      </c>
      <c r="D4" t="s">
        <v>116</v>
      </c>
    </row>
    <row r="5">
      <c r="A5" t="s">
        <v>114</v>
      </c>
      <c r="B5" t="s">
        <v>117</v>
      </c>
      <c r="C5" t="n">
        <v>1</v>
      </c>
      <c r="D5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120</v>
      </c>
    </row>
    <row r="2">
      <c r="A2" t="s">
        <v>121</v>
      </c>
      <c r="B2" t="n">
        <v>1366564839.2618</v>
      </c>
    </row>
    <row r="3">
      <c r="A3" t="s">
        <v>122</v>
      </c>
      <c r="B3" t="n">
        <v>444932803.934861</v>
      </c>
    </row>
    <row r="4">
      <c r="A4" t="s">
        <v>123</v>
      </c>
      <c r="B4" t="n">
        <v>240609014.527045</v>
      </c>
    </row>
    <row r="5">
      <c r="A5" t="s">
        <v>124</v>
      </c>
      <c r="B5" t="n">
        <v>427689392.99409</v>
      </c>
    </row>
    <row r="6">
      <c r="A6" t="s">
        <v>125</v>
      </c>
      <c r="B6" t="n">
        <v>2060906591.97272</v>
      </c>
    </row>
    <row r="7">
      <c r="A7" t="s">
        <v>126</v>
      </c>
      <c r="B7" t="n">
        <v>1098362890.47306</v>
      </c>
    </row>
    <row r="8">
      <c r="A8" t="s">
        <v>127</v>
      </c>
      <c r="B8" t="n">
        <v>3068631174.90747</v>
      </c>
    </row>
    <row r="9">
      <c r="A9" t="s">
        <v>128</v>
      </c>
      <c r="B9" t="n">
        <v>358865920.038056</v>
      </c>
    </row>
    <row r="10">
      <c r="A10" t="s">
        <v>129</v>
      </c>
      <c r="B10" t="n">
        <v>787979706.02806</v>
      </c>
    </row>
    <row r="11">
      <c r="A11" t="s">
        <v>130</v>
      </c>
      <c r="B11" t="n">
        <v>698424757.996839</v>
      </c>
    </row>
    <row r="12">
      <c r="A12" t="s">
        <v>131</v>
      </c>
      <c r="B12" t="n">
        <v>1534479528.58325</v>
      </c>
    </row>
    <row r="13">
      <c r="A13" t="s">
        <v>132</v>
      </c>
      <c r="B13" t="n">
        <v>698090810.179163</v>
      </c>
    </row>
    <row r="14">
      <c r="A14" t="s">
        <v>133</v>
      </c>
      <c r="B14" t="n">
        <v>213920939.985689</v>
      </c>
    </row>
    <row r="15">
      <c r="A15" t="s">
        <v>134</v>
      </c>
      <c r="B15" t="n">
        <v>178358405.549239</v>
      </c>
    </row>
    <row r="16">
      <c r="A16" t="s">
        <v>135</v>
      </c>
      <c r="B16" t="n">
        <v>467517642.187078</v>
      </c>
    </row>
    <row r="17">
      <c r="A17" t="s">
        <v>136</v>
      </c>
      <c r="B17" t="n">
        <v>200767688.282136</v>
      </c>
    </row>
    <row r="18">
      <c r="A18" t="s">
        <v>137</v>
      </c>
      <c r="B18" t="n">
        <v>106061380.423417</v>
      </c>
    </row>
    <row r="19">
      <c r="A19" t="s">
        <v>138</v>
      </c>
      <c r="B19" t="n">
        <v>165378094.397537</v>
      </c>
    </row>
    <row r="20">
      <c r="A20" t="s">
        <v>139</v>
      </c>
      <c r="B20" t="n">
        <v>1517713204.12073</v>
      </c>
    </row>
    <row r="21">
      <c r="A21" t="s">
        <v>140</v>
      </c>
      <c r="B21" t="n">
        <v>20256839.1771256</v>
      </c>
    </row>
    <row r="22">
      <c r="A22" t="s">
        <v>141</v>
      </c>
      <c r="B22" t="n">
        <v>3699695.49796709</v>
      </c>
    </row>
    <row r="23">
      <c r="A23" t="s">
        <v>142</v>
      </c>
      <c r="B23" t="n">
        <v>661696467.674926</v>
      </c>
    </row>
    <row r="24">
      <c r="A24" t="s">
        <v>143</v>
      </c>
      <c r="B24" t="n">
        <v>297176990.92239</v>
      </c>
    </row>
    <row r="25">
      <c r="A25" t="s">
        <v>144</v>
      </c>
      <c r="B25" t="n">
        <v>2291298832.57831</v>
      </c>
    </row>
    <row r="26">
      <c r="A26" t="s">
        <v>145</v>
      </c>
      <c r="B26" t="n">
        <v>1180646574.12396</v>
      </c>
    </row>
    <row r="27">
      <c r="A27" t="s">
        <v>146</v>
      </c>
      <c r="B27" t="n">
        <v>568148662.608443</v>
      </c>
    </row>
    <row r="28">
      <c r="A28" t="s">
        <v>147</v>
      </c>
      <c r="B28" t="n">
        <v>2642819915.86327</v>
      </c>
    </row>
    <row r="29">
      <c r="A29" t="s">
        <v>148</v>
      </c>
      <c r="B29" t="n">
        <v>252233327.822875</v>
      </c>
    </row>
    <row r="30">
      <c r="A30" t="s">
        <v>149</v>
      </c>
      <c r="B30" t="n">
        <v>25136026.6314627</v>
      </c>
    </row>
    <row r="31">
      <c r="A31" t="s">
        <v>150</v>
      </c>
      <c r="B31" t="n">
        <v>796667.258613116</v>
      </c>
    </row>
    <row r="32">
      <c r="A32" t="s">
        <v>151</v>
      </c>
      <c r="B32" t="n">
        <v>979410811.197241</v>
      </c>
    </row>
    <row r="33">
      <c r="A33" t="s">
        <v>152</v>
      </c>
      <c r="B33" t="n">
        <v>360725859.574639</v>
      </c>
    </row>
    <row r="34">
      <c r="A34" t="s">
        <v>153</v>
      </c>
      <c r="B34" t="n">
        <v>492930657.727156</v>
      </c>
    </row>
    <row r="35">
      <c r="A35" t="s">
        <v>154</v>
      </c>
      <c r="B35" t="n">
        <v>2070632.50403406</v>
      </c>
    </row>
    <row r="36">
      <c r="A36" t="s">
        <v>155</v>
      </c>
      <c r="B36" t="n">
        <v>1056585680.95236</v>
      </c>
    </row>
    <row r="37">
      <c r="A37" t="s">
        <v>156</v>
      </c>
      <c r="B37" t="n">
        <v>584647016.73454</v>
      </c>
    </row>
    <row r="38">
      <c r="A38" t="s">
        <v>157</v>
      </c>
      <c r="B38" t="n">
        <v>351513557.696211</v>
      </c>
    </row>
    <row r="39">
      <c r="A39" t="s">
        <v>158</v>
      </c>
      <c r="B39" t="n">
        <v>2460249534.20986</v>
      </c>
    </row>
    <row r="40">
      <c r="A40" t="s">
        <v>159</v>
      </c>
      <c r="B40" t="n">
        <v>551943216.36937</v>
      </c>
    </row>
    <row r="41">
      <c r="A41" t="s">
        <v>160</v>
      </c>
      <c r="B41" t="n">
        <v>152224724.375309</v>
      </c>
    </row>
    <row r="42">
      <c r="A42" t="s">
        <v>161</v>
      </c>
      <c r="B42" t="n">
        <v>67473958.3293711</v>
      </c>
    </row>
    <row r="43">
      <c r="A43" t="s">
        <v>162</v>
      </c>
      <c r="B43" t="n">
        <v>2547234181.74122</v>
      </c>
    </row>
    <row r="44">
      <c r="A44" t="s">
        <v>163</v>
      </c>
      <c r="B44" t="n">
        <v>719835930.5079</v>
      </c>
    </row>
    <row r="45">
      <c r="A45" t="s">
        <v>164</v>
      </c>
      <c r="B45" t="n">
        <v>1083584882.68953</v>
      </c>
    </row>
    <row r="46">
      <c r="A46" t="s">
        <v>165</v>
      </c>
      <c r="B46" t="n">
        <v>710001366.473563</v>
      </c>
    </row>
    <row r="47">
      <c r="A47" t="s">
        <v>166</v>
      </c>
      <c r="B47" t="n">
        <v>854814075.168524</v>
      </c>
    </row>
    <row r="48">
      <c r="A48" t="s">
        <v>167</v>
      </c>
      <c r="B48" t="n">
        <v>15275135.3148883</v>
      </c>
    </row>
    <row r="49">
      <c r="A49" t="s">
        <v>168</v>
      </c>
      <c r="B49" t="n">
        <v>0</v>
      </c>
    </row>
    <row r="50">
      <c r="A50" t="s">
        <v>169</v>
      </c>
      <c r="B50" t="n">
        <v>10148046764.4084</v>
      </c>
    </row>
    <row r="51">
      <c r="A51" t="s">
        <v>170</v>
      </c>
      <c r="B51" t="n">
        <v>1080708581.06211</v>
      </c>
    </row>
    <row r="52">
      <c r="A52" t="s">
        <v>171</v>
      </c>
      <c r="B52" t="n">
        <v>1209603550.58534</v>
      </c>
    </row>
    <row r="53">
      <c r="A53" t="s">
        <v>172</v>
      </c>
      <c r="B53" t="n">
        <v>1354756152.3092</v>
      </c>
    </row>
    <row r="54">
      <c r="A54" t="s">
        <v>173</v>
      </c>
      <c r="B54" t="n">
        <v>2021655152.29926</v>
      </c>
    </row>
    <row r="55">
      <c r="A55" t="s">
        <v>174</v>
      </c>
      <c r="B55" t="n">
        <v>4030549512.97303</v>
      </c>
    </row>
    <row r="56">
      <c r="A56" t="s">
        <v>175</v>
      </c>
      <c r="B56" t="n">
        <v>4330090227.81751</v>
      </c>
    </row>
    <row r="57">
      <c r="A57" t="s">
        <v>176</v>
      </c>
      <c r="B57" t="n">
        <v>139283004.753737</v>
      </c>
    </row>
    <row r="58">
      <c r="A58" t="s">
        <v>177</v>
      </c>
      <c r="B58" t="n">
        <v>57060517.3802012</v>
      </c>
    </row>
    <row r="59">
      <c r="A59" t="s">
        <v>178</v>
      </c>
      <c r="B59" t="n">
        <v>415731636.529931</v>
      </c>
    </row>
    <row r="60">
      <c r="A60" t="s">
        <v>179</v>
      </c>
      <c r="B60" t="n">
        <v>8868060.39179233</v>
      </c>
    </row>
    <row r="61">
      <c r="A61" t="s">
        <v>180</v>
      </c>
      <c r="B61" t="n">
        <v>42420373.0249016</v>
      </c>
    </row>
    <row r="62">
      <c r="A62" t="s">
        <v>181</v>
      </c>
      <c r="B62" t="n">
        <v>0</v>
      </c>
    </row>
    <row r="63">
      <c r="A63" t="s">
        <v>182</v>
      </c>
      <c r="B63" t="n">
        <v>458278148.686333</v>
      </c>
    </row>
    <row r="64">
      <c r="A64" t="s">
        <v>183</v>
      </c>
      <c r="B64" t="n">
        <v>19469952.0304973</v>
      </c>
    </row>
    <row r="65">
      <c r="A65" t="s">
        <v>184</v>
      </c>
      <c r="B65" t="n">
        <v>328263255.553043</v>
      </c>
    </row>
    <row r="66">
      <c r="A66" t="s">
        <v>185</v>
      </c>
      <c r="B66" t="n">
        <v>1774716372.33394</v>
      </c>
    </row>
    <row r="67">
      <c r="A67" t="s">
        <v>186</v>
      </c>
      <c r="B67" t="n">
        <v>2442265214.89628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86539826.6169683</v>
      </c>
    </row>
    <row r="71">
      <c r="A71" t="s">
        <v>190</v>
      </c>
      <c r="B71" t="n">
        <v>0</v>
      </c>
    </row>
    <row r="72">
      <c r="A72" t="s">
        <v>191</v>
      </c>
      <c r="B72" t="n">
        <v>358417556.86096</v>
      </c>
    </row>
    <row r="73">
      <c r="A73" t="s">
        <v>192</v>
      </c>
      <c r="B73" t="n">
        <v>612508755.249342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194</v>
      </c>
    </row>
    <row r="2">
      <c r="A2" t="s">
        <v>121</v>
      </c>
      <c r="B2" t="n">
        <v>3234069565.36918</v>
      </c>
    </row>
    <row r="3">
      <c r="A3" t="s">
        <v>122</v>
      </c>
      <c r="B3" t="n">
        <v>802745495.634721</v>
      </c>
    </row>
    <row r="4">
      <c r="A4" t="s">
        <v>123</v>
      </c>
      <c r="B4" t="n">
        <v>6165247501.1635</v>
      </c>
    </row>
    <row r="5">
      <c r="A5" t="s">
        <v>124</v>
      </c>
      <c r="B5" t="n">
        <v>738012246.981601</v>
      </c>
    </row>
    <row r="6">
      <c r="A6" t="s">
        <v>125</v>
      </c>
      <c r="B6" t="n">
        <v>2562206035.71386</v>
      </c>
    </row>
    <row r="7">
      <c r="A7" t="s">
        <v>126</v>
      </c>
      <c r="B7" t="n">
        <v>4566820209.21945</v>
      </c>
    </row>
    <row r="8">
      <c r="A8" t="s">
        <v>127</v>
      </c>
      <c r="B8" t="n">
        <v>3068631174.90747</v>
      </c>
    </row>
    <row r="9">
      <c r="A9" t="s">
        <v>128</v>
      </c>
      <c r="B9" t="n">
        <v>923197310.526463</v>
      </c>
    </row>
    <row r="10">
      <c r="A10" t="s">
        <v>129</v>
      </c>
      <c r="B10" t="n">
        <v>1460114610.15592</v>
      </c>
    </row>
    <row r="11">
      <c r="A11" t="s">
        <v>130</v>
      </c>
      <c r="B11" t="n">
        <v>3640963845.49242</v>
      </c>
    </row>
    <row r="12">
      <c r="A12" t="s">
        <v>131</v>
      </c>
      <c r="B12" t="n">
        <v>4715308177.25303</v>
      </c>
    </row>
    <row r="13">
      <c r="A13" t="s">
        <v>132</v>
      </c>
      <c r="B13" t="n">
        <v>3131080888.33383</v>
      </c>
    </row>
    <row r="14">
      <c r="A14" t="s">
        <v>133</v>
      </c>
      <c r="B14" t="n">
        <v>1578782994.78639</v>
      </c>
    </row>
    <row r="15">
      <c r="A15" t="s">
        <v>134</v>
      </c>
      <c r="B15" t="n">
        <v>1175400137.6431</v>
      </c>
    </row>
    <row r="16">
      <c r="A16" t="s">
        <v>135</v>
      </c>
      <c r="B16" t="n">
        <v>2441602844.99933</v>
      </c>
    </row>
    <row r="17">
      <c r="A17" t="s">
        <v>136</v>
      </c>
      <c r="B17" t="n">
        <v>1058713659.74444</v>
      </c>
    </row>
    <row r="18">
      <c r="A18" t="s">
        <v>137</v>
      </c>
      <c r="B18" t="n">
        <v>237423099.223459</v>
      </c>
    </row>
    <row r="19">
      <c r="A19" t="s">
        <v>138</v>
      </c>
      <c r="B19" t="n">
        <v>690109037.004734</v>
      </c>
    </row>
    <row r="20">
      <c r="A20" t="s">
        <v>139</v>
      </c>
      <c r="B20" t="n">
        <v>3766183644.42794</v>
      </c>
    </row>
    <row r="21">
      <c r="A21" t="s">
        <v>140</v>
      </c>
      <c r="B21" t="n">
        <v>398868102.645793</v>
      </c>
    </row>
    <row r="22">
      <c r="A22" t="s">
        <v>141</v>
      </c>
      <c r="B22" t="n">
        <v>127541474.093328</v>
      </c>
    </row>
    <row r="23">
      <c r="A23" t="s">
        <v>142</v>
      </c>
      <c r="B23" t="n">
        <v>1750882476.05197</v>
      </c>
    </row>
    <row r="24">
      <c r="A24" t="s">
        <v>143</v>
      </c>
      <c r="B24" t="n">
        <v>512538694.034523</v>
      </c>
    </row>
    <row r="25">
      <c r="A25" t="s">
        <v>144</v>
      </c>
      <c r="B25" t="n">
        <v>4570365470.97148</v>
      </c>
    </row>
    <row r="26">
      <c r="A26" t="s">
        <v>145</v>
      </c>
      <c r="B26" t="n">
        <v>5540238200.25114</v>
      </c>
    </row>
    <row r="27">
      <c r="A27" t="s">
        <v>146</v>
      </c>
      <c r="B27" t="n">
        <v>2283638267.80607</v>
      </c>
    </row>
    <row r="28">
      <c r="A28" t="s">
        <v>147</v>
      </c>
      <c r="B28" t="n">
        <v>10326725942.5697</v>
      </c>
    </row>
    <row r="29">
      <c r="A29" t="s">
        <v>148</v>
      </c>
      <c r="B29" t="n">
        <v>252233327.822875</v>
      </c>
    </row>
    <row r="30">
      <c r="A30" t="s">
        <v>149</v>
      </c>
      <c r="B30" t="n">
        <v>25136026.6314627</v>
      </c>
    </row>
    <row r="31">
      <c r="A31" t="s">
        <v>150</v>
      </c>
      <c r="B31" t="n">
        <v>52563847.1942538</v>
      </c>
    </row>
    <row r="32">
      <c r="A32" t="s">
        <v>151</v>
      </c>
      <c r="B32" t="n">
        <v>1112535507.74069</v>
      </c>
    </row>
    <row r="33">
      <c r="A33" t="s">
        <v>152</v>
      </c>
      <c r="B33" t="n">
        <v>889056518.61593</v>
      </c>
    </row>
    <row r="34">
      <c r="A34" t="s">
        <v>153</v>
      </c>
      <c r="B34" t="n">
        <v>659616350.058058</v>
      </c>
    </row>
    <row r="35">
      <c r="A35" t="s">
        <v>154</v>
      </c>
      <c r="B35" t="n">
        <v>144616547.372861</v>
      </c>
    </row>
    <row r="36">
      <c r="A36" t="s">
        <v>155</v>
      </c>
      <c r="B36" t="n">
        <v>2235824649.39411</v>
      </c>
    </row>
    <row r="37">
      <c r="A37" t="s">
        <v>156</v>
      </c>
      <c r="B37" t="n">
        <v>584647016.73454</v>
      </c>
    </row>
    <row r="38">
      <c r="A38" t="s">
        <v>157</v>
      </c>
      <c r="B38" t="n">
        <v>1270831958.91508</v>
      </c>
    </row>
    <row r="39">
      <c r="A39" t="s">
        <v>158</v>
      </c>
      <c r="B39" t="n">
        <v>2460566826.06658</v>
      </c>
    </row>
    <row r="40">
      <c r="A40" t="s">
        <v>159</v>
      </c>
      <c r="B40" t="n">
        <v>1400464099.93009</v>
      </c>
    </row>
    <row r="41">
      <c r="A41" t="s">
        <v>160</v>
      </c>
      <c r="B41" t="n">
        <v>602138775.054706</v>
      </c>
    </row>
    <row r="42">
      <c r="A42" t="s">
        <v>161</v>
      </c>
      <c r="B42" t="n">
        <v>490835260.321048</v>
      </c>
    </row>
    <row r="43">
      <c r="A43" t="s">
        <v>162</v>
      </c>
      <c r="B43" t="n">
        <v>3380353508.88529</v>
      </c>
    </row>
    <row r="44">
      <c r="A44" t="s">
        <v>163</v>
      </c>
      <c r="B44" t="n">
        <v>2132646064.19701</v>
      </c>
    </row>
    <row r="45">
      <c r="A45" t="s">
        <v>164</v>
      </c>
      <c r="B45" t="n">
        <v>5701166231.56243</v>
      </c>
    </row>
    <row r="46">
      <c r="A46" t="s">
        <v>165</v>
      </c>
      <c r="B46" t="n">
        <v>2141217047.62818</v>
      </c>
    </row>
    <row r="47">
      <c r="A47" t="s">
        <v>166</v>
      </c>
      <c r="B47" t="n">
        <v>5448276512.52501</v>
      </c>
    </row>
    <row r="48">
      <c r="A48" t="s">
        <v>167</v>
      </c>
      <c r="B48" t="n">
        <v>41949867.1724828</v>
      </c>
    </row>
    <row r="49">
      <c r="A49" t="s">
        <v>168</v>
      </c>
      <c r="B49" t="n">
        <v>0</v>
      </c>
    </row>
    <row r="50">
      <c r="A50" t="s">
        <v>169</v>
      </c>
      <c r="B50" t="n">
        <v>10148046764.4084</v>
      </c>
    </row>
    <row r="51">
      <c r="A51" t="s">
        <v>170</v>
      </c>
      <c r="B51" t="n">
        <v>3408126807.37845</v>
      </c>
    </row>
    <row r="52">
      <c r="A52" t="s">
        <v>171</v>
      </c>
      <c r="B52" t="n">
        <v>1843782567.34175</v>
      </c>
    </row>
    <row r="53">
      <c r="A53" t="s">
        <v>172</v>
      </c>
      <c r="B53" t="n">
        <v>2430896582.32738</v>
      </c>
    </row>
    <row r="54">
      <c r="A54" t="s">
        <v>173</v>
      </c>
      <c r="B54" t="n">
        <v>11108444200.4666</v>
      </c>
    </row>
    <row r="55">
      <c r="A55" t="s">
        <v>174</v>
      </c>
      <c r="B55" t="n">
        <v>7699235699.17921</v>
      </c>
    </row>
    <row r="56">
      <c r="A56" t="s">
        <v>175</v>
      </c>
      <c r="B56" t="n">
        <v>7823640331.65725</v>
      </c>
    </row>
    <row r="57">
      <c r="A57" t="s">
        <v>176</v>
      </c>
      <c r="B57" t="n">
        <v>976157290.628978</v>
      </c>
    </row>
    <row r="58">
      <c r="A58" t="s">
        <v>177</v>
      </c>
      <c r="B58" t="n">
        <v>214053856.695539</v>
      </c>
    </row>
    <row r="59">
      <c r="A59" t="s">
        <v>178</v>
      </c>
      <c r="B59" t="n">
        <v>415783107.165586</v>
      </c>
    </row>
    <row r="60">
      <c r="A60" t="s">
        <v>179</v>
      </c>
      <c r="B60" t="n">
        <v>8868060.39179233</v>
      </c>
    </row>
    <row r="61">
      <c r="A61" t="s">
        <v>180</v>
      </c>
      <c r="B61" t="n">
        <v>42433895.8728503</v>
      </c>
    </row>
    <row r="62">
      <c r="A62" t="s">
        <v>181</v>
      </c>
      <c r="B62" t="n">
        <v>0</v>
      </c>
    </row>
    <row r="63">
      <c r="A63" t="s">
        <v>182</v>
      </c>
      <c r="B63" t="n">
        <v>662715037.096085</v>
      </c>
    </row>
    <row r="64">
      <c r="A64" t="s">
        <v>183</v>
      </c>
      <c r="B64" t="n">
        <v>58407676.8593132</v>
      </c>
    </row>
    <row r="65">
      <c r="A65" t="s">
        <v>184</v>
      </c>
      <c r="B65" t="n">
        <v>561370793.778271</v>
      </c>
    </row>
    <row r="66">
      <c r="A66" t="s">
        <v>185</v>
      </c>
      <c r="B66" t="n">
        <v>1774716372.33394</v>
      </c>
    </row>
    <row r="67">
      <c r="A67" t="s">
        <v>186</v>
      </c>
      <c r="B67" t="n">
        <v>2546168147.10122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529558857.064353</v>
      </c>
    </row>
    <row r="71">
      <c r="A71" t="s">
        <v>190</v>
      </c>
      <c r="B71" t="n">
        <v>0</v>
      </c>
    </row>
    <row r="72">
      <c r="A72" t="s">
        <v>191</v>
      </c>
      <c r="B72" t="n">
        <v>358417556.86096</v>
      </c>
    </row>
    <row r="73">
      <c r="A73" t="s">
        <v>192</v>
      </c>
      <c r="B73" t="n">
        <v>676623547.145104</v>
      </c>
    </row>
    <row r="74">
      <c r="A74" t="s">
        <v>193</v>
      </c>
      <c r="B74" t="n">
        <v>1094114294.38836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195</v>
      </c>
    </row>
    <row r="2">
      <c r="A2" t="s">
        <v>121</v>
      </c>
      <c r="B2" t="n">
        <v>5634621191.24546</v>
      </c>
    </row>
    <row r="3">
      <c r="A3" t="s">
        <v>122</v>
      </c>
      <c r="B3" t="n">
        <v>4169340.04009604</v>
      </c>
    </row>
    <row r="4">
      <c r="A4" t="s">
        <v>123</v>
      </c>
      <c r="B4" t="n">
        <v>19171207605.1256</v>
      </c>
    </row>
    <row r="5">
      <c r="A5" t="s">
        <v>124</v>
      </c>
      <c r="B5" t="n">
        <v>455731643.305415</v>
      </c>
    </row>
    <row r="6">
      <c r="A6" t="s">
        <v>125</v>
      </c>
      <c r="B6" t="n">
        <v>155629107.594348</v>
      </c>
    </row>
    <row r="7">
      <c r="A7" t="s">
        <v>126</v>
      </c>
      <c r="B7" t="n">
        <v>6433104004.99634</v>
      </c>
    </row>
    <row r="8">
      <c r="A8" t="s">
        <v>127</v>
      </c>
      <c r="B8" t="n">
        <v>0</v>
      </c>
    </row>
    <row r="9">
      <c r="A9" t="s">
        <v>128</v>
      </c>
      <c r="B9" t="n">
        <v>222394962.266963</v>
      </c>
    </row>
    <row r="10">
      <c r="A10" t="s">
        <v>129</v>
      </c>
      <c r="B10" t="n">
        <v>1232449056.60727</v>
      </c>
    </row>
    <row r="11">
      <c r="A11" t="s">
        <v>130</v>
      </c>
      <c r="B11" t="n">
        <v>712580972.755354</v>
      </c>
    </row>
    <row r="12">
      <c r="A12" t="s">
        <v>131</v>
      </c>
      <c r="B12" t="n">
        <v>4285056780.89334</v>
      </c>
    </row>
    <row r="13">
      <c r="A13" t="s">
        <v>132</v>
      </c>
      <c r="B13" t="n">
        <v>4563232218.87209</v>
      </c>
    </row>
    <row r="14">
      <c r="A14" t="s">
        <v>133</v>
      </c>
      <c r="B14" t="n">
        <v>193105323.833094</v>
      </c>
    </row>
    <row r="15">
      <c r="A15" t="s">
        <v>134</v>
      </c>
      <c r="B15" t="n">
        <v>272727645.421821</v>
      </c>
    </row>
    <row r="16">
      <c r="A16" t="s">
        <v>135</v>
      </c>
      <c r="B16" t="n">
        <v>1746713834.40095</v>
      </c>
    </row>
    <row r="17">
      <c r="A17" t="s">
        <v>136</v>
      </c>
      <c r="B17" t="n">
        <v>1069985019.54686</v>
      </c>
    </row>
    <row r="18">
      <c r="A18" t="s">
        <v>137</v>
      </c>
      <c r="B18" t="n">
        <v>402685.707677413</v>
      </c>
    </row>
    <row r="19">
      <c r="A19" t="s">
        <v>138</v>
      </c>
      <c r="B19" t="n">
        <v>241372447.836447</v>
      </c>
    </row>
    <row r="20">
      <c r="A20" t="s">
        <v>139</v>
      </c>
      <c r="B20" t="n">
        <v>2947660458.90336</v>
      </c>
    </row>
    <row r="21">
      <c r="A21" t="s">
        <v>140</v>
      </c>
      <c r="B21" t="n">
        <v>103520609.053747</v>
      </c>
    </row>
    <row r="22">
      <c r="A22" t="s">
        <v>141</v>
      </c>
      <c r="B22" t="n">
        <v>89826521.0346225</v>
      </c>
    </row>
    <row r="23">
      <c r="A23" t="s">
        <v>142</v>
      </c>
      <c r="B23" t="n">
        <v>2135615157.4642</v>
      </c>
    </row>
    <row r="24">
      <c r="A24" t="s">
        <v>143</v>
      </c>
      <c r="B24" t="n">
        <v>285700.775758543</v>
      </c>
    </row>
    <row r="25">
      <c r="A25" t="s">
        <v>144</v>
      </c>
      <c r="B25" t="n">
        <v>7225528435.06538</v>
      </c>
    </row>
    <row r="26">
      <c r="A26" t="s">
        <v>145</v>
      </c>
      <c r="B26" t="n">
        <v>698129137.584921</v>
      </c>
    </row>
    <row r="27">
      <c r="A27" t="s">
        <v>146</v>
      </c>
      <c r="B27" t="n">
        <v>3096880893.19053</v>
      </c>
    </row>
    <row r="28">
      <c r="A28" t="s">
        <v>147</v>
      </c>
      <c r="B28" t="n">
        <v>10749578186.9086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3566436007.36698</v>
      </c>
    </row>
    <row r="32">
      <c r="A32" t="s">
        <v>151</v>
      </c>
      <c r="B32" t="n">
        <v>38921598.8590296</v>
      </c>
    </row>
    <row r="33">
      <c r="A33" t="s">
        <v>152</v>
      </c>
      <c r="B33" t="n">
        <v>854476974.29909</v>
      </c>
    </row>
    <row r="34">
      <c r="A34" t="s">
        <v>153</v>
      </c>
      <c r="B34" t="n">
        <v>774702564.835027</v>
      </c>
    </row>
    <row r="35">
      <c r="A35" t="s">
        <v>154</v>
      </c>
      <c r="B35" t="n">
        <v>15464.2865398234</v>
      </c>
    </row>
    <row r="36">
      <c r="A36" t="s">
        <v>155</v>
      </c>
      <c r="B36" t="n">
        <v>2874319000.24153</v>
      </c>
    </row>
    <row r="37">
      <c r="A37" t="s">
        <v>156</v>
      </c>
      <c r="B37" t="n">
        <v>0</v>
      </c>
    </row>
    <row r="38">
      <c r="A38" t="s">
        <v>157</v>
      </c>
      <c r="B38" t="n">
        <v>5988730624.76799</v>
      </c>
    </row>
    <row r="39">
      <c r="A39" t="s">
        <v>158</v>
      </c>
      <c r="B39" t="n">
        <v>0</v>
      </c>
    </row>
    <row r="40">
      <c r="A40" t="s">
        <v>159</v>
      </c>
      <c r="B40" t="n">
        <v>869281197.324842</v>
      </c>
    </row>
    <row r="41">
      <c r="A41" t="s">
        <v>160</v>
      </c>
      <c r="B41" t="n">
        <v>1625130466.72631</v>
      </c>
    </row>
    <row r="42">
      <c r="A42" t="s">
        <v>161</v>
      </c>
      <c r="B42" t="n">
        <v>82871326.5576761</v>
      </c>
    </row>
    <row r="43">
      <c r="A43" t="s">
        <v>162</v>
      </c>
      <c r="B43" t="n">
        <v>627883027.214444</v>
      </c>
    </row>
    <row r="44">
      <c r="A44" t="s">
        <v>163</v>
      </c>
      <c r="B44" t="n">
        <v>522749.776498014</v>
      </c>
    </row>
    <row r="45">
      <c r="A45" t="s">
        <v>164</v>
      </c>
      <c r="B45" t="n">
        <v>3292217637.91161</v>
      </c>
    </row>
    <row r="46">
      <c r="A46" t="s">
        <v>165</v>
      </c>
      <c r="B46" t="n">
        <v>711312.250554747</v>
      </c>
    </row>
    <row r="47">
      <c r="A47" t="s">
        <v>166</v>
      </c>
      <c r="B47" t="n">
        <v>4612066509.86869</v>
      </c>
    </row>
    <row r="48">
      <c r="A48" t="s">
        <v>167</v>
      </c>
      <c r="B48" t="n">
        <v>314540.854957841</v>
      </c>
    </row>
    <row r="49">
      <c r="A49" t="s">
        <v>168</v>
      </c>
      <c r="B49" t="n">
        <v>0</v>
      </c>
    </row>
    <row r="50">
      <c r="A50" t="s">
        <v>169</v>
      </c>
      <c r="B50" t="n">
        <v>0</v>
      </c>
    </row>
    <row r="51">
      <c r="A51" t="s">
        <v>170</v>
      </c>
      <c r="B51" t="n">
        <v>1839480223.19954</v>
      </c>
    </row>
    <row r="52">
      <c r="A52" t="s">
        <v>171</v>
      </c>
      <c r="B52" t="n">
        <v>257373658.449478</v>
      </c>
    </row>
    <row r="53">
      <c r="A53" t="s">
        <v>172</v>
      </c>
      <c r="B53" t="n">
        <v>1577340.00383661</v>
      </c>
    </row>
    <row r="54">
      <c r="A54" t="s">
        <v>173</v>
      </c>
      <c r="B54" t="n">
        <v>9744591916.41925</v>
      </c>
    </row>
    <row r="55">
      <c r="A55" t="s">
        <v>174</v>
      </c>
      <c r="B55" t="n">
        <v>5286724.82844544</v>
      </c>
    </row>
    <row r="56">
      <c r="A56" t="s">
        <v>175</v>
      </c>
      <c r="B56" t="n">
        <v>5392463853.87066</v>
      </c>
    </row>
    <row r="57">
      <c r="A57" t="s">
        <v>176</v>
      </c>
      <c r="B57" t="n">
        <v>1059744714.52913</v>
      </c>
    </row>
    <row r="58">
      <c r="A58" t="s">
        <v>177</v>
      </c>
      <c r="B58" t="n">
        <v>1848004670.00203</v>
      </c>
    </row>
    <row r="59">
      <c r="A59" t="s">
        <v>178</v>
      </c>
      <c r="B59" t="n">
        <v>0</v>
      </c>
    </row>
    <row r="60">
      <c r="A60" t="s">
        <v>179</v>
      </c>
      <c r="B60" t="n">
        <v>0</v>
      </c>
    </row>
    <row r="61">
      <c r="A61" t="s">
        <v>180</v>
      </c>
      <c r="B61" t="n">
        <v>0</v>
      </c>
    </row>
    <row r="62">
      <c r="A62" t="s">
        <v>181</v>
      </c>
      <c r="B62" t="n">
        <v>0</v>
      </c>
    </row>
    <row r="63">
      <c r="A63" t="s">
        <v>182</v>
      </c>
      <c r="B63" t="n">
        <v>911287.032225459</v>
      </c>
    </row>
    <row r="64">
      <c r="A64" t="s">
        <v>183</v>
      </c>
      <c r="B64" t="n">
        <v>1076912221.37804</v>
      </c>
    </row>
    <row r="65">
      <c r="A65" t="s">
        <v>184</v>
      </c>
      <c r="B65" t="n">
        <v>1247135.73245091</v>
      </c>
    </row>
    <row r="66">
      <c r="A66" t="s">
        <v>185</v>
      </c>
      <c r="B66" t="n">
        <v>0</v>
      </c>
    </row>
    <row r="67">
      <c r="A67" t="s">
        <v>186</v>
      </c>
      <c r="B67" t="n">
        <v>779758043.581503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785294763.750422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0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196</v>
      </c>
    </row>
    <row r="2">
      <c r="A2" t="s">
        <v>121</v>
      </c>
      <c r="B2" t="n">
        <v>166236866.840206</v>
      </c>
    </row>
    <row r="3">
      <c r="A3" t="s">
        <v>122</v>
      </c>
      <c r="B3" t="n">
        <v>491504.381219098</v>
      </c>
    </row>
    <row r="4">
      <c r="A4" t="s">
        <v>123</v>
      </c>
      <c r="B4" t="n">
        <v>7898773639.08572</v>
      </c>
    </row>
    <row r="5">
      <c r="A5" t="s">
        <v>124</v>
      </c>
      <c r="B5" t="n">
        <v>24839364.0127778</v>
      </c>
    </row>
    <row r="6">
      <c r="A6" t="s">
        <v>125</v>
      </c>
      <c r="B6" t="n">
        <v>552520.042027863</v>
      </c>
    </row>
    <row r="7">
      <c r="A7" t="s">
        <v>126</v>
      </c>
      <c r="B7" t="n">
        <v>53217363.3787901</v>
      </c>
    </row>
    <row r="8">
      <c r="A8" t="s">
        <v>127</v>
      </c>
      <c r="B8" t="n">
        <v>920243.482392499</v>
      </c>
    </row>
    <row r="9">
      <c r="A9" t="s">
        <v>128</v>
      </c>
      <c r="B9" t="n">
        <v>6932973.91550002</v>
      </c>
    </row>
    <row r="10">
      <c r="A10" t="s">
        <v>129</v>
      </c>
      <c r="B10" t="n">
        <v>21326668.72385</v>
      </c>
    </row>
    <row r="11">
      <c r="A11" t="s">
        <v>130</v>
      </c>
      <c r="B11" t="n">
        <v>98311050.0658713</v>
      </c>
    </row>
    <row r="12">
      <c r="A12" t="s">
        <v>131</v>
      </c>
      <c r="B12" t="n">
        <v>376308679.500742</v>
      </c>
    </row>
    <row r="13">
      <c r="A13" t="s">
        <v>132</v>
      </c>
      <c r="B13" t="n">
        <v>894892011.45385</v>
      </c>
    </row>
    <row r="14">
      <c r="A14" t="s">
        <v>133</v>
      </c>
      <c r="B14" t="n">
        <v>405177920.267007</v>
      </c>
    </row>
    <row r="15">
      <c r="A15" t="s">
        <v>134</v>
      </c>
      <c r="B15" t="n">
        <v>189574183.197044</v>
      </c>
    </row>
    <row r="16">
      <c r="A16" t="s">
        <v>135</v>
      </c>
      <c r="B16" t="n">
        <v>232835481.291224</v>
      </c>
    </row>
    <row r="17">
      <c r="A17" t="s">
        <v>136</v>
      </c>
      <c r="B17" t="n">
        <v>780513871.352681</v>
      </c>
    </row>
    <row r="18">
      <c r="A18" t="s">
        <v>137</v>
      </c>
      <c r="B18" t="n">
        <v>4345959.54666495</v>
      </c>
    </row>
    <row r="19">
      <c r="A19" t="s">
        <v>138</v>
      </c>
      <c r="B19" t="n">
        <v>58695543.4970987</v>
      </c>
    </row>
    <row r="20">
      <c r="A20" t="s">
        <v>139</v>
      </c>
      <c r="B20" t="n">
        <v>306145669.981441</v>
      </c>
    </row>
    <row r="21">
      <c r="A21" t="s">
        <v>140</v>
      </c>
      <c r="B21" t="n">
        <v>16094243.6368847</v>
      </c>
    </row>
    <row r="22">
      <c r="A22" t="s">
        <v>141</v>
      </c>
      <c r="B22" t="n">
        <v>5960880.34574858</v>
      </c>
    </row>
    <row r="23">
      <c r="A23" t="s">
        <v>142</v>
      </c>
      <c r="B23" t="n">
        <v>29103033.5299389</v>
      </c>
    </row>
    <row r="24">
      <c r="A24" t="s">
        <v>143</v>
      </c>
      <c r="B24" t="n">
        <v>2588639.34798475</v>
      </c>
    </row>
    <row r="25">
      <c r="A25" t="s">
        <v>144</v>
      </c>
      <c r="B25" t="n">
        <v>74798370.4245121</v>
      </c>
    </row>
    <row r="26">
      <c r="A26" t="s">
        <v>145</v>
      </c>
      <c r="B26" t="n">
        <v>615815675.772004</v>
      </c>
    </row>
    <row r="27">
      <c r="A27" t="s">
        <v>146</v>
      </c>
      <c r="B27" t="n">
        <v>112858439.160197</v>
      </c>
    </row>
    <row r="28">
      <c r="A28" t="s">
        <v>147</v>
      </c>
      <c r="B28" t="n">
        <v>1721880389.54859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0</v>
      </c>
    </row>
    <row r="32">
      <c r="A32" t="s">
        <v>151</v>
      </c>
      <c r="B32" t="n">
        <v>0</v>
      </c>
    </row>
    <row r="33">
      <c r="A33" t="s">
        <v>152</v>
      </c>
      <c r="B33" t="n">
        <v>357684217.613474</v>
      </c>
    </row>
    <row r="34">
      <c r="A34" t="s">
        <v>153</v>
      </c>
      <c r="B34" t="n">
        <v>244574655.920168</v>
      </c>
    </row>
    <row r="35">
      <c r="A35" t="s">
        <v>154</v>
      </c>
      <c r="B35" t="n">
        <v>757133.781501663</v>
      </c>
    </row>
    <row r="36">
      <c r="A36" t="s">
        <v>155</v>
      </c>
      <c r="B36" t="n">
        <v>430621531.965694</v>
      </c>
    </row>
    <row r="37">
      <c r="A37" t="s">
        <v>156</v>
      </c>
      <c r="B37" t="n">
        <v>0</v>
      </c>
    </row>
    <row r="38">
      <c r="A38" t="s">
        <v>157</v>
      </c>
      <c r="B38" t="n">
        <v>1084915726.94238</v>
      </c>
    </row>
    <row r="39">
      <c r="A39" t="s">
        <v>158</v>
      </c>
      <c r="B39" t="n">
        <v>86258449.2777005</v>
      </c>
    </row>
    <row r="40">
      <c r="A40" t="s">
        <v>159</v>
      </c>
      <c r="B40" t="n">
        <v>1722627.18510798</v>
      </c>
    </row>
    <row r="41">
      <c r="A41" t="s">
        <v>160</v>
      </c>
      <c r="B41" t="n">
        <v>258041857.197098</v>
      </c>
    </row>
    <row r="42">
      <c r="A42" t="s">
        <v>161</v>
      </c>
      <c r="B42" t="n">
        <v>26334736.5106939</v>
      </c>
    </row>
    <row r="43">
      <c r="A43" t="s">
        <v>162</v>
      </c>
      <c r="B43" t="n">
        <v>82695262.5502581</v>
      </c>
    </row>
    <row r="44">
      <c r="A44" t="s">
        <v>163</v>
      </c>
      <c r="B44" t="n">
        <v>18691565.9145743</v>
      </c>
    </row>
    <row r="45">
      <c r="A45" t="s">
        <v>164</v>
      </c>
      <c r="B45" t="n">
        <v>349695796.603632</v>
      </c>
    </row>
    <row r="46">
      <c r="A46" t="s">
        <v>165</v>
      </c>
      <c r="B46" t="n">
        <v>188322291.935082</v>
      </c>
    </row>
    <row r="47">
      <c r="A47" t="s">
        <v>166</v>
      </c>
      <c r="B47" t="n">
        <v>104437435.135688</v>
      </c>
    </row>
    <row r="48">
      <c r="A48" t="s">
        <v>167</v>
      </c>
      <c r="B48" t="n">
        <v>0</v>
      </c>
    </row>
    <row r="49">
      <c r="A49" t="s">
        <v>168</v>
      </c>
      <c r="B49" t="n">
        <v>0</v>
      </c>
    </row>
    <row r="50">
      <c r="A50" t="s">
        <v>169</v>
      </c>
      <c r="B50" t="n">
        <v>14319545.9788794</v>
      </c>
    </row>
    <row r="51">
      <c r="A51" t="s">
        <v>170</v>
      </c>
      <c r="B51" t="n">
        <v>665199015.009802</v>
      </c>
    </row>
    <row r="52">
      <c r="A52" t="s">
        <v>171</v>
      </c>
      <c r="B52" t="n">
        <v>100350176.927648</v>
      </c>
    </row>
    <row r="53">
      <c r="A53" t="s">
        <v>172</v>
      </c>
      <c r="B53" t="n">
        <v>149194063.389577</v>
      </c>
    </row>
    <row r="54">
      <c r="A54" t="s">
        <v>173</v>
      </c>
      <c r="B54" t="n">
        <v>1012361781.99189</v>
      </c>
    </row>
    <row r="55">
      <c r="A55" t="s">
        <v>174</v>
      </c>
      <c r="B55" t="n">
        <v>29453526.0440552</v>
      </c>
    </row>
    <row r="56">
      <c r="A56" t="s">
        <v>175</v>
      </c>
      <c r="B56" t="n">
        <v>30638143.8749993</v>
      </c>
    </row>
    <row r="57">
      <c r="A57" t="s">
        <v>176</v>
      </c>
      <c r="B57" t="n">
        <v>2046556.42790899</v>
      </c>
    </row>
    <row r="58">
      <c r="A58" t="s">
        <v>177</v>
      </c>
      <c r="B58" t="n">
        <v>16900396.5227218</v>
      </c>
    </row>
    <row r="59">
      <c r="A59" t="s">
        <v>178</v>
      </c>
      <c r="B59" t="n">
        <v>9615933.88825813</v>
      </c>
    </row>
    <row r="60">
      <c r="A60" t="s">
        <v>179</v>
      </c>
      <c r="B60" t="n">
        <v>45980371.7342001</v>
      </c>
    </row>
    <row r="61">
      <c r="A61" t="s">
        <v>180</v>
      </c>
      <c r="B61" t="n">
        <v>2290673.3797961</v>
      </c>
    </row>
    <row r="62">
      <c r="A62" t="s">
        <v>181</v>
      </c>
      <c r="B62" t="n">
        <v>0</v>
      </c>
    </row>
    <row r="63">
      <c r="A63" t="s">
        <v>182</v>
      </c>
      <c r="B63" t="n">
        <v>7217570.85784413</v>
      </c>
    </row>
    <row r="64">
      <c r="A64" t="s">
        <v>183</v>
      </c>
      <c r="B64" t="n">
        <v>141846.364675011</v>
      </c>
    </row>
    <row r="65">
      <c r="A65" t="s">
        <v>184</v>
      </c>
      <c r="B65" t="n">
        <v>0</v>
      </c>
    </row>
    <row r="66">
      <c r="A66" t="s">
        <v>185</v>
      </c>
      <c r="B66" t="n">
        <v>28721773.8684991</v>
      </c>
    </row>
    <row r="67">
      <c r="A67" t="s">
        <v>186</v>
      </c>
      <c r="B67" t="n">
        <v>751802.682944301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10509011.8009284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347599342.525113</v>
      </c>
    </row>
    <row r="74">
      <c r="A74" t="s">
        <v>193</v>
      </c>
      <c r="B74" t="n">
        <v>2802018334.94071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119</v>
      </c>
      <c r="B1" t="s">
        <v>197</v>
      </c>
    </row>
    <row r="2">
      <c r="A2" t="str">
        <f>'3_ESoP_RoUS_exports_by_BEA'!A2</f>
      </c>
      <c r="B2" t="str">
        <f>'3_ESoP_RoUS_exports_by_BEA'!B2+'4_ESoP_intl_exports_by_BEA'!B2</f>
      </c>
    </row>
    <row r="3">
      <c r="A3" t="str">
        <f>'3_ESoP_RoUS_exports_by_BEA'!A3</f>
      </c>
      <c r="B3" t="str">
        <f>'3_ESoP_RoUS_exports_by_BEA'!B3+'4_ESoP_intl_exports_by_BEA'!B3</f>
      </c>
    </row>
    <row r="4">
      <c r="A4" t="str">
        <f>'3_ESoP_RoUS_exports_by_BEA'!A4</f>
      </c>
      <c r="B4" t="str">
        <f>'3_ESoP_RoUS_exports_by_BEA'!B4+'4_ESoP_intl_exports_by_BEA'!B4</f>
      </c>
    </row>
    <row r="5">
      <c r="A5" t="str">
        <f>'3_ESoP_RoUS_exports_by_BEA'!A5</f>
      </c>
      <c r="B5" t="str">
        <f>'3_ESoP_RoUS_exports_by_BEA'!B5+'4_ESoP_intl_exports_by_BEA'!B5</f>
      </c>
    </row>
    <row r="6">
      <c r="A6" t="str">
        <f>'3_ESoP_RoUS_exports_by_BEA'!A6</f>
      </c>
      <c r="B6" t="str">
        <f>'3_ESoP_RoUS_exports_by_BEA'!B6+'4_ESoP_intl_exports_by_BEA'!B6</f>
      </c>
    </row>
    <row r="7">
      <c r="A7" t="str">
        <f>'3_ESoP_RoUS_exports_by_BEA'!A7</f>
      </c>
      <c r="B7" t="str">
        <f>'3_ESoP_RoUS_exports_by_BEA'!B7+'4_ESoP_intl_exports_by_BEA'!B7</f>
      </c>
    </row>
    <row r="8">
      <c r="A8" t="str">
        <f>'3_ESoP_RoUS_exports_by_BEA'!A8</f>
      </c>
      <c r="B8" t="str">
        <f>'3_ESoP_RoUS_exports_by_BEA'!B8+'4_ESoP_intl_exports_by_BEA'!B8</f>
      </c>
    </row>
    <row r="9">
      <c r="A9" t="str">
        <f>'3_ESoP_RoUS_exports_by_BEA'!A9</f>
      </c>
      <c r="B9" t="str">
        <f>'3_ESoP_RoUS_exports_by_BEA'!B9+'4_ESoP_intl_exports_by_BEA'!B9</f>
      </c>
    </row>
    <row r="10">
      <c r="A10" t="str">
        <f>'3_ESoP_RoUS_exports_by_BEA'!A10</f>
      </c>
      <c r="B10" t="str">
        <f>'3_ESoP_RoUS_exports_by_BEA'!B10+'4_ESoP_intl_exports_by_BEA'!B10</f>
      </c>
    </row>
    <row r="11">
      <c r="A11" t="str">
        <f>'3_ESoP_RoUS_exports_by_BEA'!A11</f>
      </c>
      <c r="B11" t="str">
        <f>'3_ESoP_RoUS_exports_by_BEA'!B11+'4_ESoP_intl_exports_by_BEA'!B11</f>
      </c>
    </row>
    <row r="12">
      <c r="A12" t="str">
        <f>'3_ESoP_RoUS_exports_by_BEA'!A12</f>
      </c>
      <c r="B12" t="str">
        <f>'3_ESoP_RoUS_exports_by_BEA'!B12+'4_ESoP_intl_exports_by_BEA'!B12</f>
      </c>
    </row>
    <row r="13">
      <c r="A13" t="str">
        <f>'3_ESoP_RoUS_exports_by_BEA'!A13</f>
      </c>
      <c r="B13" t="str">
        <f>'3_ESoP_RoUS_exports_by_BEA'!B13+'4_ESoP_intl_exports_by_BEA'!B13</f>
      </c>
    </row>
    <row r="14">
      <c r="A14" t="str">
        <f>'3_ESoP_RoUS_exports_by_BEA'!A14</f>
      </c>
      <c r="B14" t="str">
        <f>'3_ESoP_RoUS_exports_by_BEA'!B14+'4_ESoP_intl_exports_by_BEA'!B14</f>
      </c>
    </row>
    <row r="15">
      <c r="A15" t="str">
        <f>'3_ESoP_RoUS_exports_by_BEA'!A15</f>
      </c>
      <c r="B15" t="str">
        <f>'3_ESoP_RoUS_exports_by_BEA'!B15+'4_ESoP_intl_exports_by_BEA'!B15</f>
      </c>
    </row>
    <row r="16">
      <c r="A16" t="str">
        <f>'3_ESoP_RoUS_exports_by_BEA'!A16</f>
      </c>
      <c r="B16" t="str">
        <f>'3_ESoP_RoUS_exports_by_BEA'!B16+'4_ESoP_intl_exports_by_BEA'!B16</f>
      </c>
    </row>
    <row r="17">
      <c r="A17" t="str">
        <f>'3_ESoP_RoUS_exports_by_BEA'!A17</f>
      </c>
      <c r="B17" t="str">
        <f>'3_ESoP_RoUS_exports_by_BEA'!B17+'4_ESoP_intl_exports_by_BEA'!B17</f>
      </c>
    </row>
    <row r="18">
      <c r="A18" t="str">
        <f>'3_ESoP_RoUS_exports_by_BEA'!A18</f>
      </c>
      <c r="B18" t="str">
        <f>'3_ESoP_RoUS_exports_by_BEA'!B18+'4_ESoP_intl_exports_by_BEA'!B18</f>
      </c>
    </row>
    <row r="19">
      <c r="A19" t="str">
        <f>'3_ESoP_RoUS_exports_by_BEA'!A19</f>
      </c>
      <c r="B19" t="str">
        <f>'3_ESoP_RoUS_exports_by_BEA'!B19+'4_ESoP_intl_exports_by_BEA'!B19</f>
      </c>
    </row>
    <row r="20">
      <c r="A20" t="str">
        <f>'3_ESoP_RoUS_exports_by_BEA'!A20</f>
      </c>
      <c r="B20" t="str">
        <f>'3_ESoP_RoUS_exports_by_BEA'!B20+'4_ESoP_intl_exports_by_BEA'!B20</f>
      </c>
    </row>
    <row r="21">
      <c r="A21" t="str">
        <f>'3_ESoP_RoUS_exports_by_BEA'!A21</f>
      </c>
      <c r="B21" t="str">
        <f>'3_ESoP_RoUS_exports_by_BEA'!B21+'4_ESoP_intl_exports_by_BEA'!B21</f>
      </c>
    </row>
    <row r="22">
      <c r="A22" t="str">
        <f>'3_ESoP_RoUS_exports_by_BEA'!A22</f>
      </c>
      <c r="B22" t="str">
        <f>'3_ESoP_RoUS_exports_by_BEA'!B22+'4_ESoP_intl_exports_by_BEA'!B22</f>
      </c>
    </row>
    <row r="23">
      <c r="A23" t="str">
        <f>'3_ESoP_RoUS_exports_by_BEA'!A23</f>
      </c>
      <c r="B23" t="str">
        <f>'3_ESoP_RoUS_exports_by_BEA'!B23+'4_ESoP_intl_exports_by_BEA'!B23</f>
      </c>
    </row>
    <row r="24">
      <c r="A24" t="str">
        <f>'3_ESoP_RoUS_exports_by_BEA'!A24</f>
      </c>
      <c r="B24" t="str">
        <f>'3_ESoP_RoUS_exports_by_BEA'!B24+'4_ESoP_intl_exports_by_BEA'!B24</f>
      </c>
    </row>
    <row r="25">
      <c r="A25" t="str">
        <f>'3_ESoP_RoUS_exports_by_BEA'!A25</f>
      </c>
      <c r="B25" t="str">
        <f>'3_ESoP_RoUS_exports_by_BEA'!B25+'4_ESoP_intl_exports_by_BEA'!B25</f>
      </c>
    </row>
    <row r="26">
      <c r="A26" t="str">
        <f>'3_ESoP_RoUS_exports_by_BEA'!A26</f>
      </c>
      <c r="B26" t="str">
        <f>'3_ESoP_RoUS_exports_by_BEA'!B26+'4_ESoP_intl_exports_by_BEA'!B26</f>
      </c>
    </row>
    <row r="27">
      <c r="A27" t="str">
        <f>'3_ESoP_RoUS_exports_by_BEA'!A27</f>
      </c>
      <c r="B27" t="str">
        <f>'3_ESoP_RoUS_exports_by_BEA'!B27+'4_ESoP_intl_exports_by_BEA'!B27</f>
      </c>
    </row>
    <row r="28">
      <c r="A28" t="str">
        <f>'3_ESoP_RoUS_exports_by_BEA'!A28</f>
      </c>
      <c r="B28" t="str">
        <f>'3_ESoP_RoUS_exports_by_BEA'!B28+'4_ESoP_intl_exports_by_BEA'!B28</f>
      </c>
    </row>
    <row r="29">
      <c r="A29" t="str">
        <f>'3_ESoP_RoUS_exports_by_BEA'!A29</f>
      </c>
      <c r="B29" t="str">
        <f>'3_ESoP_RoUS_exports_by_BEA'!B29+'4_ESoP_intl_exports_by_BEA'!B29</f>
      </c>
    </row>
    <row r="30">
      <c r="A30" t="str">
        <f>'3_ESoP_RoUS_exports_by_BEA'!A30</f>
      </c>
      <c r="B30" t="str">
        <f>'3_ESoP_RoUS_exports_by_BEA'!B30+'4_ESoP_intl_exports_by_BEA'!B30</f>
      </c>
    </row>
    <row r="31">
      <c r="A31" t="str">
        <f>'3_ESoP_RoUS_exports_by_BEA'!A31</f>
      </c>
      <c r="B31" t="str">
        <f>'3_ESoP_RoUS_exports_by_BEA'!B31+'4_ESoP_intl_exports_by_BEA'!B31</f>
      </c>
    </row>
    <row r="32">
      <c r="A32" t="str">
        <f>'3_ESoP_RoUS_exports_by_BEA'!A32</f>
      </c>
      <c r="B32" t="str">
        <f>'3_ESoP_RoUS_exports_by_BEA'!B32+'4_ESoP_intl_exports_by_BEA'!B32</f>
      </c>
    </row>
    <row r="33">
      <c r="A33" t="str">
        <f>'3_ESoP_RoUS_exports_by_BEA'!A33</f>
      </c>
      <c r="B33" t="str">
        <f>'3_ESoP_RoUS_exports_by_BEA'!B33+'4_ESoP_intl_exports_by_BEA'!B33</f>
      </c>
    </row>
    <row r="34">
      <c r="A34" t="str">
        <f>'3_ESoP_RoUS_exports_by_BEA'!A34</f>
      </c>
      <c r="B34" t="str">
        <f>'3_ESoP_RoUS_exports_by_BEA'!B34+'4_ESoP_intl_exports_by_BEA'!B34</f>
      </c>
    </row>
    <row r="35">
      <c r="A35" t="str">
        <f>'3_ESoP_RoUS_exports_by_BEA'!A35</f>
      </c>
      <c r="B35" t="str">
        <f>'3_ESoP_RoUS_exports_by_BEA'!B35+'4_ESoP_intl_exports_by_BEA'!B35</f>
      </c>
    </row>
    <row r="36">
      <c r="A36" t="str">
        <f>'3_ESoP_RoUS_exports_by_BEA'!A36</f>
      </c>
      <c r="B36" t="str">
        <f>'3_ESoP_RoUS_exports_by_BEA'!B36+'4_ESoP_intl_exports_by_BEA'!B36</f>
      </c>
    </row>
    <row r="37">
      <c r="A37" t="str">
        <f>'3_ESoP_RoUS_exports_by_BEA'!A37</f>
      </c>
      <c r="B37" t="str">
        <f>'3_ESoP_RoUS_exports_by_BEA'!B37+'4_ESoP_intl_exports_by_BEA'!B37</f>
      </c>
    </row>
    <row r="38">
      <c r="A38" t="str">
        <f>'3_ESoP_RoUS_exports_by_BEA'!A38</f>
      </c>
      <c r="B38" t="str">
        <f>'3_ESoP_RoUS_exports_by_BEA'!B38+'4_ESoP_intl_exports_by_BEA'!B38</f>
      </c>
    </row>
    <row r="39">
      <c r="A39" t="str">
        <f>'3_ESoP_RoUS_exports_by_BEA'!A39</f>
      </c>
      <c r="B39" t="str">
        <f>'3_ESoP_RoUS_exports_by_BEA'!B39+'4_ESoP_intl_exports_by_BEA'!B39</f>
      </c>
    </row>
    <row r="40">
      <c r="A40" t="str">
        <f>'3_ESoP_RoUS_exports_by_BEA'!A40</f>
      </c>
      <c r="B40" t="str">
        <f>'3_ESoP_RoUS_exports_by_BEA'!B40+'4_ESoP_intl_exports_by_BEA'!B40</f>
      </c>
    </row>
    <row r="41">
      <c r="A41" t="str">
        <f>'3_ESoP_RoUS_exports_by_BEA'!A41</f>
      </c>
      <c r="B41" t="str">
        <f>'3_ESoP_RoUS_exports_by_BEA'!B41+'4_ESoP_intl_exports_by_BEA'!B41</f>
      </c>
    </row>
    <row r="42">
      <c r="A42" t="str">
        <f>'3_ESoP_RoUS_exports_by_BEA'!A42</f>
      </c>
      <c r="B42" t="str">
        <f>'3_ESoP_RoUS_exports_by_BEA'!B42+'4_ESoP_intl_exports_by_BEA'!B42</f>
      </c>
    </row>
    <row r="43">
      <c r="A43" t="str">
        <f>'3_ESoP_RoUS_exports_by_BEA'!A43</f>
      </c>
      <c r="B43" t="str">
        <f>'3_ESoP_RoUS_exports_by_BEA'!B43+'4_ESoP_intl_exports_by_BEA'!B43</f>
      </c>
    </row>
    <row r="44">
      <c r="A44" t="str">
        <f>'3_ESoP_RoUS_exports_by_BEA'!A44</f>
      </c>
      <c r="B44" t="str">
        <f>'3_ESoP_RoUS_exports_by_BEA'!B44+'4_ESoP_intl_exports_by_BEA'!B44</f>
      </c>
    </row>
    <row r="45">
      <c r="A45" t="str">
        <f>'3_ESoP_RoUS_exports_by_BEA'!A45</f>
      </c>
      <c r="B45" t="str">
        <f>'3_ESoP_RoUS_exports_by_BEA'!B45+'4_ESoP_intl_exports_by_BEA'!B45</f>
      </c>
    </row>
    <row r="46">
      <c r="A46" t="str">
        <f>'3_ESoP_RoUS_exports_by_BEA'!A46</f>
      </c>
      <c r="B46" t="str">
        <f>'3_ESoP_RoUS_exports_by_BEA'!B46+'4_ESoP_intl_exports_by_BEA'!B46</f>
      </c>
    </row>
    <row r="47">
      <c r="A47" t="str">
        <f>'3_ESoP_RoUS_exports_by_BEA'!A47</f>
      </c>
      <c r="B47" t="str">
        <f>'3_ESoP_RoUS_exports_by_BEA'!B47+'4_ESoP_intl_exports_by_BEA'!B47</f>
      </c>
    </row>
    <row r="48">
      <c r="A48" t="str">
        <f>'3_ESoP_RoUS_exports_by_BEA'!A48</f>
      </c>
      <c r="B48" t="str">
        <f>'3_ESoP_RoUS_exports_by_BEA'!B48+'4_ESoP_intl_exports_by_BEA'!B48</f>
      </c>
    </row>
    <row r="49">
      <c r="A49" t="str">
        <f>'3_ESoP_RoUS_exports_by_BEA'!A49</f>
      </c>
      <c r="B49" t="str">
        <f>'3_ESoP_RoUS_exports_by_BEA'!B49+'4_ESoP_intl_exports_by_BEA'!B49</f>
      </c>
    </row>
    <row r="50">
      <c r="A50" t="str">
        <f>'3_ESoP_RoUS_exports_by_BEA'!A50</f>
      </c>
      <c r="B50" t="str">
        <f>'3_ESoP_RoUS_exports_by_BEA'!B50+'4_ESoP_intl_exports_by_BEA'!B50</f>
      </c>
    </row>
    <row r="51">
      <c r="A51" t="str">
        <f>'3_ESoP_RoUS_exports_by_BEA'!A51</f>
      </c>
      <c r="B51" t="str">
        <f>'3_ESoP_RoUS_exports_by_BEA'!B51+'4_ESoP_intl_exports_by_BEA'!B51</f>
      </c>
    </row>
    <row r="52">
      <c r="A52" t="str">
        <f>'3_ESoP_RoUS_exports_by_BEA'!A52</f>
      </c>
      <c r="B52" t="str">
        <f>'3_ESoP_RoUS_exports_by_BEA'!B52+'4_ESoP_intl_exports_by_BEA'!B52</f>
      </c>
    </row>
    <row r="53">
      <c r="A53" t="str">
        <f>'3_ESoP_RoUS_exports_by_BEA'!A53</f>
      </c>
      <c r="B53" t="str">
        <f>'3_ESoP_RoUS_exports_by_BEA'!B53+'4_ESoP_intl_exports_by_BEA'!B53</f>
      </c>
    </row>
    <row r="54">
      <c r="A54" t="str">
        <f>'3_ESoP_RoUS_exports_by_BEA'!A54</f>
      </c>
      <c r="B54" t="str">
        <f>'3_ESoP_RoUS_exports_by_BEA'!B54+'4_ESoP_intl_exports_by_BEA'!B54</f>
      </c>
    </row>
    <row r="55">
      <c r="A55" t="str">
        <f>'3_ESoP_RoUS_exports_by_BEA'!A55</f>
      </c>
      <c r="B55" t="str">
        <f>'3_ESoP_RoUS_exports_by_BEA'!B55+'4_ESoP_intl_exports_by_BEA'!B55</f>
      </c>
    </row>
    <row r="56">
      <c r="A56" t="str">
        <f>'3_ESoP_RoUS_exports_by_BEA'!A56</f>
      </c>
      <c r="B56" t="str">
        <f>'3_ESoP_RoUS_exports_by_BEA'!B56+'4_ESoP_intl_exports_by_BEA'!B56</f>
      </c>
    </row>
    <row r="57">
      <c r="A57" t="str">
        <f>'3_ESoP_RoUS_exports_by_BEA'!A57</f>
      </c>
      <c r="B57" t="str">
        <f>'3_ESoP_RoUS_exports_by_BEA'!B57+'4_ESoP_intl_exports_by_BEA'!B57</f>
      </c>
    </row>
    <row r="58">
      <c r="A58" t="str">
        <f>'3_ESoP_RoUS_exports_by_BEA'!A58</f>
      </c>
      <c r="B58" t="str">
        <f>'3_ESoP_RoUS_exports_by_BEA'!B58+'4_ESoP_intl_exports_by_BEA'!B58</f>
      </c>
    </row>
    <row r="59">
      <c r="A59" t="str">
        <f>'3_ESoP_RoUS_exports_by_BEA'!A59</f>
      </c>
      <c r="B59" t="str">
        <f>'3_ESoP_RoUS_exports_by_BEA'!B59+'4_ESoP_intl_exports_by_BEA'!B59</f>
      </c>
    </row>
    <row r="60">
      <c r="A60" t="str">
        <f>'3_ESoP_RoUS_exports_by_BEA'!A60</f>
      </c>
      <c r="B60" t="str">
        <f>'3_ESoP_RoUS_exports_by_BEA'!B60+'4_ESoP_intl_exports_by_BEA'!B60</f>
      </c>
    </row>
    <row r="61">
      <c r="A61" t="str">
        <f>'3_ESoP_RoUS_exports_by_BEA'!A61</f>
      </c>
      <c r="B61" t="str">
        <f>'3_ESoP_RoUS_exports_by_BEA'!B61+'4_ESoP_intl_exports_by_BEA'!B61</f>
      </c>
    </row>
    <row r="62">
      <c r="A62" t="str">
        <f>'3_ESoP_RoUS_exports_by_BEA'!A62</f>
      </c>
      <c r="B62" t="str">
        <f>'3_ESoP_RoUS_exports_by_BEA'!B62+'4_ESoP_intl_exports_by_BEA'!B62</f>
      </c>
    </row>
    <row r="63">
      <c r="A63" t="str">
        <f>'3_ESoP_RoUS_exports_by_BEA'!A63</f>
      </c>
      <c r="B63" t="str">
        <f>'3_ESoP_RoUS_exports_by_BEA'!B63+'4_ESoP_intl_exports_by_BEA'!B63</f>
      </c>
    </row>
    <row r="64">
      <c r="A64" t="str">
        <f>'3_ESoP_RoUS_exports_by_BEA'!A64</f>
      </c>
      <c r="B64" t="str">
        <f>'3_ESoP_RoUS_exports_by_BEA'!B64+'4_ESoP_intl_exports_by_BEA'!B64</f>
      </c>
    </row>
    <row r="65">
      <c r="A65" t="str">
        <f>'3_ESoP_RoUS_exports_by_BEA'!A65</f>
      </c>
      <c r="B65" t="str">
        <f>'3_ESoP_RoUS_exports_by_BEA'!B65+'4_ESoP_intl_exports_by_BEA'!B65</f>
      </c>
    </row>
    <row r="66">
      <c r="A66" t="str">
        <f>'3_ESoP_RoUS_exports_by_BEA'!A66</f>
      </c>
      <c r="B66" t="str">
        <f>'3_ESoP_RoUS_exports_by_BEA'!B66+'4_ESoP_intl_exports_by_BEA'!B66</f>
      </c>
    </row>
    <row r="67">
      <c r="A67" t="str">
        <f>'3_ESoP_RoUS_exports_by_BEA'!A67</f>
      </c>
      <c r="B67" t="str">
        <f>'3_ESoP_RoUS_exports_by_BEA'!B67+'4_ESoP_intl_exports_by_BEA'!B67</f>
      </c>
    </row>
    <row r="68">
      <c r="A68" t="str">
        <f>'3_ESoP_RoUS_exports_by_BEA'!A68</f>
      </c>
      <c r="B68" t="str">
        <f>'3_ESoP_RoUS_exports_by_BEA'!B68+'4_ESoP_intl_exports_by_BEA'!B68</f>
      </c>
    </row>
    <row r="69">
      <c r="A69" t="str">
        <f>'3_ESoP_RoUS_exports_by_BEA'!A69</f>
      </c>
      <c r="B69" t="str">
        <f>'3_ESoP_RoUS_exports_by_BEA'!B69+'4_ESoP_intl_exports_by_BEA'!B69</f>
      </c>
    </row>
    <row r="70">
      <c r="A70" t="str">
        <f>'3_ESoP_RoUS_exports_by_BEA'!A70</f>
      </c>
      <c r="B70" t="str">
        <f>'3_ESoP_RoUS_exports_by_BEA'!B70+'4_ESoP_intl_exports_by_BEA'!B70</f>
      </c>
    </row>
    <row r="71">
      <c r="A71" t="str">
        <f>'3_ESoP_RoUS_exports_by_BEA'!A71</f>
      </c>
      <c r="B71" t="str">
        <f>'3_ESoP_RoUS_exports_by_BEA'!B71+'4_ESoP_intl_exports_by_BEA'!B71</f>
      </c>
    </row>
    <row r="72">
      <c r="A72" t="str">
        <f>'3_ESoP_RoUS_exports_by_BEA'!A72</f>
      </c>
      <c r="B72" t="str">
        <f>'3_ESoP_RoUS_exports_by_BEA'!B72+'4_ESoP_intl_exports_by_BEA'!B72</f>
      </c>
    </row>
    <row r="73">
      <c r="A73" t="str">
        <f>'3_ESoP_RoUS_exports_by_BEA'!A73</f>
      </c>
      <c r="B73" t="str">
        <f>'3_ESoP_RoUS_exports_by_BEA'!B73+'4_ESoP_intl_exports_by_BEA'!B73</f>
      </c>
    </row>
    <row r="74">
      <c r="A74" t="str">
        <f>'3_ESoP_RoUS_exports_by_BEA'!A74</f>
      </c>
      <c r="B74" t="str">
        <f>'3_ESoP_RoUS_exports_by_BEA'!B74+'4_ESoP_intl_exports_by_BEA'!B74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198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664512006.894551</v>
      </c>
      <c r="C10" t="n">
        <v>507914.006979317</v>
      </c>
      <c r="D10" t="n">
        <v>0</v>
      </c>
      <c r="E10" t="n">
        <v>95668.2296105467</v>
      </c>
      <c r="F10" t="n">
        <v>611714.79414508</v>
      </c>
      <c r="G10" t="n">
        <v>0</v>
      </c>
      <c r="H10" t="n">
        <v>5111388.87930808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344498.136585921</v>
      </c>
      <c r="T10" t="n">
        <v>635475151.616348</v>
      </c>
      <c r="U10" t="n">
        <v>1476180.80476924</v>
      </c>
      <c r="V10" t="n">
        <v>0</v>
      </c>
      <c r="W10" t="n">
        <v>0</v>
      </c>
      <c r="X10" t="n">
        <v>0</v>
      </c>
      <c r="Y10" t="n">
        <v>0</v>
      </c>
      <c r="Z10" t="n">
        <v>15724465.5441086</v>
      </c>
      <c r="AA10" t="n">
        <v>0</v>
      </c>
      <c r="AB10" t="n">
        <v>2585202.46979036</v>
      </c>
      <c r="AC10" t="n">
        <v>2922927.40087008</v>
      </c>
      <c r="AD10" t="n">
        <v>2609302.08730658</v>
      </c>
      <c r="AE10" t="n">
        <v>911199.520994217</v>
      </c>
      <c r="AF10" t="n">
        <v>1233504.16309382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78010.8971269552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2255.69197069546</v>
      </c>
      <c r="AT10" t="n">
        <v>0</v>
      </c>
      <c r="AU10" t="n">
        <v>0</v>
      </c>
      <c r="AV10" t="n">
        <v>0</v>
      </c>
      <c r="AW10" t="n">
        <v>0</v>
      </c>
      <c r="AX10" t="n">
        <v>9701.12824292485</v>
      </c>
      <c r="AY10" t="n">
        <v>0</v>
      </c>
      <c r="AZ10" t="n">
        <v>2801.30093664179</v>
      </c>
      <c r="BA10" t="n">
        <v>0</v>
      </c>
      <c r="BB10" t="n">
        <v>2365541.78258204</v>
      </c>
      <c r="BC10" t="n">
        <v>62358.8927342786</v>
      </c>
      <c r="BD10" t="n">
        <v>6886214.66637003</v>
      </c>
      <c r="BE10" t="n">
        <v>0</v>
      </c>
      <c r="BF10" t="n">
        <v>192944.182332393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1050343.37485856</v>
      </c>
      <c r="BM10" t="n">
        <v>66877.6251624758</v>
      </c>
      <c r="BN10" t="n">
        <v>6869094.44159163</v>
      </c>
      <c r="BO10" t="n">
        <v>47035.459138959</v>
      </c>
      <c r="BP10" t="n">
        <v>42946.8432006325</v>
      </c>
      <c r="BQ10" t="n">
        <v>-2893482.35245299</v>
      </c>
      <c r="BR10" t="n">
        <v>0</v>
      </c>
      <c r="BS10" t="n">
        <v>17661070.7795403</v>
      </c>
      <c r="BT10" t="n">
        <v>0</v>
      </c>
      <c r="BU10" t="n">
        <v>225407898.502364</v>
      </c>
      <c r="BV10" t="n">
        <v>0</v>
      </c>
      <c r="BW10" t="n">
        <v>0</v>
      </c>
      <c r="BX10" t="n">
        <v>0</v>
      </c>
      <c r="BY10" t="n">
        <v>0</v>
      </c>
      <c r="BZ10" t="n">
        <v>-256122833.294513</v>
      </c>
      <c r="CA10" t="n">
        <v>166236866.840206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302935264.767394</v>
      </c>
      <c r="C11" t="n">
        <v>21693682.2538881</v>
      </c>
      <c r="D11" t="n">
        <v>0</v>
      </c>
      <c r="E11" t="n">
        <v>578575.607929823</v>
      </c>
      <c r="F11" t="n">
        <v>0</v>
      </c>
      <c r="G11" t="n">
        <v>0</v>
      </c>
      <c r="H11" t="n">
        <v>0</v>
      </c>
      <c r="I11" t="n">
        <v>40851152.2966586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48656.7899199472</v>
      </c>
      <c r="S11" t="n">
        <v>107493.851974842</v>
      </c>
      <c r="T11" t="n">
        <v>4328412.98133428</v>
      </c>
      <c r="U11" t="n">
        <v>0</v>
      </c>
      <c r="V11" t="n">
        <v>203257.291461281</v>
      </c>
      <c r="W11" t="n">
        <v>27671477.8794834</v>
      </c>
      <c r="X11" t="n">
        <v>14476.4459240462</v>
      </c>
      <c r="Y11" t="n">
        <v>0</v>
      </c>
      <c r="Z11" t="n">
        <v>128804.19529804</v>
      </c>
      <c r="AA11" t="n">
        <v>4210284.04152606</v>
      </c>
      <c r="AB11" t="n">
        <v>0</v>
      </c>
      <c r="AC11" t="n">
        <v>0</v>
      </c>
      <c r="AD11" t="n">
        <v>297274.023966214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1207878.23227266</v>
      </c>
      <c r="BC11" t="n">
        <v>97610.0495799466</v>
      </c>
      <c r="BD11" t="n">
        <v>0</v>
      </c>
      <c r="BE11" t="n">
        <v>0</v>
      </c>
      <c r="BF11" t="n">
        <v>22175.89150147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100172.254770372</v>
      </c>
      <c r="BM11" t="n">
        <v>112036.976247215</v>
      </c>
      <c r="BN11" t="n">
        <v>3529375.26280797</v>
      </c>
      <c r="BO11" t="n">
        <v>44722.2345315546</v>
      </c>
      <c r="BP11" t="n">
        <v>0</v>
      </c>
      <c r="BQ11" t="n">
        <v>407003.559346335</v>
      </c>
      <c r="BR11" t="n">
        <v>8285.10363315963</v>
      </c>
      <c r="BS11" t="n">
        <v>36334731.943412</v>
      </c>
      <c r="BT11" t="n">
        <v>0</v>
      </c>
      <c r="BU11" t="n">
        <v>22719932.8850564</v>
      </c>
      <c r="BV11" t="n">
        <v>0</v>
      </c>
      <c r="BW11" t="n">
        <v>0</v>
      </c>
      <c r="BX11" t="n">
        <v>0</v>
      </c>
      <c r="BY11" t="n">
        <v>0</v>
      </c>
      <c r="BZ11" t="n">
        <v>8145286.17406855</v>
      </c>
      <c r="CA11" t="n">
        <v>491504.381219098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80711017.0587741</v>
      </c>
      <c r="E12" t="n">
        <v>0</v>
      </c>
      <c r="F12" t="n">
        <v>25655.3322741052</v>
      </c>
      <c r="G12" t="n">
        <v>10595606.211805</v>
      </c>
      <c r="H12" t="n">
        <v>0</v>
      </c>
      <c r="I12" t="n">
        <v>1034.4381323704</v>
      </c>
      <c r="J12" t="n">
        <v>998.480400272744</v>
      </c>
      <c r="K12" t="n">
        <v>1165.25833904773</v>
      </c>
      <c r="L12" t="n">
        <v>0</v>
      </c>
      <c r="M12" t="n">
        <v>0</v>
      </c>
      <c r="N12" t="n">
        <v>0</v>
      </c>
      <c r="O12" t="n">
        <v>0</v>
      </c>
      <c r="P12" t="n">
        <v>327.763368797968</v>
      </c>
      <c r="Q12" t="n">
        <v>0</v>
      </c>
      <c r="R12" t="n">
        <v>0</v>
      </c>
      <c r="S12" t="n">
        <v>0</v>
      </c>
      <c r="T12" t="n">
        <v>450.488441126503</v>
      </c>
      <c r="U12" t="n">
        <v>0</v>
      </c>
      <c r="V12" t="n">
        <v>0</v>
      </c>
      <c r="W12" t="n">
        <v>0</v>
      </c>
      <c r="X12" t="n">
        <v>270.898500460252</v>
      </c>
      <c r="Y12" t="n">
        <v>142088177.326735</v>
      </c>
      <c r="Z12" t="n">
        <v>583891.223695644</v>
      </c>
      <c r="AA12" t="n">
        <v>0</v>
      </c>
      <c r="AB12" t="n">
        <v>1013.77699800226</v>
      </c>
      <c r="AC12" t="n">
        <v>1513.42766875274</v>
      </c>
      <c r="AD12" t="n">
        <v>0</v>
      </c>
      <c r="AE12" t="n">
        <v>957.78768115649</v>
      </c>
      <c r="AF12" t="n">
        <v>1591.79053670399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94245.1427777597</v>
      </c>
      <c r="AM12" t="n">
        <v>0</v>
      </c>
      <c r="AN12" t="n">
        <v>28391.0722571051</v>
      </c>
      <c r="AO12" t="n">
        <v>16970.1581004732</v>
      </c>
      <c r="AP12" t="n">
        <v>0</v>
      </c>
      <c r="AQ12" t="n">
        <v>481.053597244174</v>
      </c>
      <c r="AR12" t="n">
        <v>813.19353023194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5153.63014144724</v>
      </c>
      <c r="AY12" t="n">
        <v>0</v>
      </c>
      <c r="AZ12" t="n">
        <v>0</v>
      </c>
      <c r="BA12" t="n">
        <v>190.376608887644</v>
      </c>
      <c r="BB12" t="n">
        <v>1137.73940087881</v>
      </c>
      <c r="BC12" t="n">
        <v>830.264561537796</v>
      </c>
      <c r="BD12" t="n">
        <v>0</v>
      </c>
      <c r="BE12" t="n">
        <v>449.082918587646</v>
      </c>
      <c r="BF12" t="n">
        <v>37940.9036760964</v>
      </c>
      <c r="BG12" t="n">
        <v>582.366836916249</v>
      </c>
      <c r="BH12" t="n">
        <v>0</v>
      </c>
      <c r="BI12" t="n">
        <v>541.328888402998</v>
      </c>
      <c r="BJ12" t="n">
        <v>0</v>
      </c>
      <c r="BK12" t="n">
        <v>0</v>
      </c>
      <c r="BL12" t="n">
        <v>7587.3781403203</v>
      </c>
      <c r="BM12" t="n">
        <v>283.318091806033</v>
      </c>
      <c r="BN12" t="n">
        <v>660.453865038827</v>
      </c>
      <c r="BO12" t="n">
        <v>1793.33474361359</v>
      </c>
      <c r="BP12" t="n">
        <v>0</v>
      </c>
      <c r="BQ12" t="n">
        <v>0</v>
      </c>
      <c r="BR12" t="n">
        <v>670546.199759748</v>
      </c>
      <c r="BS12" t="n">
        <v>0</v>
      </c>
      <c r="BT12" t="n">
        <v>5726746.2657984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429012864.688662</v>
      </c>
      <c r="CA12" t="n">
        <v>7898773639.08572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13167768.094967</v>
      </c>
      <c r="C13" t="n">
        <v>0</v>
      </c>
      <c r="D13" t="n">
        <v>4889302.79289345</v>
      </c>
      <c r="E13" t="n">
        <v>38238264.7851453</v>
      </c>
      <c r="F13" t="n">
        <v>6111497.37511262</v>
      </c>
      <c r="G13" t="n">
        <v>41608846.1260488</v>
      </c>
      <c r="H13" t="n">
        <v>75437052.6583342</v>
      </c>
      <c r="I13" t="n">
        <v>27379.9088416194</v>
      </c>
      <c r="J13" t="n">
        <v>84160493.5821521</v>
      </c>
      <c r="K13" t="n">
        <v>24469675.3420238</v>
      </c>
      <c r="L13" t="n">
        <v>4762850.00380708</v>
      </c>
      <c r="M13" t="n">
        <v>1013028.37851203</v>
      </c>
      <c r="N13" t="n">
        <v>4582.04626534704</v>
      </c>
      <c r="O13" t="n">
        <v>130684.679131808</v>
      </c>
      <c r="P13" t="n">
        <v>123623.989698771</v>
      </c>
      <c r="Q13" t="n">
        <v>309677.915032983</v>
      </c>
      <c r="R13" t="n">
        <v>32635.306640932</v>
      </c>
      <c r="S13" t="n">
        <v>117107.177624277</v>
      </c>
      <c r="T13" t="n">
        <v>4381960.63578372</v>
      </c>
      <c r="U13" t="n">
        <v>46524.2024834334</v>
      </c>
      <c r="V13" t="n">
        <v>0</v>
      </c>
      <c r="W13" t="n">
        <v>12231811.640129</v>
      </c>
      <c r="X13" t="n">
        <v>0</v>
      </c>
      <c r="Y13" t="n">
        <v>28605008.5547635</v>
      </c>
      <c r="Z13" t="n">
        <v>6353723.24601628</v>
      </c>
      <c r="AA13" t="n">
        <v>1219269.87137609</v>
      </c>
      <c r="AB13" t="n">
        <v>60374.3443667452</v>
      </c>
      <c r="AC13" t="n">
        <v>0</v>
      </c>
      <c r="AD13" t="n">
        <v>0</v>
      </c>
      <c r="AE13" t="n">
        <v>0</v>
      </c>
      <c r="AF13" t="n">
        <v>5266.51599864625</v>
      </c>
      <c r="AG13" t="n">
        <v>0</v>
      </c>
      <c r="AH13" t="n">
        <v>1397162.09936048</v>
      </c>
      <c r="AI13" t="n">
        <v>0</v>
      </c>
      <c r="AJ13" t="n">
        <v>48833.6392544738</v>
      </c>
      <c r="AK13" t="n">
        <v>631.01885924847</v>
      </c>
      <c r="AL13" t="n">
        <v>0</v>
      </c>
      <c r="AM13" t="n">
        <v>4706.45147716378</v>
      </c>
      <c r="AN13" t="n">
        <v>12524.4314762143</v>
      </c>
      <c r="AO13" t="n">
        <v>73422.4626183873</v>
      </c>
      <c r="AP13" t="n">
        <v>12245.3616700626</v>
      </c>
      <c r="AQ13" t="n">
        <v>1246214.2645088</v>
      </c>
      <c r="AR13" t="n">
        <v>622400.051371505</v>
      </c>
      <c r="AS13" t="n">
        <v>0</v>
      </c>
      <c r="AT13" t="n">
        <v>0</v>
      </c>
      <c r="AU13" t="n">
        <v>0</v>
      </c>
      <c r="AV13" t="n">
        <v>0</v>
      </c>
      <c r="AW13" t="n">
        <v>23193.0055444375</v>
      </c>
      <c r="AX13" t="n">
        <v>0</v>
      </c>
      <c r="AY13" t="n">
        <v>0</v>
      </c>
      <c r="AZ13" t="n">
        <v>0</v>
      </c>
      <c r="BA13" t="n">
        <v>0</v>
      </c>
      <c r="BB13" t="n">
        <v>3892250.88847806</v>
      </c>
      <c r="BC13" t="n">
        <v>123613.67108488</v>
      </c>
      <c r="BD13" t="n">
        <v>4883712.10884731</v>
      </c>
      <c r="BE13" t="n">
        <v>205042.133551932</v>
      </c>
      <c r="BF13" t="n">
        <v>1117995.46461324</v>
      </c>
      <c r="BG13" t="n">
        <v>0</v>
      </c>
      <c r="BH13" t="n">
        <v>106269.938453725</v>
      </c>
      <c r="BI13" t="n">
        <v>150445.076527082</v>
      </c>
      <c r="BJ13" t="n">
        <v>619849.89909741</v>
      </c>
      <c r="BK13" t="n">
        <v>685674.34572942</v>
      </c>
      <c r="BL13" t="n">
        <v>2697856.49176537</v>
      </c>
      <c r="BM13" t="n">
        <v>371199.1588112</v>
      </c>
      <c r="BN13" t="n">
        <v>4300362.53405079</v>
      </c>
      <c r="BO13" t="n">
        <v>6502934.8942777</v>
      </c>
      <c r="BP13" t="n">
        <v>0</v>
      </c>
      <c r="BQ13" t="n">
        <v>17496386.3653053</v>
      </c>
      <c r="BR13" t="n">
        <v>0</v>
      </c>
      <c r="BS13" t="n">
        <v>10743198.3199064</v>
      </c>
      <c r="BT13" t="n">
        <v>22842859.7442997</v>
      </c>
      <c r="BU13" t="n">
        <v>1459441.46525449</v>
      </c>
      <c r="BV13" t="n">
        <v>0</v>
      </c>
      <c r="BW13" t="n">
        <v>26474.9665093937</v>
      </c>
      <c r="BX13" t="n">
        <v>0</v>
      </c>
      <c r="BY13" t="n">
        <v>0</v>
      </c>
      <c r="BZ13" t="n">
        <v>5977882.3521061</v>
      </c>
      <c r="CA13" t="n">
        <v>24839364.0127778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1844980619.59488</v>
      </c>
      <c r="E14" t="n">
        <v>9406843.40370488</v>
      </c>
      <c r="F14" t="n">
        <v>206361051.785954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141997.789530695</v>
      </c>
      <c r="BC14" t="n">
        <v>16079.3986463158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8883651453.70623</v>
      </c>
      <c r="BW14" t="n">
        <v>183913043.212972</v>
      </c>
      <c r="BX14" t="n">
        <v>0</v>
      </c>
      <c r="BY14" t="n">
        <v>0</v>
      </c>
      <c r="BZ14" t="n">
        <v>-456160.589497877</v>
      </c>
      <c r="CA14" t="n">
        <v>552520.042027863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43364978.256897</v>
      </c>
      <c r="C15" t="n">
        <v>71274.897599979</v>
      </c>
      <c r="D15" t="n">
        <v>190254062.181721</v>
      </c>
      <c r="E15" t="n">
        <v>10801469.5299025</v>
      </c>
      <c r="F15" t="n">
        <v>13254259.750352</v>
      </c>
      <c r="G15" t="n">
        <v>100641029.475831</v>
      </c>
      <c r="H15" t="n">
        <v>18846835.7303317</v>
      </c>
      <c r="I15" t="n">
        <v>2374311.83133072</v>
      </c>
      <c r="J15" t="n">
        <v>15764002.1585624</v>
      </c>
      <c r="K15" t="n">
        <v>7799108.74243024</v>
      </c>
      <c r="L15" t="n">
        <v>21305303.145197</v>
      </c>
      <c r="M15" t="n">
        <v>12896700.1699913</v>
      </c>
      <c r="N15" t="n">
        <v>967623.634317007</v>
      </c>
      <c r="O15" t="n">
        <v>1110085.4088641</v>
      </c>
      <c r="P15" t="n">
        <v>4165054.15920396</v>
      </c>
      <c r="Q15" t="n">
        <v>5600710.83069428</v>
      </c>
      <c r="R15" t="n">
        <v>622127.380156985</v>
      </c>
      <c r="S15" t="n">
        <v>741978.038898284</v>
      </c>
      <c r="T15" t="n">
        <v>16487703.4761975</v>
      </c>
      <c r="U15" t="n">
        <v>475379.78144298</v>
      </c>
      <c r="V15" t="n">
        <v>44298.6593312766</v>
      </c>
      <c r="W15" t="n">
        <v>22350964.5811026</v>
      </c>
      <c r="X15" t="n">
        <v>1329560.30352016</v>
      </c>
      <c r="Y15" t="n">
        <v>25774407.0444341</v>
      </c>
      <c r="Z15" t="n">
        <v>9887429.61705907</v>
      </c>
      <c r="AA15" t="n">
        <v>21177387.9384667</v>
      </c>
      <c r="AB15" t="n">
        <v>31074912.2048192</v>
      </c>
      <c r="AC15" t="n">
        <v>13513668.4603862</v>
      </c>
      <c r="AD15" t="n">
        <v>17539402.2091502</v>
      </c>
      <c r="AE15" t="n">
        <v>30693599.1307528</v>
      </c>
      <c r="AF15" t="n">
        <v>36018287.7442552</v>
      </c>
      <c r="AG15" t="n">
        <v>2736283.54254376</v>
      </c>
      <c r="AH15" t="n">
        <v>352279.974043649</v>
      </c>
      <c r="AI15" t="n">
        <v>749.356574578368</v>
      </c>
      <c r="AJ15" t="n">
        <v>14820734.7428956</v>
      </c>
      <c r="AK15" t="n">
        <v>118877.145722361</v>
      </c>
      <c r="AL15" t="n">
        <v>56986290.1550408</v>
      </c>
      <c r="AM15" t="n">
        <v>2833606.7272765</v>
      </c>
      <c r="AN15" t="n">
        <v>6470293.08185369</v>
      </c>
      <c r="AO15" t="n">
        <v>1499794.77214949</v>
      </c>
      <c r="AP15" t="n">
        <v>140316.235244082</v>
      </c>
      <c r="AQ15" t="n">
        <v>11895849.4006694</v>
      </c>
      <c r="AR15" t="n">
        <v>1395517.81669106</v>
      </c>
      <c r="AS15" t="n">
        <v>4245554.97739519</v>
      </c>
      <c r="AT15" t="n">
        <v>803404.931706847</v>
      </c>
      <c r="AU15" t="n">
        <v>870200.111962696</v>
      </c>
      <c r="AV15" t="n">
        <v>301348.230668661</v>
      </c>
      <c r="AW15" t="n">
        <v>378373.41386435</v>
      </c>
      <c r="AX15" t="n">
        <v>39352008.2084708</v>
      </c>
      <c r="AY15" t="n">
        <v>2963247.25010543</v>
      </c>
      <c r="AZ15" t="n">
        <v>1052380.96706126</v>
      </c>
      <c r="BA15" t="n">
        <v>660585.644104083</v>
      </c>
      <c r="BB15" t="n">
        <v>9120947.36082616</v>
      </c>
      <c r="BC15" t="n">
        <v>9038103.87838708</v>
      </c>
      <c r="BD15" t="n">
        <v>8178696.88776686</v>
      </c>
      <c r="BE15" t="n">
        <v>2666369.25254896</v>
      </c>
      <c r="BF15" t="n">
        <v>6725385.81445516</v>
      </c>
      <c r="BG15" t="n">
        <v>10000457.8550776</v>
      </c>
      <c r="BH15" t="n">
        <v>19981124.6536323</v>
      </c>
      <c r="BI15" t="n">
        <v>8248047.917538</v>
      </c>
      <c r="BJ15" t="n">
        <v>2576982.22847214</v>
      </c>
      <c r="BK15" t="n">
        <v>1268116.86199314</v>
      </c>
      <c r="BL15" t="n">
        <v>6191230.91037592</v>
      </c>
      <c r="BM15" t="n">
        <v>7067269.03176878</v>
      </c>
      <c r="BN15" t="n">
        <v>53172565.2378496</v>
      </c>
      <c r="BO15" t="n">
        <v>18195553.7610572</v>
      </c>
      <c r="BP15" t="n">
        <v>8937195.59663475</v>
      </c>
      <c r="BQ15" t="n">
        <v>4894007.61518709</v>
      </c>
      <c r="BR15" t="n">
        <v>8966168.33144566</v>
      </c>
      <c r="BS15" t="n">
        <v>78737916.2871609</v>
      </c>
      <c r="BT15" t="n">
        <v>7571137.83163725</v>
      </c>
      <c r="BU15" t="n">
        <v>629343104.049775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53217363.3787901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28627456.5773673</v>
      </c>
      <c r="C16" t="n">
        <v>107423.349895632</v>
      </c>
      <c r="D16" t="n">
        <v>16174259.5149334</v>
      </c>
      <c r="E16" t="n">
        <v>35609642.0776761</v>
      </c>
      <c r="F16" t="n">
        <v>188856636.39932</v>
      </c>
      <c r="G16" t="n">
        <v>77376753.3388906</v>
      </c>
      <c r="H16" t="n">
        <v>2348690.5522693</v>
      </c>
      <c r="I16" t="n">
        <v>1735647.94714289</v>
      </c>
      <c r="J16" t="n">
        <v>14184339.7010206</v>
      </c>
      <c r="K16" t="n">
        <v>6541982.74262565</v>
      </c>
      <c r="L16" t="n">
        <v>24735134.9989652</v>
      </c>
      <c r="M16" t="n">
        <v>18837040.4426197</v>
      </c>
      <c r="N16" t="n">
        <v>1349956.06387409</v>
      </c>
      <c r="O16" t="n">
        <v>957847.250005509</v>
      </c>
      <c r="P16" t="n">
        <v>4357642.11308444</v>
      </c>
      <c r="Q16" t="n">
        <v>3331301.6704563</v>
      </c>
      <c r="R16" t="n">
        <v>545616.114083394</v>
      </c>
      <c r="S16" t="n">
        <v>1044670.79542955</v>
      </c>
      <c r="T16" t="n">
        <v>14829233.0648451</v>
      </c>
      <c r="U16" t="n">
        <v>243428.471700509</v>
      </c>
      <c r="V16" t="n">
        <v>37987.3167782883</v>
      </c>
      <c r="W16" t="n">
        <v>17067829.5811998</v>
      </c>
      <c r="X16" t="n">
        <v>1389566.87223772</v>
      </c>
      <c r="Y16" t="n">
        <v>142654686.614906</v>
      </c>
      <c r="Z16" t="n">
        <v>6009072.15849163</v>
      </c>
      <c r="AA16" t="n">
        <v>13926781.5235056</v>
      </c>
      <c r="AB16" t="n">
        <v>31370955.9435903</v>
      </c>
      <c r="AC16" t="n">
        <v>16602367.7525084</v>
      </c>
      <c r="AD16" t="n">
        <v>7446642.31798584</v>
      </c>
      <c r="AE16" t="n">
        <v>30732704.0505387</v>
      </c>
      <c r="AF16" t="n">
        <v>32041244.357753</v>
      </c>
      <c r="AG16" t="n">
        <v>2495506.73990665</v>
      </c>
      <c r="AH16" t="n">
        <v>48183315.2903477</v>
      </c>
      <c r="AI16" t="n">
        <v>824.79541207552</v>
      </c>
      <c r="AJ16" t="n">
        <v>6983998.27769159</v>
      </c>
      <c r="AK16" t="n">
        <v>579063.604240283</v>
      </c>
      <c r="AL16" t="n">
        <v>144200105.374078</v>
      </c>
      <c r="AM16" t="n">
        <v>9562292.29305688</v>
      </c>
      <c r="AN16" t="n">
        <v>9124008.45032029</v>
      </c>
      <c r="AO16" t="n">
        <v>980411.083780529</v>
      </c>
      <c r="AP16" t="n">
        <v>89946.3549607524</v>
      </c>
      <c r="AQ16" t="n">
        <v>18325993.8313572</v>
      </c>
      <c r="AR16" t="n">
        <v>1429402.10814594</v>
      </c>
      <c r="AS16" t="n">
        <v>30607637.1895812</v>
      </c>
      <c r="AT16" t="n">
        <v>4345782.53234419</v>
      </c>
      <c r="AU16" t="n">
        <v>4385830.15123607</v>
      </c>
      <c r="AV16" t="n">
        <v>55840.4558404558</v>
      </c>
      <c r="AW16" t="n">
        <v>655248606.704614</v>
      </c>
      <c r="AX16" t="n">
        <v>186972357.221084</v>
      </c>
      <c r="AY16" t="n">
        <v>7884828.2612197</v>
      </c>
      <c r="AZ16" t="n">
        <v>1220308.40177707</v>
      </c>
      <c r="BA16" t="n">
        <v>246414.593076942</v>
      </c>
      <c r="BB16" t="n">
        <v>14586982.1757837</v>
      </c>
      <c r="BC16" t="n">
        <v>5658526.51251781</v>
      </c>
      <c r="BD16" t="n">
        <v>9472035.5010225</v>
      </c>
      <c r="BE16" t="n">
        <v>1054900.96497166</v>
      </c>
      <c r="BF16" t="n">
        <v>9539486.23459462</v>
      </c>
      <c r="BG16" t="n">
        <v>7044664.80906862</v>
      </c>
      <c r="BH16" t="n">
        <v>12185266.2618197</v>
      </c>
      <c r="BI16" t="n">
        <v>5795672.34944013</v>
      </c>
      <c r="BJ16" t="n">
        <v>4747914.96487502</v>
      </c>
      <c r="BK16" t="n">
        <v>1131149.60607506</v>
      </c>
      <c r="BL16" t="n">
        <v>4371908.86788742</v>
      </c>
      <c r="BM16" t="n">
        <v>13559352.5641355</v>
      </c>
      <c r="BN16" t="n">
        <v>25466404.1111261</v>
      </c>
      <c r="BO16" t="n">
        <v>37072473.9674887</v>
      </c>
      <c r="BP16" t="n">
        <v>87245704.4828676</v>
      </c>
      <c r="BQ16" t="n">
        <v>7288815.04434597</v>
      </c>
      <c r="BR16" t="n">
        <v>8795059.16205729</v>
      </c>
      <c r="BS16" t="n">
        <v>471729216.705417</v>
      </c>
      <c r="BT16" t="n">
        <v>467888625.232206</v>
      </c>
      <c r="BU16" t="n">
        <v>0</v>
      </c>
      <c r="BV16" t="n">
        <v>4662130451.70086</v>
      </c>
      <c r="BW16" t="n">
        <v>0</v>
      </c>
      <c r="BX16" t="n">
        <v>0</v>
      </c>
      <c r="BY16" t="n">
        <v>5812658557.18097</v>
      </c>
      <c r="BZ16" t="n">
        <v>0</v>
      </c>
      <c r="CA16" t="n">
        <v>920243.482392499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274731218.709802</v>
      </c>
      <c r="CI16" t="n">
        <v>0</v>
      </c>
      <c r="CJ16" t="n">
        <v>0</v>
      </c>
      <c r="CK16" t="n">
        <v>0</v>
      </c>
      <c r="CL16" t="n">
        <v>3714760303.21482</v>
      </c>
      <c r="CM16" t="n">
        <v>0</v>
      </c>
      <c r="CN16" t="n">
        <v>0</v>
      </c>
    </row>
    <row r="17">
      <c r="A17" t="s">
        <v>128</v>
      </c>
      <c r="B17" t="n">
        <v>4885496.70550174</v>
      </c>
      <c r="C17" t="n">
        <v>147625.873838949</v>
      </c>
      <c r="D17" t="n">
        <v>0</v>
      </c>
      <c r="E17" t="n">
        <v>736585.70849591</v>
      </c>
      <c r="F17" t="n">
        <v>8576050.10933535</v>
      </c>
      <c r="G17" t="n">
        <v>30624.5390399811</v>
      </c>
      <c r="H17" t="n">
        <v>129831829.495364</v>
      </c>
      <c r="I17" t="n">
        <v>49271488.427716</v>
      </c>
      <c r="J17" t="n">
        <v>1344831.0291832</v>
      </c>
      <c r="K17" t="n">
        <v>1268078.61109486</v>
      </c>
      <c r="L17" t="n">
        <v>1197817.07585999</v>
      </c>
      <c r="M17" t="n">
        <v>5136247.27405873</v>
      </c>
      <c r="N17" t="n">
        <v>327780.27395199</v>
      </c>
      <c r="O17" t="n">
        <v>1689144.94583432</v>
      </c>
      <c r="P17" t="n">
        <v>5969268.91729769</v>
      </c>
      <c r="Q17" t="n">
        <v>546732.631546858</v>
      </c>
      <c r="R17" t="n">
        <v>7873926.15910797</v>
      </c>
      <c r="S17" t="n">
        <v>1176538.95903548</v>
      </c>
      <c r="T17" t="n">
        <v>1081602.91612795</v>
      </c>
      <c r="U17" t="n">
        <v>25733.0823734617</v>
      </c>
      <c r="V17" t="n">
        <v>0</v>
      </c>
      <c r="W17" t="n">
        <v>24052947.9521441</v>
      </c>
      <c r="X17" t="n">
        <v>0</v>
      </c>
      <c r="Y17" t="n">
        <v>0</v>
      </c>
      <c r="Z17" t="n">
        <v>295337.030933941</v>
      </c>
      <c r="AA17" t="n">
        <v>12301848.9308709</v>
      </c>
      <c r="AB17" t="n">
        <v>22878434.9120096</v>
      </c>
      <c r="AC17" t="n">
        <v>747783.358735853</v>
      </c>
      <c r="AD17" t="n">
        <v>1939225.28839896</v>
      </c>
      <c r="AE17" t="n">
        <v>1016594.1421777</v>
      </c>
      <c r="AF17" t="n">
        <v>3569361.44988213</v>
      </c>
      <c r="AG17" t="n">
        <v>0</v>
      </c>
      <c r="AH17" t="n">
        <v>19721879.484554</v>
      </c>
      <c r="AI17" t="n">
        <v>0</v>
      </c>
      <c r="AJ17" t="n">
        <v>1056409.06129933</v>
      </c>
      <c r="AK17" t="n">
        <v>0</v>
      </c>
      <c r="AL17" t="n">
        <v>459915.52648445</v>
      </c>
      <c r="AM17" t="n">
        <v>187429.935174087</v>
      </c>
      <c r="AN17" t="n">
        <v>489536.975357201</v>
      </c>
      <c r="AO17" t="n">
        <v>127406.512049573</v>
      </c>
      <c r="AP17" t="n">
        <v>39509.4772558667</v>
      </c>
      <c r="AQ17" t="n">
        <v>2405052.294633</v>
      </c>
      <c r="AR17" t="n">
        <v>644861.389453772</v>
      </c>
      <c r="AS17" t="n">
        <v>385490.805200584</v>
      </c>
      <c r="AT17" t="n">
        <v>4496.26557695125</v>
      </c>
      <c r="AU17" t="n">
        <v>0</v>
      </c>
      <c r="AV17" t="n">
        <v>0</v>
      </c>
      <c r="AW17" t="n">
        <v>72693.8334256357</v>
      </c>
      <c r="AX17" t="n">
        <v>14085140.5298313</v>
      </c>
      <c r="AY17" t="n">
        <v>1393266.57297253</v>
      </c>
      <c r="AZ17" t="n">
        <v>25800.0195331227</v>
      </c>
      <c r="BA17" t="n">
        <v>33445.306634855</v>
      </c>
      <c r="BB17" t="n">
        <v>2123700.80888552</v>
      </c>
      <c r="BC17" t="n">
        <v>15193.8160293901</v>
      </c>
      <c r="BD17" t="n">
        <v>4245122.50737396</v>
      </c>
      <c r="BE17" t="n">
        <v>82182.0364622615</v>
      </c>
      <c r="BF17" t="n">
        <v>62922.5120570881</v>
      </c>
      <c r="BG17" t="n">
        <v>1338556.28548811</v>
      </c>
      <c r="BH17" t="n">
        <v>1824330.6579894</v>
      </c>
      <c r="BI17" t="n">
        <v>15850.0833065654</v>
      </c>
      <c r="BJ17" t="n">
        <v>1896368.33897459</v>
      </c>
      <c r="BK17" t="n">
        <v>12485.7457541385</v>
      </c>
      <c r="BL17" t="n">
        <v>395310.665367747</v>
      </c>
      <c r="BM17" t="n">
        <v>1314843.06378877</v>
      </c>
      <c r="BN17" t="n">
        <v>3021571.37199538</v>
      </c>
      <c r="BO17" t="n">
        <v>1251458.62152818</v>
      </c>
      <c r="BP17" t="n">
        <v>63925.8193173396</v>
      </c>
      <c r="BQ17" t="n">
        <v>247782.534822173</v>
      </c>
      <c r="BR17" t="n">
        <v>11348.8785239812</v>
      </c>
      <c r="BS17" t="n">
        <v>10820336.9687519</v>
      </c>
      <c r="BT17" t="n">
        <v>1071359.53228599</v>
      </c>
      <c r="BU17" t="n">
        <v>7725490.72117458</v>
      </c>
      <c r="BV17" t="n">
        <v>809584.366223622</v>
      </c>
      <c r="BW17" t="n">
        <v>0</v>
      </c>
      <c r="BX17" t="n">
        <v>0</v>
      </c>
      <c r="BY17" t="n">
        <v>32438602.4624502</v>
      </c>
      <c r="BZ17" t="n">
        <v>2252012.84970655</v>
      </c>
      <c r="CA17" t="n">
        <v>6932973.91550002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90466.8244767942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229600.793856581</v>
      </c>
      <c r="C18" t="n">
        <v>203800.393018906</v>
      </c>
      <c r="D18" t="n">
        <v>65183465.6775838</v>
      </c>
      <c r="E18" t="n">
        <v>3010354.17684105</v>
      </c>
      <c r="F18" t="n">
        <v>44128855.3364784</v>
      </c>
      <c r="G18" t="n">
        <v>492221.213815656</v>
      </c>
      <c r="H18" t="n">
        <v>345845670.859212</v>
      </c>
      <c r="I18" t="n">
        <v>2640483.3970548</v>
      </c>
      <c r="J18" t="n">
        <v>120925782.736982</v>
      </c>
      <c r="K18" t="n">
        <v>5956841.48311663</v>
      </c>
      <c r="L18" t="n">
        <v>9219896.81566156</v>
      </c>
      <c r="M18" t="n">
        <v>12850468.6732034</v>
      </c>
      <c r="N18" t="n">
        <v>336675.567702813</v>
      </c>
      <c r="O18" t="n">
        <v>5074123.10563622</v>
      </c>
      <c r="P18" t="n">
        <v>19301383.9970012</v>
      </c>
      <c r="Q18" t="n">
        <v>756197.995613357</v>
      </c>
      <c r="R18" t="n">
        <v>506388.226970059</v>
      </c>
      <c r="S18" t="n">
        <v>1039989.43506489</v>
      </c>
      <c r="T18" t="n">
        <v>12827192.7728593</v>
      </c>
      <c r="U18" t="n">
        <v>25530.9845201228</v>
      </c>
      <c r="V18" t="n">
        <v>0</v>
      </c>
      <c r="W18" t="n">
        <v>4493524.04580058</v>
      </c>
      <c r="X18" t="n">
        <v>2795.77920331488</v>
      </c>
      <c r="Y18" t="n">
        <v>12333297.4123075</v>
      </c>
      <c r="Z18" t="n">
        <v>2199133.8862868</v>
      </c>
      <c r="AA18" t="n">
        <v>14907120.0298022</v>
      </c>
      <c r="AB18" t="n">
        <v>355727.646561137</v>
      </c>
      <c r="AC18" t="n">
        <v>788768.060875161</v>
      </c>
      <c r="AD18" t="n">
        <v>70587.7449601624</v>
      </c>
      <c r="AE18" t="n">
        <v>2876461.09817934</v>
      </c>
      <c r="AF18" t="n">
        <v>2152055.57837944</v>
      </c>
      <c r="AG18" t="n">
        <v>0</v>
      </c>
      <c r="AH18" t="n">
        <v>165661.970153718</v>
      </c>
      <c r="AI18" t="n">
        <v>0</v>
      </c>
      <c r="AJ18" t="n">
        <v>626234.637213165</v>
      </c>
      <c r="AK18" t="n">
        <v>0</v>
      </c>
      <c r="AL18" t="n">
        <v>0</v>
      </c>
      <c r="AM18" t="n">
        <v>48936.297806612</v>
      </c>
      <c r="AN18" t="n">
        <v>156270.424514702</v>
      </c>
      <c r="AO18" t="n">
        <v>8981.47253158647</v>
      </c>
      <c r="AP18" t="n">
        <v>795.772925131925</v>
      </c>
      <c r="AQ18" t="n">
        <v>6732082.43165993</v>
      </c>
      <c r="AR18" t="n">
        <v>568823.472547143</v>
      </c>
      <c r="AS18" t="n">
        <v>29290.4454984887</v>
      </c>
      <c r="AT18" t="n">
        <v>12678.4997483936</v>
      </c>
      <c r="AU18" t="n">
        <v>102042.80236973</v>
      </c>
      <c r="AV18" t="n">
        <v>0</v>
      </c>
      <c r="AW18" t="n">
        <v>554654.310849287</v>
      </c>
      <c r="AX18" t="n">
        <v>201552.603291402</v>
      </c>
      <c r="AY18" t="n">
        <v>2786395.86736268</v>
      </c>
      <c r="AZ18" t="n">
        <v>0</v>
      </c>
      <c r="BA18" t="n">
        <v>355621.84473843</v>
      </c>
      <c r="BB18" t="n">
        <v>15186214.7919053</v>
      </c>
      <c r="BC18" t="n">
        <v>68549.2578350335</v>
      </c>
      <c r="BD18" t="n">
        <v>4366020.51873734</v>
      </c>
      <c r="BE18" t="n">
        <v>750823.435786249</v>
      </c>
      <c r="BF18" t="n">
        <v>104009.470892151</v>
      </c>
      <c r="BG18" t="n">
        <v>10560018.1936886</v>
      </c>
      <c r="BH18" t="n">
        <v>6752555.0588786</v>
      </c>
      <c r="BI18" t="n">
        <v>486045.275196446</v>
      </c>
      <c r="BJ18" t="n">
        <v>1792520.32225606</v>
      </c>
      <c r="BK18" t="n">
        <v>29339.2597503269</v>
      </c>
      <c r="BL18" t="n">
        <v>446797.578669044</v>
      </c>
      <c r="BM18" t="n">
        <v>254384.022079899</v>
      </c>
      <c r="BN18" t="n">
        <v>9413094.82374403</v>
      </c>
      <c r="BO18" t="n">
        <v>9001018.79673913</v>
      </c>
      <c r="BP18" t="n">
        <v>304183.740053453</v>
      </c>
      <c r="BQ18" t="n">
        <v>1703065.01186544</v>
      </c>
      <c r="BR18" t="n">
        <v>0</v>
      </c>
      <c r="BS18" t="n">
        <v>8003893.74583959</v>
      </c>
      <c r="BT18" t="n">
        <v>15672754.946385</v>
      </c>
      <c r="BU18" t="n">
        <v>38877694.25372</v>
      </c>
      <c r="BV18" t="n">
        <v>0</v>
      </c>
      <c r="BW18" t="n">
        <v>0</v>
      </c>
      <c r="BX18" t="n">
        <v>0</v>
      </c>
      <c r="BY18" t="n">
        <v>0</v>
      </c>
      <c r="BZ18" t="n">
        <v>16083679.3693104</v>
      </c>
      <c r="CA18" t="n">
        <v>21326668.72385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163377.119362795</v>
      </c>
      <c r="C19" t="n">
        <v>0</v>
      </c>
      <c r="D19" t="n">
        <v>104159851.701722</v>
      </c>
      <c r="E19" t="n">
        <v>972420.926356272</v>
      </c>
      <c r="F19" t="n">
        <v>6119564.50037687</v>
      </c>
      <c r="G19" t="n">
        <v>13342.8581307736</v>
      </c>
      <c r="H19" t="n">
        <v>6331126.67323748</v>
      </c>
      <c r="I19" t="n">
        <v>284546.525463166</v>
      </c>
      <c r="J19" t="n">
        <v>4923896.53456063</v>
      </c>
      <c r="K19" t="n">
        <v>55041641.3414005</v>
      </c>
      <c r="L19" t="n">
        <v>261124617.830246</v>
      </c>
      <c r="M19" t="n">
        <v>154913118.315863</v>
      </c>
      <c r="N19" t="n">
        <v>1957518.83749648</v>
      </c>
      <c r="O19" t="n">
        <v>14339077.1318052</v>
      </c>
      <c r="P19" t="n">
        <v>44707113.8083462</v>
      </c>
      <c r="Q19" t="n">
        <v>10278325.4035394</v>
      </c>
      <c r="R19" t="n">
        <v>2460226.55747398</v>
      </c>
      <c r="S19" t="n">
        <v>2812097.49241613</v>
      </c>
      <c r="T19" t="n">
        <v>3223649.23131055</v>
      </c>
      <c r="U19" t="n">
        <v>38929.4824850208</v>
      </c>
      <c r="V19" t="n">
        <v>0</v>
      </c>
      <c r="W19" t="n">
        <v>3138321.85040893</v>
      </c>
      <c r="X19" t="n">
        <v>8639.65225789637</v>
      </c>
      <c r="Y19" t="n">
        <v>23296.4259213279</v>
      </c>
      <c r="Z19" t="n">
        <v>22977.8391776121</v>
      </c>
      <c r="AA19" t="n">
        <v>5817441.18569833</v>
      </c>
      <c r="AB19" t="n">
        <v>846693.323225412</v>
      </c>
      <c r="AC19" t="n">
        <v>12066.778473568</v>
      </c>
      <c r="AD19" t="n">
        <v>0</v>
      </c>
      <c r="AE19" t="n">
        <v>0</v>
      </c>
      <c r="AF19" t="n">
        <v>365940.46999183</v>
      </c>
      <c r="AG19" t="n">
        <v>0</v>
      </c>
      <c r="AH19" t="n">
        <v>3056852.44324333</v>
      </c>
      <c r="AI19" t="n">
        <v>0</v>
      </c>
      <c r="AJ19" t="n">
        <v>0</v>
      </c>
      <c r="AK19" t="n">
        <v>0</v>
      </c>
      <c r="AL19" t="n">
        <v>0</v>
      </c>
      <c r="AM19" t="n">
        <v>298670.000760419</v>
      </c>
      <c r="AN19" t="n">
        <v>0</v>
      </c>
      <c r="AO19" t="n">
        <v>10408.1179780869</v>
      </c>
      <c r="AP19" t="n">
        <v>1229.56801117146</v>
      </c>
      <c r="AQ19" t="n">
        <v>694227.337995121</v>
      </c>
      <c r="AR19" t="n">
        <v>129313.994880936</v>
      </c>
      <c r="AS19" t="n">
        <v>0</v>
      </c>
      <c r="AT19" t="n">
        <v>0</v>
      </c>
      <c r="AU19" t="n">
        <v>0</v>
      </c>
      <c r="AV19" t="n">
        <v>0</v>
      </c>
      <c r="AW19" t="n">
        <v>2328.83098668142</v>
      </c>
      <c r="AX19" t="n">
        <v>1516028.39210611</v>
      </c>
      <c r="AY19" t="n">
        <v>111344.682139939</v>
      </c>
      <c r="AZ19" t="n">
        <v>0</v>
      </c>
      <c r="BA19" t="n">
        <v>0</v>
      </c>
      <c r="BB19" t="n">
        <v>1508869.77678999</v>
      </c>
      <c r="BC19" t="n">
        <v>43028.829091064</v>
      </c>
      <c r="BD19" t="n">
        <v>924782.36635165</v>
      </c>
      <c r="BE19" t="n">
        <v>372382.742499976</v>
      </c>
      <c r="BF19" t="n">
        <v>121712.336721574</v>
      </c>
      <c r="BG19" t="n">
        <v>243773.004298014</v>
      </c>
      <c r="BH19" t="n">
        <v>49796.4232089167</v>
      </c>
      <c r="BI19" t="n">
        <v>19422.4220995529</v>
      </c>
      <c r="BJ19" t="n">
        <v>365658.223549069</v>
      </c>
      <c r="BK19" t="n">
        <v>14733.1601633762</v>
      </c>
      <c r="BL19" t="n">
        <v>396777.781952672</v>
      </c>
      <c r="BM19" t="n">
        <v>21459.8945550211</v>
      </c>
      <c r="BN19" t="n">
        <v>271193.568260957</v>
      </c>
      <c r="BO19" t="n">
        <v>1167712.32042717</v>
      </c>
      <c r="BP19" t="n">
        <v>361204.979920715</v>
      </c>
      <c r="BQ19" t="n">
        <v>1211140.34017654</v>
      </c>
      <c r="BR19" t="n">
        <v>0</v>
      </c>
      <c r="BS19" t="n">
        <v>239906.47794374</v>
      </c>
      <c r="BT19" t="n">
        <v>1170980.18398074</v>
      </c>
      <c r="BU19" t="n">
        <v>1108135.45141067</v>
      </c>
      <c r="BV19" t="n">
        <v>0</v>
      </c>
      <c r="BW19" t="n">
        <v>0</v>
      </c>
      <c r="BX19" t="n">
        <v>0</v>
      </c>
      <c r="BY19" t="n">
        <v>0</v>
      </c>
      <c r="BZ19" t="n">
        <v>7995608.73007505</v>
      </c>
      <c r="CA19" t="n">
        <v>98311050.0658713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7571166.59850415</v>
      </c>
      <c r="C20" t="n">
        <v>147994.334421702</v>
      </c>
      <c r="D20" t="n">
        <v>243880526.470018</v>
      </c>
      <c r="E20" t="n">
        <v>3805621.79373973</v>
      </c>
      <c r="F20" t="n">
        <v>28750822.3518071</v>
      </c>
      <c r="G20" t="n">
        <v>2247311.37501337</v>
      </c>
      <c r="H20" t="n">
        <v>248859393.370644</v>
      </c>
      <c r="I20" t="n">
        <v>5647684.39373718</v>
      </c>
      <c r="J20" t="n">
        <v>11901314.4816913</v>
      </c>
      <c r="K20" t="n">
        <v>10510358.8343192</v>
      </c>
      <c r="L20" t="n">
        <v>254673023.018725</v>
      </c>
      <c r="M20" t="n">
        <v>175335757.714106</v>
      </c>
      <c r="N20" t="n">
        <v>6672628.14323146</v>
      </c>
      <c r="O20" t="n">
        <v>19568452.3621836</v>
      </c>
      <c r="P20" t="n">
        <v>44613248.1235849</v>
      </c>
      <c r="Q20" t="n">
        <v>32323860.4450529</v>
      </c>
      <c r="R20" t="n">
        <v>5814590.77842114</v>
      </c>
      <c r="S20" t="n">
        <v>5208184.19889888</v>
      </c>
      <c r="T20" t="n">
        <v>42650490.9159612</v>
      </c>
      <c r="U20" t="n">
        <v>379998.467821856</v>
      </c>
      <c r="V20" t="n">
        <v>107160.363422291</v>
      </c>
      <c r="W20" t="n">
        <v>31928534.5254528</v>
      </c>
      <c r="X20" t="n">
        <v>1317140.99655493</v>
      </c>
      <c r="Y20" t="n">
        <v>12515635.6593803</v>
      </c>
      <c r="Z20" t="n">
        <v>9000874.33582855</v>
      </c>
      <c r="AA20" t="n">
        <v>47625036.7109584</v>
      </c>
      <c r="AB20" t="n">
        <v>7078016.72482186</v>
      </c>
      <c r="AC20" t="n">
        <v>1289873.55034314</v>
      </c>
      <c r="AD20" t="n">
        <v>358507.268765023</v>
      </c>
      <c r="AE20" t="n">
        <v>759077.230976269</v>
      </c>
      <c r="AF20" t="n">
        <v>2292807.3930149</v>
      </c>
      <c r="AG20" t="n">
        <v>1163628.82232212</v>
      </c>
      <c r="AH20" t="n">
        <v>2399870.75096509</v>
      </c>
      <c r="AI20" t="n">
        <v>9049.8101138761</v>
      </c>
      <c r="AJ20" t="n">
        <v>7690116.37821909</v>
      </c>
      <c r="AK20" t="n">
        <v>97570.7389346272</v>
      </c>
      <c r="AL20" t="n">
        <v>107691244.771876</v>
      </c>
      <c r="AM20" t="n">
        <v>850013.599409837</v>
      </c>
      <c r="AN20" t="n">
        <v>2956458.08768119</v>
      </c>
      <c r="AO20" t="n">
        <v>1858391.57638117</v>
      </c>
      <c r="AP20" t="n">
        <v>20369.8744826079</v>
      </c>
      <c r="AQ20" t="n">
        <v>21534589.8725881</v>
      </c>
      <c r="AR20" t="n">
        <v>1036058.42473873</v>
      </c>
      <c r="AS20" t="n">
        <v>727946.455381191</v>
      </c>
      <c r="AT20" t="n">
        <v>187382.708846324</v>
      </c>
      <c r="AU20" t="n">
        <v>0</v>
      </c>
      <c r="AV20" t="n">
        <v>224.285518565219</v>
      </c>
      <c r="AW20" t="n">
        <v>62464.5176038082</v>
      </c>
      <c r="AX20" t="n">
        <v>460648.41725242</v>
      </c>
      <c r="AY20" t="n">
        <v>4671718.41281328</v>
      </c>
      <c r="AZ20" t="n">
        <v>34485.88534046</v>
      </c>
      <c r="BA20" t="n">
        <v>2780494.07919996</v>
      </c>
      <c r="BB20" t="n">
        <v>11488258.3756248</v>
      </c>
      <c r="BC20" t="n">
        <v>1208964.83600906</v>
      </c>
      <c r="BD20" t="n">
        <v>6166631.29176807</v>
      </c>
      <c r="BE20" t="n">
        <v>8395015.7286316</v>
      </c>
      <c r="BF20" t="n">
        <v>708479.796751991</v>
      </c>
      <c r="BG20" t="n">
        <v>1135545.40015473</v>
      </c>
      <c r="BH20" t="n">
        <v>5664364.96113647</v>
      </c>
      <c r="BI20" t="n">
        <v>74908.3200854552</v>
      </c>
      <c r="BJ20" t="n">
        <v>4155111.26803814</v>
      </c>
      <c r="BK20" t="n">
        <v>62584.54512717</v>
      </c>
      <c r="BL20" t="n">
        <v>873070.610724661</v>
      </c>
      <c r="BM20" t="n">
        <v>1641270.30077758</v>
      </c>
      <c r="BN20" t="n">
        <v>9629463.47686275</v>
      </c>
      <c r="BO20" t="n">
        <v>12073316.505268</v>
      </c>
      <c r="BP20" t="n">
        <v>13399564.7134878</v>
      </c>
      <c r="BQ20" t="n">
        <v>6573754.43245958</v>
      </c>
      <c r="BR20" t="n">
        <v>911801.657248348</v>
      </c>
      <c r="BS20" t="n">
        <v>13653365.0663509</v>
      </c>
      <c r="BT20" t="n">
        <v>15596236.895677</v>
      </c>
      <c r="BU20" t="n">
        <v>40047475.8713959</v>
      </c>
      <c r="BV20" t="n">
        <v>0</v>
      </c>
      <c r="BW20" t="n">
        <v>70757388.1842716</v>
      </c>
      <c r="BX20" t="n">
        <v>0</v>
      </c>
      <c r="BY20" t="n">
        <v>0</v>
      </c>
      <c r="BZ20" t="n">
        <v>56962047.9044382</v>
      </c>
      <c r="CA20" t="n">
        <v>376308679.500742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266194.049106752</v>
      </c>
      <c r="CJ20" t="n">
        <v>0</v>
      </c>
      <c r="CK20" t="n">
        <v>0</v>
      </c>
      <c r="CL20" t="n">
        <v>0</v>
      </c>
      <c r="CM20" t="n">
        <v>227752.228421198</v>
      </c>
      <c r="CN20" t="n">
        <v>0</v>
      </c>
    </row>
    <row r="21">
      <c r="A21" t="s">
        <v>132</v>
      </c>
      <c r="B21" t="n">
        <v>984889.321425809</v>
      </c>
      <c r="C21" t="n">
        <v>20788.6305993206</v>
      </c>
      <c r="D21" t="n">
        <v>223652672.244328</v>
      </c>
      <c r="E21" t="n">
        <v>7062543.60283091</v>
      </c>
      <c r="F21" t="n">
        <v>87904764.2260338</v>
      </c>
      <c r="G21" t="n">
        <v>828007.346284475</v>
      </c>
      <c r="H21" t="n">
        <v>82100494.4067568</v>
      </c>
      <c r="I21" t="n">
        <v>588596.064236612</v>
      </c>
      <c r="J21" t="n">
        <v>351997.358878543</v>
      </c>
      <c r="K21" t="n">
        <v>1314054.25281477</v>
      </c>
      <c r="L21" t="n">
        <v>21089088.30046</v>
      </c>
      <c r="M21" t="n">
        <v>142445019.05647</v>
      </c>
      <c r="N21" t="n">
        <v>133239.351975812</v>
      </c>
      <c r="O21" t="n">
        <v>1980064.3806643</v>
      </c>
      <c r="P21" t="n">
        <v>31402546.9478456</v>
      </c>
      <c r="Q21" t="n">
        <v>6166079.7775461</v>
      </c>
      <c r="R21" t="n">
        <v>93855.9600826405</v>
      </c>
      <c r="S21" t="n">
        <v>342125.916023647</v>
      </c>
      <c r="T21" t="n">
        <v>4393800.66595788</v>
      </c>
      <c r="U21" t="n">
        <v>12884.3549285468</v>
      </c>
      <c r="V21" t="n">
        <v>2450.44271638166</v>
      </c>
      <c r="W21" t="n">
        <v>2175937.22768221</v>
      </c>
      <c r="X21" t="n">
        <v>1151034.50546436</v>
      </c>
      <c r="Y21" t="n">
        <v>198782.119782463</v>
      </c>
      <c r="Z21" t="n">
        <v>1672212.75682333</v>
      </c>
      <c r="AA21" t="n">
        <v>7328889.95135343</v>
      </c>
      <c r="AB21" t="n">
        <v>4069229.03682241</v>
      </c>
      <c r="AC21" t="n">
        <v>697337.382432524</v>
      </c>
      <c r="AD21" t="n">
        <v>276371.248494717</v>
      </c>
      <c r="AE21" t="n">
        <v>669379.943212193</v>
      </c>
      <c r="AF21" t="n">
        <v>1286399.1240657</v>
      </c>
      <c r="AG21" t="n">
        <v>20803.2224348335</v>
      </c>
      <c r="AH21" t="n">
        <v>366563.689388747</v>
      </c>
      <c r="AI21" t="n">
        <v>114.72320864166</v>
      </c>
      <c r="AJ21" t="n">
        <v>1272939.67437156</v>
      </c>
      <c r="AK21" t="n">
        <v>8257.10666367236</v>
      </c>
      <c r="AL21" t="n">
        <v>2914432.39742208</v>
      </c>
      <c r="AM21" t="n">
        <v>126103.837222928</v>
      </c>
      <c r="AN21" t="n">
        <v>4705888.07792722</v>
      </c>
      <c r="AO21" t="n">
        <v>115721.683178938</v>
      </c>
      <c r="AP21" t="n">
        <v>18121.8066104472</v>
      </c>
      <c r="AQ21" t="n">
        <v>2335544.40196153</v>
      </c>
      <c r="AR21" t="n">
        <v>458237.115586477</v>
      </c>
      <c r="AS21" t="n">
        <v>13652.4389675647</v>
      </c>
      <c r="AT21" t="n">
        <v>45587.7179535001</v>
      </c>
      <c r="AU21" t="n">
        <v>259369.094874536</v>
      </c>
      <c r="AV21" t="n">
        <v>0</v>
      </c>
      <c r="AW21" t="n">
        <v>148131.410450905</v>
      </c>
      <c r="AX21" t="n">
        <v>213053.352492366</v>
      </c>
      <c r="AY21" t="n">
        <v>1973723.05575163</v>
      </c>
      <c r="AZ21" t="n">
        <v>48442.0119212496</v>
      </c>
      <c r="BA21" t="n">
        <v>974919.884396443</v>
      </c>
      <c r="BB21" t="n">
        <v>2807635.33129345</v>
      </c>
      <c r="BC21" t="n">
        <v>202832.994205733</v>
      </c>
      <c r="BD21" t="n">
        <v>3662292.33480361</v>
      </c>
      <c r="BE21" t="n">
        <v>5185562.33618219</v>
      </c>
      <c r="BF21" t="n">
        <v>2588555.03368011</v>
      </c>
      <c r="BG21" t="n">
        <v>1015712.38775895</v>
      </c>
      <c r="BH21" t="n">
        <v>2836341.78372295</v>
      </c>
      <c r="BI21" t="n">
        <v>528984.925390399</v>
      </c>
      <c r="BJ21" t="n">
        <v>525039.616846635</v>
      </c>
      <c r="BK21" t="n">
        <v>29890.0615544588</v>
      </c>
      <c r="BL21" t="n">
        <v>356088.151230983</v>
      </c>
      <c r="BM21" t="n">
        <v>70090.523602467</v>
      </c>
      <c r="BN21" t="n">
        <v>2091401.67712435</v>
      </c>
      <c r="BO21" t="n">
        <v>11472204.718372</v>
      </c>
      <c r="BP21" t="n">
        <v>4415488.06797218</v>
      </c>
      <c r="BQ21" t="n">
        <v>350671.244050074</v>
      </c>
      <c r="BR21" t="n">
        <v>225338.532111707</v>
      </c>
      <c r="BS21" t="n">
        <v>8848739.27113182</v>
      </c>
      <c r="BT21" t="n">
        <v>2462798.58035065</v>
      </c>
      <c r="BU21" t="n">
        <v>15262802.1568963</v>
      </c>
      <c r="BV21" t="n">
        <v>0</v>
      </c>
      <c r="BW21" t="n">
        <v>1208766334.9466</v>
      </c>
      <c r="BX21" t="n">
        <v>0</v>
      </c>
      <c r="BY21" t="n">
        <v>0</v>
      </c>
      <c r="BZ21" t="n">
        <v>47276460.0076884</v>
      </c>
      <c r="CA21" t="n">
        <v>894892011.45385</v>
      </c>
      <c r="CB21" t="n">
        <v>0</v>
      </c>
      <c r="CC21" t="n">
        <v>0</v>
      </c>
      <c r="CD21" t="n">
        <v>0</v>
      </c>
      <c r="CE21" t="n">
        <v>1435653.00760927</v>
      </c>
      <c r="CF21" t="n">
        <v>0</v>
      </c>
      <c r="CG21" t="n">
        <v>0</v>
      </c>
      <c r="CH21" t="n">
        <v>0</v>
      </c>
      <c r="CI21" t="n">
        <v>317188.20527706</v>
      </c>
      <c r="CJ21" t="n">
        <v>0</v>
      </c>
      <c r="CK21" t="n">
        <v>0</v>
      </c>
      <c r="CL21" t="n">
        <v>0</v>
      </c>
      <c r="CM21" t="n">
        <v>26619883.2954274</v>
      </c>
      <c r="CN21" t="n">
        <v>0</v>
      </c>
    </row>
    <row r="22">
      <c r="A22" t="s">
        <v>133</v>
      </c>
      <c r="B22" t="n">
        <v>122333.654395362</v>
      </c>
      <c r="C22" t="n">
        <v>0</v>
      </c>
      <c r="D22" t="n">
        <v>822497.436760216</v>
      </c>
      <c r="E22" t="n">
        <v>19407.2982382061</v>
      </c>
      <c r="F22" t="n">
        <v>130297.362768977</v>
      </c>
      <c r="G22" t="n">
        <v>225835.433780084</v>
      </c>
      <c r="H22" t="n">
        <v>7026859.52687086</v>
      </c>
      <c r="I22" t="n">
        <v>846590.835817412</v>
      </c>
      <c r="J22" t="n">
        <v>1434381.50374835</v>
      </c>
      <c r="K22" t="n">
        <v>1381446.95554959</v>
      </c>
      <c r="L22" t="n">
        <v>13308366.6951331</v>
      </c>
      <c r="M22" t="n">
        <v>20176669.0587196</v>
      </c>
      <c r="N22" t="n">
        <v>12661216.80542</v>
      </c>
      <c r="O22" t="n">
        <v>3885432.65714637</v>
      </c>
      <c r="P22" t="n">
        <v>7316773.70799153</v>
      </c>
      <c r="Q22" t="n">
        <v>14510068.4649412</v>
      </c>
      <c r="R22" t="n">
        <v>547208.937758256</v>
      </c>
      <c r="S22" t="n">
        <v>1174573.86965732</v>
      </c>
      <c r="T22" t="n">
        <v>2892589.89462195</v>
      </c>
      <c r="U22" t="n">
        <v>112792.951455558</v>
      </c>
      <c r="V22" t="n">
        <v>22421.9868822064</v>
      </c>
      <c r="W22" t="n">
        <v>3913503.3689821</v>
      </c>
      <c r="X22" t="n">
        <v>708748.683610741</v>
      </c>
      <c r="Y22" t="n">
        <v>809809.621177483</v>
      </c>
      <c r="Z22" t="n">
        <v>2182170.39706185</v>
      </c>
      <c r="AA22" t="n">
        <v>6393972.47467007</v>
      </c>
      <c r="AB22" t="n">
        <v>28604156.8433464</v>
      </c>
      <c r="AC22" t="n">
        <v>928949.220072693</v>
      </c>
      <c r="AD22" t="n">
        <v>77413.6561445906</v>
      </c>
      <c r="AE22" t="n">
        <v>120914.514683831</v>
      </c>
      <c r="AF22" t="n">
        <v>625957.931663799</v>
      </c>
      <c r="AG22" t="n">
        <v>6275.37979009581</v>
      </c>
      <c r="AH22" t="n">
        <v>177381.503939451</v>
      </c>
      <c r="AI22" t="n">
        <v>3.51082867127092</v>
      </c>
      <c r="AJ22" t="n">
        <v>60683.3027662094</v>
      </c>
      <c r="AK22" t="n">
        <v>0</v>
      </c>
      <c r="AL22" t="n">
        <v>0</v>
      </c>
      <c r="AM22" t="n">
        <v>8256.69087139127</v>
      </c>
      <c r="AN22" t="n">
        <v>30211.5605288985</v>
      </c>
      <c r="AO22" t="n">
        <v>1754056.02317668</v>
      </c>
      <c r="AP22" t="n">
        <v>121174.513303472</v>
      </c>
      <c r="AQ22" t="n">
        <v>9126239.9821566</v>
      </c>
      <c r="AR22" t="n">
        <v>683616.237417327</v>
      </c>
      <c r="AS22" t="n">
        <v>135904.421302099</v>
      </c>
      <c r="AT22" t="n">
        <v>42783.151904619</v>
      </c>
      <c r="AU22" t="n">
        <v>22263.3524368329</v>
      </c>
      <c r="AV22" t="n">
        <v>12418.1310881945</v>
      </c>
      <c r="AW22" t="n">
        <v>2543.01831868514</v>
      </c>
      <c r="AX22" t="n">
        <v>17711.7754600001</v>
      </c>
      <c r="AY22" t="n">
        <v>101321.06623072</v>
      </c>
      <c r="AZ22" t="n">
        <v>252313.262526524</v>
      </c>
      <c r="BA22" t="n">
        <v>2332109.14487152</v>
      </c>
      <c r="BB22" t="n">
        <v>5433261.62809665</v>
      </c>
      <c r="BC22" t="n">
        <v>2902306.26083541</v>
      </c>
      <c r="BD22" t="n">
        <v>2920553.41404159</v>
      </c>
      <c r="BE22" t="n">
        <v>592352.679326452</v>
      </c>
      <c r="BF22" t="n">
        <v>949700.589586669</v>
      </c>
      <c r="BG22" t="n">
        <v>14498661.9749038</v>
      </c>
      <c r="BH22" t="n">
        <v>942522.563433957</v>
      </c>
      <c r="BI22" t="n">
        <v>141391.61228636</v>
      </c>
      <c r="BJ22" t="n">
        <v>133804.143625383</v>
      </c>
      <c r="BK22" t="n">
        <v>1237.55376382994</v>
      </c>
      <c r="BL22" t="n">
        <v>11657.4953325246</v>
      </c>
      <c r="BM22" t="n">
        <v>96201.1144114042</v>
      </c>
      <c r="BN22" t="n">
        <v>83378.0389259178</v>
      </c>
      <c r="BO22" t="n">
        <v>2615274.99662609</v>
      </c>
      <c r="BP22" t="n">
        <v>23171324.08169</v>
      </c>
      <c r="BQ22" t="n">
        <v>7128407.3288926</v>
      </c>
      <c r="BR22" t="n">
        <v>0</v>
      </c>
      <c r="BS22" t="n">
        <v>2479501.73685387</v>
      </c>
      <c r="BT22" t="n">
        <v>1948774.99506903</v>
      </c>
      <c r="BU22" t="n">
        <v>21452262.7298396</v>
      </c>
      <c r="BV22" t="n">
        <v>0</v>
      </c>
      <c r="BW22" t="n">
        <v>64465086.3035264</v>
      </c>
      <c r="BX22" t="n">
        <v>0</v>
      </c>
      <c r="BY22" t="n">
        <v>8371.07026398522</v>
      </c>
      <c r="BZ22" t="n">
        <v>2643346.38054073</v>
      </c>
      <c r="CA22" t="n">
        <v>405177920.267007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1573165.35728172</v>
      </c>
      <c r="CJ22" t="n">
        <v>0</v>
      </c>
      <c r="CK22" t="n">
        <v>0</v>
      </c>
      <c r="CL22" t="n">
        <v>0</v>
      </c>
      <c r="CM22" t="n">
        <v>3539148.17982406</v>
      </c>
      <c r="CN22" t="n">
        <v>0</v>
      </c>
    </row>
    <row r="23">
      <c r="A23" t="s">
        <v>134</v>
      </c>
      <c r="B23" t="n">
        <v>579363.338910973</v>
      </c>
      <c r="C23" t="n">
        <v>21022.8159427226</v>
      </c>
      <c r="D23" t="n">
        <v>562722.23641447</v>
      </c>
      <c r="E23" t="n">
        <v>3540.73428212589</v>
      </c>
      <c r="F23" t="n">
        <v>713156.978726408</v>
      </c>
      <c r="G23" t="n">
        <v>32563.0241061527</v>
      </c>
      <c r="H23" t="n">
        <v>50763981.2524435</v>
      </c>
      <c r="I23" t="n">
        <v>199367.376702289</v>
      </c>
      <c r="J23" t="n">
        <v>38857.5194098215</v>
      </c>
      <c r="K23" t="n">
        <v>1744816.71871554</v>
      </c>
      <c r="L23" t="n">
        <v>6909111.96198641</v>
      </c>
      <c r="M23" t="n">
        <v>38917535.3974826</v>
      </c>
      <c r="N23" t="n">
        <v>710915.500150126</v>
      </c>
      <c r="O23" t="n">
        <v>8491050.216955</v>
      </c>
      <c r="P23" t="n">
        <v>5297158.09549018</v>
      </c>
      <c r="Q23" t="n">
        <v>1526937.19898496</v>
      </c>
      <c r="R23" t="n">
        <v>1406.12227974219</v>
      </c>
      <c r="S23" t="n">
        <v>347324.121429035</v>
      </c>
      <c r="T23" t="n">
        <v>42576.5102339888</v>
      </c>
      <c r="U23" t="n">
        <v>0</v>
      </c>
      <c r="V23" t="n">
        <v>0</v>
      </c>
      <c r="W23" t="n">
        <v>10806.3808920887</v>
      </c>
      <c r="X23" t="n">
        <v>0</v>
      </c>
      <c r="Y23" t="n">
        <v>86635.4915284358</v>
      </c>
      <c r="Z23" t="n">
        <v>514646.387766768</v>
      </c>
      <c r="AA23" t="n">
        <v>2119449.62206576</v>
      </c>
      <c r="AB23" t="n">
        <v>4421532.98622531</v>
      </c>
      <c r="AC23" t="n">
        <v>715184.483600967</v>
      </c>
      <c r="AD23" t="n">
        <v>157170.472090214</v>
      </c>
      <c r="AE23" t="n">
        <v>2396178.95216242</v>
      </c>
      <c r="AF23" t="n">
        <v>377582.729592536</v>
      </c>
      <c r="AG23" t="n">
        <v>2671.43773412812</v>
      </c>
      <c r="AH23" t="n">
        <v>981650.125496093</v>
      </c>
      <c r="AI23" t="n">
        <v>76.2227921997676</v>
      </c>
      <c r="AJ23" t="n">
        <v>246172.958100748</v>
      </c>
      <c r="AK23" t="n">
        <v>38171.9932988998</v>
      </c>
      <c r="AL23" t="n">
        <v>43663.165591288</v>
      </c>
      <c r="AM23" t="n">
        <v>202984.583528857</v>
      </c>
      <c r="AN23" t="n">
        <v>224484.698451463</v>
      </c>
      <c r="AO23" t="n">
        <v>7257.38268792763</v>
      </c>
      <c r="AP23" t="n">
        <v>0</v>
      </c>
      <c r="AQ23" t="n">
        <v>2711870.26946027</v>
      </c>
      <c r="AR23" t="n">
        <v>82382.0778644558</v>
      </c>
      <c r="AS23" t="n">
        <v>105190.359046773</v>
      </c>
      <c r="AT23" t="n">
        <v>10244.7259354512</v>
      </c>
      <c r="AU23" t="n">
        <v>7582.03159360217</v>
      </c>
      <c r="AV23" t="n">
        <v>0</v>
      </c>
      <c r="AW23" t="n">
        <v>9743.09729468939</v>
      </c>
      <c r="AX23" t="n">
        <v>28651.722471414</v>
      </c>
      <c r="AY23" t="n">
        <v>612481.728079002</v>
      </c>
      <c r="AZ23" t="n">
        <v>0</v>
      </c>
      <c r="BA23" t="n">
        <v>1710379.29826438</v>
      </c>
      <c r="BB23" t="n">
        <v>4417159.27292953</v>
      </c>
      <c r="BC23" t="n">
        <v>124628.610675867</v>
      </c>
      <c r="BD23" t="n">
        <v>3085017.55970446</v>
      </c>
      <c r="BE23" t="n">
        <v>486853.880738607</v>
      </c>
      <c r="BF23" t="n">
        <v>258722.882856323</v>
      </c>
      <c r="BG23" t="n">
        <v>16188.4075204453</v>
      </c>
      <c r="BH23" t="n">
        <v>1319439.75060267</v>
      </c>
      <c r="BI23" t="n">
        <v>57181.0720523686</v>
      </c>
      <c r="BJ23" t="n">
        <v>827284.997782294</v>
      </c>
      <c r="BK23" t="n">
        <v>4741.45492378461</v>
      </c>
      <c r="BL23" t="n">
        <v>486335.942671736</v>
      </c>
      <c r="BM23" t="n">
        <v>225241.200748</v>
      </c>
      <c r="BN23" t="n">
        <v>664597.264291103</v>
      </c>
      <c r="BO23" t="n">
        <v>9062807.05397308</v>
      </c>
      <c r="BP23" t="n">
        <v>5474191.52704889</v>
      </c>
      <c r="BQ23" t="n">
        <v>9362480.17683807</v>
      </c>
      <c r="BR23" t="n">
        <v>0</v>
      </c>
      <c r="BS23" t="n">
        <v>2224146.74871373</v>
      </c>
      <c r="BT23" t="n">
        <v>5533135.24090574</v>
      </c>
      <c r="BU23" t="n">
        <v>56728566.7685934</v>
      </c>
      <c r="BV23" t="n">
        <v>0</v>
      </c>
      <c r="BW23" t="n">
        <v>43868321.036068</v>
      </c>
      <c r="BX23" t="n">
        <v>0</v>
      </c>
      <c r="BY23" t="n">
        <v>12411935.300899</v>
      </c>
      <c r="BZ23" t="n">
        <v>6799481.18979268</v>
      </c>
      <c r="CA23" t="n">
        <v>189574183.197044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1636697.10404785</v>
      </c>
      <c r="CJ23" t="n">
        <v>0</v>
      </c>
      <c r="CK23" t="n">
        <v>0</v>
      </c>
      <c r="CL23" t="n">
        <v>0</v>
      </c>
      <c r="CM23" t="n">
        <v>1481298.85834006</v>
      </c>
      <c r="CN23" t="n">
        <v>0</v>
      </c>
    </row>
    <row r="24">
      <c r="A24" t="s">
        <v>135</v>
      </c>
      <c r="B24" t="n">
        <v>3312154.31423083</v>
      </c>
      <c r="C24" t="n">
        <v>54666.7934166743</v>
      </c>
      <c r="D24" t="n">
        <v>23965238.9367095</v>
      </c>
      <c r="E24" t="n">
        <v>1743223.72988649</v>
      </c>
      <c r="F24" t="n">
        <v>7809343.91700468</v>
      </c>
      <c r="G24" t="n">
        <v>60482.4544873814</v>
      </c>
      <c r="H24" t="n">
        <v>2828109.43370103</v>
      </c>
      <c r="I24" t="n">
        <v>1387454.30288883</v>
      </c>
      <c r="J24" t="n">
        <v>1202897.15800331</v>
      </c>
      <c r="K24" t="n">
        <v>574629.987471856</v>
      </c>
      <c r="L24" t="n">
        <v>4219806.70989058</v>
      </c>
      <c r="M24" t="n">
        <v>45389426.4416406</v>
      </c>
      <c r="N24" t="n">
        <v>375955.442611236</v>
      </c>
      <c r="O24" t="n">
        <v>664529.634769961</v>
      </c>
      <c r="P24" t="n">
        <v>205104281.381474</v>
      </c>
      <c r="Q24" t="n">
        <v>2995589.18105971</v>
      </c>
      <c r="R24" t="n">
        <v>254730.432664018</v>
      </c>
      <c r="S24" t="n">
        <v>353250.748704614</v>
      </c>
      <c r="T24" t="n">
        <v>5535702.96126312</v>
      </c>
      <c r="U24" t="n">
        <v>17568.0949319551</v>
      </c>
      <c r="V24" t="n">
        <v>1909.27504183851</v>
      </c>
      <c r="W24" t="n">
        <v>2814726.51939169</v>
      </c>
      <c r="X24" t="n">
        <v>82242.4607713281</v>
      </c>
      <c r="Y24" t="n">
        <v>624221.84009686</v>
      </c>
      <c r="Z24" t="n">
        <v>559713.989891373</v>
      </c>
      <c r="AA24" t="n">
        <v>1536025.94172409</v>
      </c>
      <c r="AB24" t="n">
        <v>11754035.6061373</v>
      </c>
      <c r="AC24" t="n">
        <v>9233031.58206663</v>
      </c>
      <c r="AD24" t="n">
        <v>2252239.60465817</v>
      </c>
      <c r="AE24" t="n">
        <v>1024639.6728822</v>
      </c>
      <c r="AF24" t="n">
        <v>6440829.11922157</v>
      </c>
      <c r="AG24" t="n">
        <v>0</v>
      </c>
      <c r="AH24" t="n">
        <v>238008.319447547</v>
      </c>
      <c r="AI24" t="n">
        <v>0</v>
      </c>
      <c r="AJ24" t="n">
        <v>15647797.8868543</v>
      </c>
      <c r="AK24" t="n">
        <v>123769.576827575</v>
      </c>
      <c r="AL24" t="n">
        <v>37846.5831250556</v>
      </c>
      <c r="AM24" t="n">
        <v>153094.147941774</v>
      </c>
      <c r="AN24" t="n">
        <v>3152804.07715581</v>
      </c>
      <c r="AO24" t="n">
        <v>228558.156865855</v>
      </c>
      <c r="AP24" t="n">
        <v>29725.6816776708</v>
      </c>
      <c r="AQ24" t="n">
        <v>1706161.8497199</v>
      </c>
      <c r="AR24" t="n">
        <v>101015.57401653</v>
      </c>
      <c r="AS24" t="n">
        <v>109412.928184368</v>
      </c>
      <c r="AT24" t="n">
        <v>8139.97819261629</v>
      </c>
      <c r="AU24" t="n">
        <v>0</v>
      </c>
      <c r="AV24" t="n">
        <v>0</v>
      </c>
      <c r="AW24" t="n">
        <v>0</v>
      </c>
      <c r="AX24" t="n">
        <v>0</v>
      </c>
      <c r="AY24" t="n">
        <v>3000899.68624987</v>
      </c>
      <c r="AZ24" t="n">
        <v>0</v>
      </c>
      <c r="BA24" t="n">
        <v>49540.0330855162</v>
      </c>
      <c r="BB24" t="n">
        <v>3788521.80822275</v>
      </c>
      <c r="BC24" t="n">
        <v>648157.366947146</v>
      </c>
      <c r="BD24" t="n">
        <v>23104475.3751313</v>
      </c>
      <c r="BE24" t="n">
        <v>1958502.19004024</v>
      </c>
      <c r="BF24" t="n">
        <v>415661.342436963</v>
      </c>
      <c r="BG24" t="n">
        <v>1147807.05502436</v>
      </c>
      <c r="BH24" t="n">
        <v>3488339.16474919</v>
      </c>
      <c r="BI24" t="n">
        <v>193037.582353392</v>
      </c>
      <c r="BJ24" t="n">
        <v>3528965.87866335</v>
      </c>
      <c r="BK24" t="n">
        <v>69866.985435039</v>
      </c>
      <c r="BL24" t="n">
        <v>148402.372561682</v>
      </c>
      <c r="BM24" t="n">
        <v>150181.327579965</v>
      </c>
      <c r="BN24" t="n">
        <v>2068734.6494526</v>
      </c>
      <c r="BO24" t="n">
        <v>19052555.8857186</v>
      </c>
      <c r="BP24" t="n">
        <v>10541990.6165408</v>
      </c>
      <c r="BQ24" t="n">
        <v>354787.691744486</v>
      </c>
      <c r="BR24" t="n">
        <v>8760005.74494038</v>
      </c>
      <c r="BS24" t="n">
        <v>17309871.7347886</v>
      </c>
      <c r="BT24" t="n">
        <v>2028345.26671014</v>
      </c>
      <c r="BU24" t="n">
        <v>554250227.902876</v>
      </c>
      <c r="BV24" t="n">
        <v>0</v>
      </c>
      <c r="BW24" t="n">
        <v>295798579.644364</v>
      </c>
      <c r="BX24" t="n">
        <v>0</v>
      </c>
      <c r="BY24" t="n">
        <v>0</v>
      </c>
      <c r="BZ24" t="n">
        <v>21453523.823819</v>
      </c>
      <c r="CA24" t="n">
        <v>232835481.291224</v>
      </c>
      <c r="CB24" t="n">
        <v>0</v>
      </c>
      <c r="CC24" t="n">
        <v>0</v>
      </c>
      <c r="CD24" t="n">
        <v>0</v>
      </c>
      <c r="CE24" t="n">
        <v>4819129.0922651</v>
      </c>
      <c r="CF24" t="n">
        <v>0</v>
      </c>
      <c r="CG24" t="n">
        <v>0</v>
      </c>
      <c r="CH24" t="n">
        <v>0</v>
      </c>
      <c r="CI24" t="n">
        <v>4414972.27408077</v>
      </c>
      <c r="CJ24" t="n">
        <v>0</v>
      </c>
      <c r="CK24" t="n">
        <v>0</v>
      </c>
      <c r="CL24" t="n">
        <v>0</v>
      </c>
      <c r="CM24" t="n">
        <v>32230884.9881939</v>
      </c>
      <c r="CN24" t="n">
        <v>0</v>
      </c>
    </row>
    <row r="25">
      <c r="A25" t="s">
        <v>136</v>
      </c>
      <c r="B25" t="n">
        <v>0</v>
      </c>
      <c r="C25" t="n">
        <v>15215.8683567392</v>
      </c>
      <c r="D25" t="n">
        <v>0</v>
      </c>
      <c r="E25" t="n">
        <v>0</v>
      </c>
      <c r="F25" t="n">
        <v>0</v>
      </c>
      <c r="G25" t="n">
        <v>0</v>
      </c>
      <c r="H25" t="n">
        <v>54266.5953495553</v>
      </c>
      <c r="I25" t="n">
        <v>17170.0601632119</v>
      </c>
      <c r="J25" t="n">
        <v>0</v>
      </c>
      <c r="K25" t="n">
        <v>0</v>
      </c>
      <c r="L25" t="n">
        <v>390399.181597122</v>
      </c>
      <c r="M25" t="n">
        <v>1068416.22338381</v>
      </c>
      <c r="N25" t="n">
        <v>0</v>
      </c>
      <c r="O25" t="n">
        <v>0</v>
      </c>
      <c r="P25" t="n">
        <v>943655.325801024</v>
      </c>
      <c r="Q25" t="n">
        <v>81977165.6261346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51382.9220221829</v>
      </c>
      <c r="AD25" t="n">
        <v>0</v>
      </c>
      <c r="AE25" t="n">
        <v>0</v>
      </c>
      <c r="AF25" t="n">
        <v>0</v>
      </c>
      <c r="AG25" t="n">
        <v>3145369.89468977</v>
      </c>
      <c r="AH25" t="n">
        <v>6299455.05450537</v>
      </c>
      <c r="AI25" t="n">
        <v>3935.61919400425</v>
      </c>
      <c r="AJ25" t="n">
        <v>29695.7944300091</v>
      </c>
      <c r="AK25" t="n">
        <v>30506.0041732767</v>
      </c>
      <c r="AL25" t="n">
        <v>0</v>
      </c>
      <c r="AM25" t="n">
        <v>3694124.91448517</v>
      </c>
      <c r="AN25" t="n">
        <v>0</v>
      </c>
      <c r="AO25" t="n">
        <v>0</v>
      </c>
      <c r="AP25" t="n">
        <v>0</v>
      </c>
      <c r="AQ25" t="n">
        <v>6532.96883254651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2444710.27516563</v>
      </c>
      <c r="BC25" t="n">
        <v>92082.7859875374</v>
      </c>
      <c r="BD25" t="n">
        <v>190678.279455571</v>
      </c>
      <c r="BE25" t="n">
        <v>184996.620038743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42428.5282491129</v>
      </c>
      <c r="BM25" t="n">
        <v>0</v>
      </c>
      <c r="BN25" t="n">
        <v>0</v>
      </c>
      <c r="BO25" t="n">
        <v>167775.160216602</v>
      </c>
      <c r="BP25" t="n">
        <v>98168312.9586231</v>
      </c>
      <c r="BQ25" t="n">
        <v>1585975.78645071</v>
      </c>
      <c r="BR25" t="n">
        <v>3509.20276629644</v>
      </c>
      <c r="BS25" t="n">
        <v>0</v>
      </c>
      <c r="BT25" t="n">
        <v>159926.632064835</v>
      </c>
      <c r="BU25" t="n">
        <v>65120667.511305</v>
      </c>
      <c r="BV25" t="n">
        <v>0</v>
      </c>
      <c r="BW25" t="n">
        <v>48608304.023633</v>
      </c>
      <c r="BX25" t="n">
        <v>0</v>
      </c>
      <c r="BY25" t="n">
        <v>0</v>
      </c>
      <c r="BZ25" t="n">
        <v>194299333.621051</v>
      </c>
      <c r="CA25" t="n">
        <v>780513871.352681</v>
      </c>
      <c r="CB25" t="n">
        <v>0</v>
      </c>
      <c r="CC25" t="n">
        <v>0</v>
      </c>
      <c r="CD25" t="n">
        <v>0</v>
      </c>
      <c r="CE25" t="n">
        <v>29520789.2105976</v>
      </c>
      <c r="CF25" t="n">
        <v>0</v>
      </c>
      <c r="CG25" t="n">
        <v>0</v>
      </c>
      <c r="CH25" t="n">
        <v>0</v>
      </c>
      <c r="CI25" t="n">
        <v>2445162.31000998</v>
      </c>
      <c r="CJ25" t="n">
        <v>0</v>
      </c>
      <c r="CK25" t="n">
        <v>0</v>
      </c>
      <c r="CL25" t="n">
        <v>0</v>
      </c>
      <c r="CM25" t="n">
        <v>343288.643475292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79389036.9530584</v>
      </c>
      <c r="I26" t="n">
        <v>736163.358934055</v>
      </c>
      <c r="J26" t="n">
        <v>0</v>
      </c>
      <c r="K26" t="n">
        <v>0</v>
      </c>
      <c r="L26" t="n">
        <v>0</v>
      </c>
      <c r="M26" t="n">
        <v>2826726.61164293</v>
      </c>
      <c r="N26" t="n">
        <v>71778.8983343996</v>
      </c>
      <c r="O26" t="n">
        <v>0</v>
      </c>
      <c r="P26" t="n">
        <v>64684.0298986635</v>
      </c>
      <c r="Q26" t="n">
        <v>640322.077006734</v>
      </c>
      <c r="R26" t="n">
        <v>3192226.30776</v>
      </c>
      <c r="S26" t="n">
        <v>150948.277457019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2982817.8322101</v>
      </c>
      <c r="AB26" t="n">
        <v>454701.52535685</v>
      </c>
      <c r="AC26" t="n">
        <v>312250.742119219</v>
      </c>
      <c r="AD26" t="n">
        <v>0</v>
      </c>
      <c r="AE26" t="n">
        <v>103101.37723339</v>
      </c>
      <c r="AF26" t="n">
        <v>885302.2777964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3903.32987004086</v>
      </c>
      <c r="AP26" t="n">
        <v>0</v>
      </c>
      <c r="AQ26" t="n">
        <v>409950.14610224</v>
      </c>
      <c r="AR26" t="n">
        <v>282062.027203943</v>
      </c>
      <c r="AS26" t="n">
        <v>0</v>
      </c>
      <c r="AT26" t="n">
        <v>0</v>
      </c>
      <c r="AU26" t="n">
        <v>0</v>
      </c>
      <c r="AV26" t="n">
        <v>0</v>
      </c>
      <c r="AW26" t="n">
        <v>5717116.21760395</v>
      </c>
      <c r="AX26" t="n">
        <v>192220.946539165</v>
      </c>
      <c r="AY26" t="n">
        <v>0</v>
      </c>
      <c r="AZ26" t="n">
        <v>35130.2423055952</v>
      </c>
      <c r="BA26" t="n">
        <v>5123.28853134718</v>
      </c>
      <c r="BB26" t="n">
        <v>204120.567761009</v>
      </c>
      <c r="BC26" t="n">
        <v>3723.92117127251</v>
      </c>
      <c r="BD26" t="n">
        <v>16428.2573383209</v>
      </c>
      <c r="BE26" t="n">
        <v>0</v>
      </c>
      <c r="BF26" t="n">
        <v>0</v>
      </c>
      <c r="BG26" t="n">
        <v>261204.475525564</v>
      </c>
      <c r="BH26" t="n">
        <v>560250.757750212</v>
      </c>
      <c r="BI26" t="n">
        <v>4855.96086243064</v>
      </c>
      <c r="BJ26" t="n">
        <v>752766.427244204</v>
      </c>
      <c r="BK26" t="n">
        <v>43352.6628350745</v>
      </c>
      <c r="BL26" t="n">
        <v>240219.374431031</v>
      </c>
      <c r="BM26" t="n">
        <v>5082.9785548205</v>
      </c>
      <c r="BN26" t="n">
        <v>1534462.30358879</v>
      </c>
      <c r="BO26" t="n">
        <v>1013481.64014799</v>
      </c>
      <c r="BP26" t="n">
        <v>0</v>
      </c>
      <c r="BQ26" t="n">
        <v>0</v>
      </c>
      <c r="BR26" t="n">
        <v>639756.046308435</v>
      </c>
      <c r="BS26" t="n">
        <v>76032.2644585792</v>
      </c>
      <c r="BT26" t="n">
        <v>2250076.31847435</v>
      </c>
      <c r="BU26" t="n">
        <v>138113304.726978</v>
      </c>
      <c r="BV26" t="n">
        <v>0</v>
      </c>
      <c r="BW26" t="n">
        <v>47089235.9289151</v>
      </c>
      <c r="BX26" t="n">
        <v>0</v>
      </c>
      <c r="BY26" t="n">
        <v>2518469.08702815</v>
      </c>
      <c r="BZ26" t="n">
        <v>1927083.11545848</v>
      </c>
      <c r="CA26" t="n">
        <v>4345959.54666495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216601.85788691</v>
      </c>
      <c r="CJ26" t="n">
        <v>0</v>
      </c>
      <c r="CK26" t="n">
        <v>0</v>
      </c>
      <c r="CL26" t="n">
        <v>0</v>
      </c>
      <c r="CM26" t="n">
        <v>8040598.96124026</v>
      </c>
      <c r="CN26" t="n">
        <v>0</v>
      </c>
    </row>
    <row r="27">
      <c r="A27" t="s">
        <v>138</v>
      </c>
      <c r="B27" t="n">
        <v>682069.851131457</v>
      </c>
      <c r="C27" t="n">
        <v>0</v>
      </c>
      <c r="D27" t="n">
        <v>760781.991820419</v>
      </c>
      <c r="E27" t="n">
        <v>63826.0869596188</v>
      </c>
      <c r="F27" t="n">
        <v>401735.34386843</v>
      </c>
      <c r="G27" t="n">
        <v>0</v>
      </c>
      <c r="H27" t="n">
        <v>3261345.06575386</v>
      </c>
      <c r="I27" t="n">
        <v>38875.6945537958</v>
      </c>
      <c r="J27" t="n">
        <v>350227.271417449</v>
      </c>
      <c r="K27" t="n">
        <v>60822.3733675036</v>
      </c>
      <c r="L27" t="n">
        <v>297789.428190438</v>
      </c>
      <c r="M27" t="n">
        <v>8989753.68334162</v>
      </c>
      <c r="N27" t="n">
        <v>963.833152654876</v>
      </c>
      <c r="O27" t="n">
        <v>590301.148976409</v>
      </c>
      <c r="P27" t="n">
        <v>2510783.47172011</v>
      </c>
      <c r="Q27" t="n">
        <v>50336.0190639309</v>
      </c>
      <c r="R27" t="n">
        <v>12673.5411007456</v>
      </c>
      <c r="S27" t="n">
        <v>5455307.9510589</v>
      </c>
      <c r="T27" t="n">
        <v>189051.811925338</v>
      </c>
      <c r="U27" t="n">
        <v>4077.65131537117</v>
      </c>
      <c r="V27" t="n">
        <v>166271.089156243</v>
      </c>
      <c r="W27" t="n">
        <v>0</v>
      </c>
      <c r="X27" t="n">
        <v>3393.58698840745</v>
      </c>
      <c r="Y27" t="n">
        <v>12200.8688194226</v>
      </c>
      <c r="Z27" t="n">
        <v>254902.374623442</v>
      </c>
      <c r="AA27" t="n">
        <v>849015.204855436</v>
      </c>
      <c r="AB27" t="n">
        <v>1955759.90732032</v>
      </c>
      <c r="AC27" t="n">
        <v>526110.587894788</v>
      </c>
      <c r="AD27" t="n">
        <v>171362.354046992</v>
      </c>
      <c r="AE27" t="n">
        <v>41994.2351994408</v>
      </c>
      <c r="AF27" t="n">
        <v>1625159.20546907</v>
      </c>
      <c r="AG27" t="n">
        <v>0</v>
      </c>
      <c r="AH27" t="n">
        <v>7734.02532757827</v>
      </c>
      <c r="AI27" t="n">
        <v>0</v>
      </c>
      <c r="AJ27" t="n">
        <v>20544.3060818529</v>
      </c>
      <c r="AK27" t="n">
        <v>6769.4737078024</v>
      </c>
      <c r="AL27" t="n">
        <v>49192.6388339519</v>
      </c>
      <c r="AM27" t="n">
        <v>279180.502348718</v>
      </c>
      <c r="AN27" t="n">
        <v>292430.987144494</v>
      </c>
      <c r="AO27" t="n">
        <v>5450.96842479408</v>
      </c>
      <c r="AP27" t="n">
        <v>482.964577684228</v>
      </c>
      <c r="AQ27" t="n">
        <v>247075.514438044</v>
      </c>
      <c r="AR27" t="n">
        <v>37352.3327792514</v>
      </c>
      <c r="AS27" t="n">
        <v>82958.1156090953</v>
      </c>
      <c r="AT27" t="n">
        <v>13465.7961407337</v>
      </c>
      <c r="AU27" t="n">
        <v>12813.3222852984</v>
      </c>
      <c r="AV27" t="n">
        <v>0</v>
      </c>
      <c r="AW27" t="n">
        <v>0</v>
      </c>
      <c r="AX27" t="n">
        <v>178390.340696006</v>
      </c>
      <c r="AY27" t="n">
        <v>129586.101902247</v>
      </c>
      <c r="AZ27" t="n">
        <v>24529.5488645391</v>
      </c>
      <c r="BA27" t="n">
        <v>22656.3307893757</v>
      </c>
      <c r="BB27" t="n">
        <v>2344558.56553593</v>
      </c>
      <c r="BC27" t="n">
        <v>18201.4897251962</v>
      </c>
      <c r="BD27" t="n">
        <v>4515736.12032871</v>
      </c>
      <c r="BE27" t="n">
        <v>787602.266274695</v>
      </c>
      <c r="BF27" t="n">
        <v>302627.015435056</v>
      </c>
      <c r="BG27" t="n">
        <v>48116800.9608411</v>
      </c>
      <c r="BH27" t="n">
        <v>52300616.3883302</v>
      </c>
      <c r="BI27" t="n">
        <v>956164.690209597</v>
      </c>
      <c r="BJ27" t="n">
        <v>2401943.32872365</v>
      </c>
      <c r="BK27" t="n">
        <v>87251.1887023843</v>
      </c>
      <c r="BL27" t="n">
        <v>380192.990206619</v>
      </c>
      <c r="BM27" t="n">
        <v>49688.3675479863</v>
      </c>
      <c r="BN27" t="n">
        <v>525374.024139976</v>
      </c>
      <c r="BO27" t="n">
        <v>4466866.1679839</v>
      </c>
      <c r="BP27" t="n">
        <v>3135001.0569462</v>
      </c>
      <c r="BQ27" t="n">
        <v>890496.091223876</v>
      </c>
      <c r="BR27" t="n">
        <v>0</v>
      </c>
      <c r="BS27" t="n">
        <v>13219215.6659075</v>
      </c>
      <c r="BT27" t="n">
        <v>142253.116431369</v>
      </c>
      <c r="BU27" t="n">
        <v>135768689.426238</v>
      </c>
      <c r="BV27" t="n">
        <v>0</v>
      </c>
      <c r="BW27" t="n">
        <v>60026450.6189612</v>
      </c>
      <c r="BX27" t="n">
        <v>0</v>
      </c>
      <c r="BY27" t="n">
        <v>0</v>
      </c>
      <c r="BZ27" t="n">
        <v>5412711.5217794</v>
      </c>
      <c r="CA27" t="n">
        <v>58695543.4970987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36983.0534671086</v>
      </c>
      <c r="CJ27" t="n">
        <v>0</v>
      </c>
      <c r="CK27" t="n">
        <v>0</v>
      </c>
      <c r="CL27" t="n">
        <v>0</v>
      </c>
      <c r="CM27" t="n">
        <v>4103756.55330516</v>
      </c>
      <c r="CN27" t="n">
        <v>0</v>
      </c>
    </row>
    <row r="28">
      <c r="A28" t="s">
        <v>139</v>
      </c>
      <c r="B28" t="n">
        <v>223677774.192872</v>
      </c>
      <c r="C28" t="n">
        <v>329396.883671356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49150.6395376512</v>
      </c>
      <c r="J28" t="n">
        <v>2070849.05409762</v>
      </c>
      <c r="K28" t="n">
        <v>13841.618652325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6892.56467960471</v>
      </c>
      <c r="T28" t="n">
        <v>489230226.347071</v>
      </c>
      <c r="U28" t="n">
        <v>10207.662167314</v>
      </c>
      <c r="V28" t="n">
        <v>471576.257448936</v>
      </c>
      <c r="W28" t="n">
        <v>1800951.61769259</v>
      </c>
      <c r="X28" t="n">
        <v>492337.246183565</v>
      </c>
      <c r="Y28" t="n">
        <v>2603068.22671585</v>
      </c>
      <c r="Z28" t="n">
        <v>4150276.93829444</v>
      </c>
      <c r="AA28" t="n">
        <v>1056640.01988104</v>
      </c>
      <c r="AB28" t="n">
        <v>8034579.10629879</v>
      </c>
      <c r="AC28" t="n">
        <v>5393.21314770557</v>
      </c>
      <c r="AD28" t="n">
        <v>7084581.22942411</v>
      </c>
      <c r="AE28" t="n">
        <v>5317685.09252373</v>
      </c>
      <c r="AF28" t="n">
        <v>6553588.02637688</v>
      </c>
      <c r="AG28" t="n">
        <v>1239744.09677517</v>
      </c>
      <c r="AH28" t="n">
        <v>17600.6662194733</v>
      </c>
      <c r="AI28" t="n">
        <v>2126.74822447787</v>
      </c>
      <c r="AJ28" t="n">
        <v>105195.584727142</v>
      </c>
      <c r="AK28" t="n">
        <v>0</v>
      </c>
      <c r="AL28" t="n">
        <v>0</v>
      </c>
      <c r="AM28" t="n">
        <v>20276.9206919105</v>
      </c>
      <c r="AN28" t="n">
        <v>0</v>
      </c>
      <c r="AO28" t="n">
        <v>71328.818123285</v>
      </c>
      <c r="AP28" t="n">
        <v>7144.17612943344</v>
      </c>
      <c r="AQ28" t="n">
        <v>0</v>
      </c>
      <c r="AR28" t="n">
        <v>76632.7264778969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13009281.6425093</v>
      </c>
      <c r="BC28" t="n">
        <v>210068.418047718</v>
      </c>
      <c r="BD28" t="n">
        <v>0</v>
      </c>
      <c r="BE28" t="n">
        <v>0</v>
      </c>
      <c r="BF28" t="n">
        <v>10224897.74237</v>
      </c>
      <c r="BG28" t="n">
        <v>20753.0795590176</v>
      </c>
      <c r="BH28" t="n">
        <v>24804197.9558335</v>
      </c>
      <c r="BI28" t="n">
        <v>17276716.3914878</v>
      </c>
      <c r="BJ28" t="n">
        <v>56084283.2119865</v>
      </c>
      <c r="BK28" t="n">
        <v>2066659.67518657</v>
      </c>
      <c r="BL28" t="n">
        <v>15526284.0054392</v>
      </c>
      <c r="BM28" t="n">
        <v>12505218.9135723</v>
      </c>
      <c r="BN28" t="n">
        <v>291659962.119238</v>
      </c>
      <c r="BO28" t="n">
        <v>5069941.86924185</v>
      </c>
      <c r="BP28" t="n">
        <v>12580615.6043873</v>
      </c>
      <c r="BQ28" t="n">
        <v>271411.828521292</v>
      </c>
      <c r="BR28" t="n">
        <v>3762492.30756032</v>
      </c>
      <c r="BS28" t="n">
        <v>298141353.681687</v>
      </c>
      <c r="BT28" t="n">
        <v>0</v>
      </c>
      <c r="BU28" t="n">
        <v>2251602184.52742</v>
      </c>
      <c r="BV28" t="n">
        <v>0</v>
      </c>
      <c r="BW28" t="n">
        <v>0</v>
      </c>
      <c r="BX28" t="n">
        <v>0</v>
      </c>
      <c r="BY28" t="n">
        <v>0</v>
      </c>
      <c r="BZ28" t="n">
        <v>52709586.3871404</v>
      </c>
      <c r="CA28" t="n">
        <v>306145669.981441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45442.0134245353</v>
      </c>
      <c r="C29" t="n">
        <v>4755.88931738746</v>
      </c>
      <c r="D29" t="n">
        <v>0</v>
      </c>
      <c r="E29" t="n">
        <v>0</v>
      </c>
      <c r="F29" t="n">
        <v>0</v>
      </c>
      <c r="G29" t="n">
        <v>0</v>
      </c>
      <c r="H29" t="n">
        <v>1205223.85791143</v>
      </c>
      <c r="I29" t="n">
        <v>193479.76451835</v>
      </c>
      <c r="J29" t="n">
        <v>318074.299209276</v>
      </c>
      <c r="K29" t="n">
        <v>0</v>
      </c>
      <c r="L29" t="n">
        <v>1787.89182859515</v>
      </c>
      <c r="M29" t="n">
        <v>1184152.35094798</v>
      </c>
      <c r="N29" t="n">
        <v>497.659473098059</v>
      </c>
      <c r="O29" t="n">
        <v>0</v>
      </c>
      <c r="P29" t="n">
        <v>1164959.72544284</v>
      </c>
      <c r="Q29" t="n">
        <v>565668.61444586</v>
      </c>
      <c r="R29" t="n">
        <v>504688.686722037</v>
      </c>
      <c r="S29" t="n">
        <v>541708.476567969</v>
      </c>
      <c r="T29" t="n">
        <v>83044.5836347829</v>
      </c>
      <c r="U29" t="n">
        <v>1219253.65410796</v>
      </c>
      <c r="V29" t="n">
        <v>479870.636279684</v>
      </c>
      <c r="W29" t="n">
        <v>4532427.35118573</v>
      </c>
      <c r="X29" t="n">
        <v>69650.8681398601</v>
      </c>
      <c r="Y29" t="n">
        <v>23623.9459519812</v>
      </c>
      <c r="Z29" t="n">
        <v>1977.04438550176</v>
      </c>
      <c r="AA29" t="n">
        <v>1856244.5852477</v>
      </c>
      <c r="AB29" t="n">
        <v>1129495.39228957</v>
      </c>
      <c r="AC29" t="n">
        <v>56287.545901209</v>
      </c>
      <c r="AD29" t="n">
        <v>38341.3969404886</v>
      </c>
      <c r="AE29" t="n">
        <v>105317.603506685</v>
      </c>
      <c r="AF29" t="n">
        <v>1110252.47154991</v>
      </c>
      <c r="AG29" t="n">
        <v>0</v>
      </c>
      <c r="AH29" t="n">
        <v>0</v>
      </c>
      <c r="AI29" t="n">
        <v>76.9437350627688</v>
      </c>
      <c r="AJ29" t="n">
        <v>26519.2904801469</v>
      </c>
      <c r="AK29" t="n">
        <v>0</v>
      </c>
      <c r="AL29" t="n">
        <v>12699.9069574305</v>
      </c>
      <c r="AM29" t="n">
        <v>37571.0843930225</v>
      </c>
      <c r="AN29" t="n">
        <v>2040.43180983686</v>
      </c>
      <c r="AO29" t="n">
        <v>703.629582227219</v>
      </c>
      <c r="AP29" t="n">
        <v>23939.6020700863</v>
      </c>
      <c r="AQ29" t="n">
        <v>3889.43286400109</v>
      </c>
      <c r="AR29" t="n">
        <v>730.540366533504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67546.5506197636</v>
      </c>
      <c r="AY29" t="n">
        <v>96182.6402062521</v>
      </c>
      <c r="AZ29" t="n">
        <v>0</v>
      </c>
      <c r="BA29" t="n">
        <v>0</v>
      </c>
      <c r="BB29" t="n">
        <v>165580.09076817</v>
      </c>
      <c r="BC29" t="n">
        <v>8055.46398146097</v>
      </c>
      <c r="BD29" t="n">
        <v>26652.8000688979</v>
      </c>
      <c r="BE29" t="n">
        <v>7988.07309391229</v>
      </c>
      <c r="BF29" t="n">
        <v>18693.263018243</v>
      </c>
      <c r="BG29" t="n">
        <v>22601.1577326013</v>
      </c>
      <c r="BH29" t="n">
        <v>58672.125752302</v>
      </c>
      <c r="BI29" t="n">
        <v>185575.172804061</v>
      </c>
      <c r="BJ29" t="n">
        <v>218534.696262289</v>
      </c>
      <c r="BK29" t="n">
        <v>0</v>
      </c>
      <c r="BL29" t="n">
        <v>331988.81170113</v>
      </c>
      <c r="BM29" t="n">
        <v>97125.4351500268</v>
      </c>
      <c r="BN29" t="n">
        <v>82234.8718133256</v>
      </c>
      <c r="BO29" t="n">
        <v>250358.695736787</v>
      </c>
      <c r="BP29" t="n">
        <v>864957.663463956</v>
      </c>
      <c r="BQ29" t="n">
        <v>208001.632221342</v>
      </c>
      <c r="BR29" t="n">
        <v>5014.12778742066</v>
      </c>
      <c r="BS29" t="n">
        <v>995046.510013138</v>
      </c>
      <c r="BT29" t="n">
        <v>1632.22374178655</v>
      </c>
      <c r="BU29" t="n">
        <v>11467095.0734742</v>
      </c>
      <c r="BV29" t="n">
        <v>0</v>
      </c>
      <c r="BW29" t="n">
        <v>290913.569703579</v>
      </c>
      <c r="BX29" t="n">
        <v>0</v>
      </c>
      <c r="BY29" t="n">
        <v>305641.549037072</v>
      </c>
      <c r="BZ29" t="n">
        <v>664676.786135719</v>
      </c>
      <c r="CA29" t="n">
        <v>16094243.6368847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2732.84094156096</v>
      </c>
      <c r="CJ29" t="n">
        <v>0</v>
      </c>
      <c r="CK29" t="n">
        <v>0</v>
      </c>
      <c r="CL29" t="n">
        <v>0</v>
      </c>
      <c r="CM29" t="n">
        <v>4418.99380435265</v>
      </c>
      <c r="CN29" t="n">
        <v>0</v>
      </c>
    </row>
    <row r="30">
      <c r="A30" t="s">
        <v>141</v>
      </c>
      <c r="B30" t="n">
        <v>77127.2071328719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77182.803757972</v>
      </c>
      <c r="Q30" t="n">
        <v>0</v>
      </c>
      <c r="R30" t="n">
        <v>0</v>
      </c>
      <c r="S30" t="n">
        <v>37583.8305251011</v>
      </c>
      <c r="T30" t="n">
        <v>741.83573636851</v>
      </c>
      <c r="U30" t="n">
        <v>12006.8702622498</v>
      </c>
      <c r="V30" t="n">
        <v>202910.273972543</v>
      </c>
      <c r="W30" t="n">
        <v>0</v>
      </c>
      <c r="X30" t="n">
        <v>60223.2887243809</v>
      </c>
      <c r="Y30" t="n">
        <v>0</v>
      </c>
      <c r="Z30" t="n">
        <v>0</v>
      </c>
      <c r="AA30" t="n">
        <v>1743.84229848055</v>
      </c>
      <c r="AB30" t="n">
        <v>327207.01284452</v>
      </c>
      <c r="AC30" t="n">
        <v>11214.9742805161</v>
      </c>
      <c r="AD30" t="n">
        <v>0</v>
      </c>
      <c r="AE30" t="n">
        <v>304404.210008191</v>
      </c>
      <c r="AF30" t="n">
        <v>182614.411678253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2149.64445451082</v>
      </c>
      <c r="AP30" t="n">
        <v>4571.08702265116</v>
      </c>
      <c r="AQ30" t="n">
        <v>30894.571229013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82617.4674903364</v>
      </c>
      <c r="AZ30" t="n">
        <v>0</v>
      </c>
      <c r="BA30" t="n">
        <v>0</v>
      </c>
      <c r="BB30" t="n">
        <v>9992.30369165027</v>
      </c>
      <c r="BC30" t="n">
        <v>4101.68075022448</v>
      </c>
      <c r="BD30" t="n">
        <v>88463.2803419462</v>
      </c>
      <c r="BE30" t="n">
        <v>59901.2181049551</v>
      </c>
      <c r="BF30" t="n">
        <v>20500.8132769694</v>
      </c>
      <c r="BG30" t="n">
        <v>15344.0751632178</v>
      </c>
      <c r="BH30" t="n">
        <v>21548.9423514882</v>
      </c>
      <c r="BI30" t="n">
        <v>0</v>
      </c>
      <c r="BJ30" t="n">
        <v>25709.397440056</v>
      </c>
      <c r="BK30" t="n">
        <v>43537.1433982145</v>
      </c>
      <c r="BL30" t="n">
        <v>10289.5158838211</v>
      </c>
      <c r="BM30" t="n">
        <v>2799.30137256192</v>
      </c>
      <c r="BN30" t="n">
        <v>18489.0887042886</v>
      </c>
      <c r="BO30" t="n">
        <v>990289.529247881</v>
      </c>
      <c r="BP30" t="n">
        <v>54827.6838959691</v>
      </c>
      <c r="BQ30" t="n">
        <v>12542.0045648342</v>
      </c>
      <c r="BR30" t="n">
        <v>242543.867101296</v>
      </c>
      <c r="BS30" t="n">
        <v>637858.357541253</v>
      </c>
      <c r="BT30" t="n">
        <v>25763.9637185073</v>
      </c>
      <c r="BU30" t="n">
        <v>11298712.9862296</v>
      </c>
      <c r="BV30" t="n">
        <v>0</v>
      </c>
      <c r="BW30" t="n">
        <v>0</v>
      </c>
      <c r="BX30" t="n">
        <v>0</v>
      </c>
      <c r="BY30" t="n">
        <v>0</v>
      </c>
      <c r="BZ30" t="n">
        <v>443118.958967377</v>
      </c>
      <c r="CA30" t="n">
        <v>5960880.34574858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2224054.69389594</v>
      </c>
      <c r="C31" t="n">
        <v>0</v>
      </c>
      <c r="D31" t="n">
        <v>3573520.35993068</v>
      </c>
      <c r="E31" t="n">
        <v>611595.700663528</v>
      </c>
      <c r="F31" t="n">
        <v>2294614.07656854</v>
      </c>
      <c r="G31" t="n">
        <v>129981.501964722</v>
      </c>
      <c r="H31" t="n">
        <v>8954073.41453289</v>
      </c>
      <c r="I31" t="n">
        <v>2425002.9599039</v>
      </c>
      <c r="J31" t="n">
        <v>10349878.8848816</v>
      </c>
      <c r="K31" t="n">
        <v>3496880.71079009</v>
      </c>
      <c r="L31" t="n">
        <v>15153523.7550509</v>
      </c>
      <c r="M31" t="n">
        <v>16160879.3157097</v>
      </c>
      <c r="N31" t="n">
        <v>666054.264874676</v>
      </c>
      <c r="O31" t="n">
        <v>2654493.95813519</v>
      </c>
      <c r="P31" t="n">
        <v>10639092.5356201</v>
      </c>
      <c r="Q31" t="n">
        <v>1565489.16179747</v>
      </c>
      <c r="R31" t="n">
        <v>2246652.53573503</v>
      </c>
      <c r="S31" t="n">
        <v>2620834.38327862</v>
      </c>
      <c r="T31" t="n">
        <v>69185101.3056182</v>
      </c>
      <c r="U31" t="n">
        <v>320857.937228326</v>
      </c>
      <c r="V31" t="n">
        <v>36369.1013162654</v>
      </c>
      <c r="W31" t="n">
        <v>241827691.737868</v>
      </c>
      <c r="X31" t="n">
        <v>12157944.5236426</v>
      </c>
      <c r="Y31" t="n">
        <v>2386368.54192525</v>
      </c>
      <c r="Z31" t="n">
        <v>7341775.85478724</v>
      </c>
      <c r="AA31" t="n">
        <v>29962091.0400026</v>
      </c>
      <c r="AB31" t="n">
        <v>19105599.723538</v>
      </c>
      <c r="AC31" t="n">
        <v>764077.4438455</v>
      </c>
      <c r="AD31" t="n">
        <v>3406411.53982538</v>
      </c>
      <c r="AE31" t="n">
        <v>2495544.28395894</v>
      </c>
      <c r="AF31" t="n">
        <v>4312306.83906124</v>
      </c>
      <c r="AG31" t="n">
        <v>142503.826452249</v>
      </c>
      <c r="AH31" t="n">
        <v>775966.326327179</v>
      </c>
      <c r="AI31" t="n">
        <v>22.7786563822906</v>
      </c>
      <c r="AJ31" t="n">
        <v>1146420.52863939</v>
      </c>
      <c r="AK31" t="n">
        <v>743384.660572883</v>
      </c>
      <c r="AL31" t="n">
        <v>3881909.78730749</v>
      </c>
      <c r="AM31" t="n">
        <v>5403909.15693451</v>
      </c>
      <c r="AN31" t="n">
        <v>957805.681732385</v>
      </c>
      <c r="AO31" t="n">
        <v>4510420.21274021</v>
      </c>
      <c r="AP31" t="n">
        <v>36478.5326442739</v>
      </c>
      <c r="AQ31" t="n">
        <v>1046197.91673722</v>
      </c>
      <c r="AR31" t="n">
        <v>148654.134992927</v>
      </c>
      <c r="AS31" t="n">
        <v>1910487.29734799</v>
      </c>
      <c r="AT31" t="n">
        <v>390349.636213202</v>
      </c>
      <c r="AU31" t="n">
        <v>2335229.19840119</v>
      </c>
      <c r="AV31" t="n">
        <v>503.564057545252</v>
      </c>
      <c r="AW31" t="n">
        <v>0</v>
      </c>
      <c r="AX31" t="n">
        <v>1627976.90690188</v>
      </c>
      <c r="AY31" t="n">
        <v>2669703.86426008</v>
      </c>
      <c r="AZ31" t="n">
        <v>965077.66862614</v>
      </c>
      <c r="BA31" t="n">
        <v>669441.446910569</v>
      </c>
      <c r="BB31" t="n">
        <v>6841984.97114465</v>
      </c>
      <c r="BC31" t="n">
        <v>3186293.05840441</v>
      </c>
      <c r="BD31" t="n">
        <v>20435999.9026064</v>
      </c>
      <c r="BE31" t="n">
        <v>1100336.90434228</v>
      </c>
      <c r="BF31" t="n">
        <v>539991.687963723</v>
      </c>
      <c r="BG31" t="n">
        <v>4835858.95475661</v>
      </c>
      <c r="BH31" t="n">
        <v>5934593.95037603</v>
      </c>
      <c r="BI31" t="n">
        <v>2817074.67760098</v>
      </c>
      <c r="BJ31" t="n">
        <v>4009963.95883713</v>
      </c>
      <c r="BK31" t="n">
        <v>154565.753750023</v>
      </c>
      <c r="BL31" t="n">
        <v>491628.525510032</v>
      </c>
      <c r="BM31" t="n">
        <v>5359406.38734844</v>
      </c>
      <c r="BN31" t="n">
        <v>20146328.0144472</v>
      </c>
      <c r="BO31" t="n">
        <v>3849502.56989525</v>
      </c>
      <c r="BP31" t="n">
        <v>1429846.9193924</v>
      </c>
      <c r="BQ31" t="n">
        <v>11000788.1885552</v>
      </c>
      <c r="BR31" t="n">
        <v>957900.31169335</v>
      </c>
      <c r="BS31" t="n">
        <v>60052033.2044629</v>
      </c>
      <c r="BT31" t="n">
        <v>121164.521432481</v>
      </c>
      <c r="BU31" t="n">
        <v>96108191.7800665</v>
      </c>
      <c r="BV31" t="n">
        <v>0</v>
      </c>
      <c r="BW31" t="n">
        <v>0</v>
      </c>
      <c r="BX31" t="n">
        <v>0</v>
      </c>
      <c r="BY31" t="n">
        <v>0</v>
      </c>
      <c r="BZ31" t="n">
        <v>11392733.3121897</v>
      </c>
      <c r="CA31" t="n">
        <v>29103033.5299389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146918.153196069</v>
      </c>
      <c r="C32" t="n">
        <v>0</v>
      </c>
      <c r="D32" t="n">
        <v>455902.488150382</v>
      </c>
      <c r="E32" t="n">
        <v>12294.034742251</v>
      </c>
      <c r="F32" t="n">
        <v>0</v>
      </c>
      <c r="G32" t="n">
        <v>56532.1932931712</v>
      </c>
      <c r="H32" t="n">
        <v>105642.035764491</v>
      </c>
      <c r="I32" t="n">
        <v>13312.2618314952</v>
      </c>
      <c r="J32" t="n">
        <v>0</v>
      </c>
      <c r="K32" t="n">
        <v>0</v>
      </c>
      <c r="L32" t="n">
        <v>96043.8438888822</v>
      </c>
      <c r="M32" t="n">
        <v>49253.995312753</v>
      </c>
      <c r="N32" t="n">
        <v>0</v>
      </c>
      <c r="O32" t="n">
        <v>6688.37975523936</v>
      </c>
      <c r="P32" t="n">
        <v>12654.0340529011</v>
      </c>
      <c r="Q32" t="n">
        <v>0</v>
      </c>
      <c r="R32" t="n">
        <v>0</v>
      </c>
      <c r="S32" t="n">
        <v>0</v>
      </c>
      <c r="T32" t="n">
        <v>217401.35632602</v>
      </c>
      <c r="U32" t="n">
        <v>0</v>
      </c>
      <c r="V32" t="n">
        <v>3824.09033081868</v>
      </c>
      <c r="W32" t="n">
        <v>0</v>
      </c>
      <c r="X32" t="n">
        <v>2622503.80424017</v>
      </c>
      <c r="Y32" t="n">
        <v>18800.8273477931</v>
      </c>
      <c r="Z32" t="n">
        <v>219153.048416202</v>
      </c>
      <c r="AA32" t="n">
        <v>0</v>
      </c>
      <c r="AB32" t="n">
        <v>47402362.3932889</v>
      </c>
      <c r="AC32" t="n">
        <v>1380390.84677429</v>
      </c>
      <c r="AD32" t="n">
        <v>682153.435689661</v>
      </c>
      <c r="AE32" t="n">
        <v>1506834.11502939</v>
      </c>
      <c r="AF32" t="n">
        <v>26056756.7806408</v>
      </c>
      <c r="AG32" t="n">
        <v>37102.754059717</v>
      </c>
      <c r="AH32" t="n">
        <v>119176.820142338</v>
      </c>
      <c r="AI32" t="n">
        <v>0</v>
      </c>
      <c r="AJ32" t="n">
        <v>1796567.52966906</v>
      </c>
      <c r="AK32" t="n">
        <v>68724.2818983897</v>
      </c>
      <c r="AL32" t="n">
        <v>606423.901896025</v>
      </c>
      <c r="AM32" t="n">
        <v>970240.267885094</v>
      </c>
      <c r="AN32" t="n">
        <v>73073.367219636</v>
      </c>
      <c r="AO32" t="n">
        <v>14132368.162769</v>
      </c>
      <c r="AP32" t="n">
        <v>560397.848073064</v>
      </c>
      <c r="AQ32" t="n">
        <v>1880429.61631487</v>
      </c>
      <c r="AR32" t="n">
        <v>3519744.63529718</v>
      </c>
      <c r="AS32" t="n">
        <v>2985828.08663543</v>
      </c>
      <c r="AT32" t="n">
        <v>1700018.39662084</v>
      </c>
      <c r="AU32" t="n">
        <v>12106719.7890475</v>
      </c>
      <c r="AV32" t="n">
        <v>0</v>
      </c>
      <c r="AW32" t="n">
        <v>0</v>
      </c>
      <c r="AX32" t="n">
        <v>269653.128957706</v>
      </c>
      <c r="AY32" t="n">
        <v>1956909.33596967</v>
      </c>
      <c r="AZ32" t="n">
        <v>2385091.93391533</v>
      </c>
      <c r="BA32" t="n">
        <v>554918.396138671</v>
      </c>
      <c r="BB32" t="n">
        <v>19828459.3821822</v>
      </c>
      <c r="BC32" t="n">
        <v>3750342.63456022</v>
      </c>
      <c r="BD32" t="n">
        <v>14665259.704366</v>
      </c>
      <c r="BE32" t="n">
        <v>65016.9194306047</v>
      </c>
      <c r="BF32" t="n">
        <v>1911097.11258389</v>
      </c>
      <c r="BG32" t="n">
        <v>8847283.76229353</v>
      </c>
      <c r="BH32" t="n">
        <v>20524085.671578</v>
      </c>
      <c r="BI32" t="n">
        <v>647875.388261222</v>
      </c>
      <c r="BJ32" t="n">
        <v>8203035.00055313</v>
      </c>
      <c r="BK32" t="n">
        <v>1871310.48333922</v>
      </c>
      <c r="BL32" t="n">
        <v>861551.803919492</v>
      </c>
      <c r="BM32" t="n">
        <v>1055529.08699078</v>
      </c>
      <c r="BN32" t="n">
        <v>5730740.86235588</v>
      </c>
      <c r="BO32" t="n">
        <v>6871640.99657685</v>
      </c>
      <c r="BP32" t="n">
        <v>3076574.29043673</v>
      </c>
      <c r="BQ32" t="n">
        <v>10038315.0583073</v>
      </c>
      <c r="BR32" t="n">
        <v>426477.424243575</v>
      </c>
      <c r="BS32" t="n">
        <v>60128432.6611599</v>
      </c>
      <c r="BT32" t="n">
        <v>1885152.30867051</v>
      </c>
      <c r="BU32" t="n">
        <v>15180587.7136165</v>
      </c>
      <c r="BV32" t="n">
        <v>0</v>
      </c>
      <c r="BW32" t="n">
        <v>0</v>
      </c>
      <c r="BX32" t="n">
        <v>0</v>
      </c>
      <c r="BY32" t="n">
        <v>0</v>
      </c>
      <c r="BZ32" t="n">
        <v>508795.708248825</v>
      </c>
      <c r="CA32" t="n">
        <v>2588639.34798475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75070657.3951809</v>
      </c>
      <c r="C33" t="n">
        <v>608534.24183153</v>
      </c>
      <c r="D33" t="n">
        <v>307857695.332048</v>
      </c>
      <c r="E33" t="n">
        <v>17238522.7691753</v>
      </c>
      <c r="F33" t="n">
        <v>112398784.633689</v>
      </c>
      <c r="G33" t="n">
        <v>90994079.84542</v>
      </c>
      <c r="H33" t="n">
        <v>194918180.55727</v>
      </c>
      <c r="I33" t="n">
        <v>2308961.38608235</v>
      </c>
      <c r="J33" t="n">
        <v>4967622.96282162</v>
      </c>
      <c r="K33" t="n">
        <v>5052153.70150446</v>
      </c>
      <c r="L33" t="n">
        <v>7237375.0708662</v>
      </c>
      <c r="M33" t="n">
        <v>7811011.52819688</v>
      </c>
      <c r="N33" t="n">
        <v>198268.375376284</v>
      </c>
      <c r="O33" t="n">
        <v>1919336.13426951</v>
      </c>
      <c r="P33" t="n">
        <v>1288516.86154405</v>
      </c>
      <c r="Q33" t="n">
        <v>635765.565456848</v>
      </c>
      <c r="R33" t="n">
        <v>604188.879504205</v>
      </c>
      <c r="S33" t="n">
        <v>1719016.92754926</v>
      </c>
      <c r="T33" t="n">
        <v>12176537.9184718</v>
      </c>
      <c r="U33" t="n">
        <v>71023.0135180853</v>
      </c>
      <c r="V33" t="n">
        <v>14905.0332972073</v>
      </c>
      <c r="W33" t="n">
        <v>9405493.14937603</v>
      </c>
      <c r="X33" t="n">
        <v>1070062.8854574</v>
      </c>
      <c r="Y33" t="n">
        <v>173965241.370347</v>
      </c>
      <c r="Z33" t="n">
        <v>11074846.8377744</v>
      </c>
      <c r="AA33" t="n">
        <v>6931795.76318709</v>
      </c>
      <c r="AB33" t="n">
        <v>19107046.4737456</v>
      </c>
      <c r="AC33" t="n">
        <v>5501290.48240527</v>
      </c>
      <c r="AD33" t="n">
        <v>1835434.78633169</v>
      </c>
      <c r="AE33" t="n">
        <v>2134867.87732027</v>
      </c>
      <c r="AF33" t="n">
        <v>8144008.67843325</v>
      </c>
      <c r="AG33" t="n">
        <v>102296473.564989</v>
      </c>
      <c r="AH33" t="n">
        <v>41213795.2914845</v>
      </c>
      <c r="AI33" t="n">
        <v>22375.5577536468</v>
      </c>
      <c r="AJ33" t="n">
        <v>133917487.734979</v>
      </c>
      <c r="AK33" t="n">
        <v>1515108.08351445</v>
      </c>
      <c r="AL33" t="n">
        <v>16176153.3405842</v>
      </c>
      <c r="AM33" t="n">
        <v>40019744.9287669</v>
      </c>
      <c r="AN33" t="n">
        <v>19604814.1446889</v>
      </c>
      <c r="AO33" t="n">
        <v>1448698.30841338</v>
      </c>
      <c r="AP33" t="n">
        <v>73968.4420114458</v>
      </c>
      <c r="AQ33" t="n">
        <v>2542630.14597837</v>
      </c>
      <c r="AR33" t="n">
        <v>580397.480628887</v>
      </c>
      <c r="AS33" t="n">
        <v>14422643.8075132</v>
      </c>
      <c r="AT33" t="n">
        <v>4869928.51100364</v>
      </c>
      <c r="AU33" t="n">
        <v>259732.645246236</v>
      </c>
      <c r="AV33" t="n">
        <v>248500.163269229</v>
      </c>
      <c r="AW33" t="n">
        <v>153833.080682049</v>
      </c>
      <c r="AX33" t="n">
        <v>14821398.6477726</v>
      </c>
      <c r="AY33" t="n">
        <v>8318127.3548898</v>
      </c>
      <c r="AZ33" t="n">
        <v>198890.63808513</v>
      </c>
      <c r="BA33" t="n">
        <v>2216601.59254642</v>
      </c>
      <c r="BB33" t="n">
        <v>7190605.80481335</v>
      </c>
      <c r="BC33" t="n">
        <v>2932107.25238218</v>
      </c>
      <c r="BD33" t="n">
        <v>29831756.1820013</v>
      </c>
      <c r="BE33" t="n">
        <v>5984802.13041038</v>
      </c>
      <c r="BF33" t="n">
        <v>3111109.55927358</v>
      </c>
      <c r="BG33" t="n">
        <v>4841749.43551909</v>
      </c>
      <c r="BH33" t="n">
        <v>7289151.97625666</v>
      </c>
      <c r="BI33" t="n">
        <v>3874353.73972785</v>
      </c>
      <c r="BJ33" t="n">
        <v>4065415.63085988</v>
      </c>
      <c r="BK33" t="n">
        <v>566816.068799754</v>
      </c>
      <c r="BL33" t="n">
        <v>3265696.4507652</v>
      </c>
      <c r="BM33" t="n">
        <v>2195608.63137775</v>
      </c>
      <c r="BN33" t="n">
        <v>21454491.6618516</v>
      </c>
      <c r="BO33" t="n">
        <v>12643955.9114057</v>
      </c>
      <c r="BP33" t="n">
        <v>54125855.4628982</v>
      </c>
      <c r="BQ33" t="n">
        <v>6494472.98825246</v>
      </c>
      <c r="BR33" t="n">
        <v>11227594.7438807</v>
      </c>
      <c r="BS33" t="n">
        <v>535553939.715184</v>
      </c>
      <c r="BT33" t="n">
        <v>85466819.3303941</v>
      </c>
      <c r="BU33" t="n">
        <v>1659709552.03286</v>
      </c>
      <c r="BV33" t="n">
        <v>0</v>
      </c>
      <c r="BW33" t="n">
        <v>0</v>
      </c>
      <c r="BX33" t="n">
        <v>0</v>
      </c>
      <c r="BY33" t="n">
        <v>0</v>
      </c>
      <c r="BZ33" t="n">
        <v>52155367.505736</v>
      </c>
      <c r="CA33" t="n">
        <v>74798370.4245121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94677242.5756815</v>
      </c>
      <c r="C34" t="n">
        <v>940254.48498371</v>
      </c>
      <c r="D34" t="n">
        <v>134008442.982181</v>
      </c>
      <c r="E34" t="n">
        <v>3586920.22975251</v>
      </c>
      <c r="F34" t="n">
        <v>25811525.4368595</v>
      </c>
      <c r="G34" t="n">
        <v>3877453.10767526</v>
      </c>
      <c r="H34" t="n">
        <v>26148652.9185416</v>
      </c>
      <c r="I34" t="n">
        <v>4349412.07765415</v>
      </c>
      <c r="J34" t="n">
        <v>11444512.9923452</v>
      </c>
      <c r="K34" t="n">
        <v>1495966.30666046</v>
      </c>
      <c r="L34" t="n">
        <v>22759702.5211462</v>
      </c>
      <c r="M34" t="n">
        <v>12424054.625557</v>
      </c>
      <c r="N34" t="n">
        <v>1321967.47960531</v>
      </c>
      <c r="O34" t="n">
        <v>2813623.42906246</v>
      </c>
      <c r="P34" t="n">
        <v>14318210.3573547</v>
      </c>
      <c r="Q34" t="n">
        <v>2149041.66006821</v>
      </c>
      <c r="R34" t="n">
        <v>1857029.54570619</v>
      </c>
      <c r="S34" t="n">
        <v>4296106.29410376</v>
      </c>
      <c r="T34" t="n">
        <v>11164735.2218604</v>
      </c>
      <c r="U34" t="n">
        <v>4643108.52631452</v>
      </c>
      <c r="V34" t="n">
        <v>106259.098169233</v>
      </c>
      <c r="W34" t="n">
        <v>28885256.2105133</v>
      </c>
      <c r="X34" t="n">
        <v>3451610.03718775</v>
      </c>
      <c r="Y34" t="n">
        <v>151457287.149685</v>
      </c>
      <c r="Z34" t="n">
        <v>90811916.6524201</v>
      </c>
      <c r="AA34" t="n">
        <v>218573972.029237</v>
      </c>
      <c r="AB34" t="n">
        <v>3206933.63367659</v>
      </c>
      <c r="AC34" t="n">
        <v>455794.396937726</v>
      </c>
      <c r="AD34" t="n">
        <v>148350.918869656</v>
      </c>
      <c r="AE34" t="n">
        <v>109486.188217232</v>
      </c>
      <c r="AF34" t="n">
        <v>1861591.10934304</v>
      </c>
      <c r="AG34" t="n">
        <v>4225.26842764321</v>
      </c>
      <c r="AH34" t="n">
        <v>1069463.99466563</v>
      </c>
      <c r="AI34" t="n">
        <v>10.6374232573923</v>
      </c>
      <c r="AJ34" t="n">
        <v>706613.464427967</v>
      </c>
      <c r="AK34" t="n">
        <v>6149.26227877832</v>
      </c>
      <c r="AL34" t="n">
        <v>103589.497520539</v>
      </c>
      <c r="AM34" t="n">
        <v>81304.8006942722</v>
      </c>
      <c r="AN34" t="n">
        <v>876542.755918817</v>
      </c>
      <c r="AO34" t="n">
        <v>721239.28245169</v>
      </c>
      <c r="AP34" t="n">
        <v>78988.8065386973</v>
      </c>
      <c r="AQ34" t="n">
        <v>903104.658839658</v>
      </c>
      <c r="AR34" t="n">
        <v>372226.884431176</v>
      </c>
      <c r="AS34" t="n">
        <v>69322.4565457072</v>
      </c>
      <c r="AT34" t="n">
        <v>33757.3507172463</v>
      </c>
      <c r="AU34" t="n">
        <v>89940.6665011495</v>
      </c>
      <c r="AV34" t="n">
        <v>0</v>
      </c>
      <c r="AW34" t="n">
        <v>714002.666011334</v>
      </c>
      <c r="AX34" t="n">
        <v>7742030.87178538</v>
      </c>
      <c r="AY34" t="n">
        <v>309265.65640465</v>
      </c>
      <c r="AZ34" t="n">
        <v>136022.578729685</v>
      </c>
      <c r="BA34" t="n">
        <v>199208.233684777</v>
      </c>
      <c r="BB34" t="n">
        <v>16258760.7768791</v>
      </c>
      <c r="BC34" t="n">
        <v>1122479.35576051</v>
      </c>
      <c r="BD34" t="n">
        <v>22515583.3922177</v>
      </c>
      <c r="BE34" t="n">
        <v>2914268.98937749</v>
      </c>
      <c r="BF34" t="n">
        <v>850996.205060125</v>
      </c>
      <c r="BG34" t="n">
        <v>75189668.7405259</v>
      </c>
      <c r="BH34" t="n">
        <v>39412863.64162</v>
      </c>
      <c r="BI34" t="n">
        <v>8958340.38300084</v>
      </c>
      <c r="BJ34" t="n">
        <v>1085388.15818298</v>
      </c>
      <c r="BK34" t="n">
        <v>528700.829216773</v>
      </c>
      <c r="BL34" t="n">
        <v>1603177.4858153</v>
      </c>
      <c r="BM34" t="n">
        <v>104633.399405263</v>
      </c>
      <c r="BN34" t="n">
        <v>1689982.51678815</v>
      </c>
      <c r="BO34" t="n">
        <v>12494417.8580959</v>
      </c>
      <c r="BP34" t="n">
        <v>4487498.47708728</v>
      </c>
      <c r="BQ34" t="n">
        <v>7270121.13084366</v>
      </c>
      <c r="BR34" t="n">
        <v>248801.044509562</v>
      </c>
      <c r="BS34" t="n">
        <v>81569277.1848909</v>
      </c>
      <c r="BT34" t="n">
        <v>4968184.56331865</v>
      </c>
      <c r="BU34" t="n">
        <v>494326069.984157</v>
      </c>
      <c r="BV34" t="n">
        <v>0</v>
      </c>
      <c r="BW34" t="n">
        <v>576450.15714343</v>
      </c>
      <c r="BX34" t="n">
        <v>0</v>
      </c>
      <c r="BY34" t="n">
        <v>0</v>
      </c>
      <c r="BZ34" t="n">
        <v>29352052.773386</v>
      </c>
      <c r="CA34" t="n">
        <v>615815675.772004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8210553.06672168</v>
      </c>
      <c r="C35" t="n">
        <v>73757.0268538605</v>
      </c>
      <c r="D35" t="n">
        <v>2698169.2776684</v>
      </c>
      <c r="E35" t="n">
        <v>2310568.21164036</v>
      </c>
      <c r="F35" t="n">
        <v>13010709.9156515</v>
      </c>
      <c r="G35" t="n">
        <v>61202.6845869357</v>
      </c>
      <c r="H35" t="n">
        <v>59317266.4603423</v>
      </c>
      <c r="I35" t="n">
        <v>1266100.71471213</v>
      </c>
      <c r="J35" t="n">
        <v>3651664.07228849</v>
      </c>
      <c r="K35" t="n">
        <v>697009.655808079</v>
      </c>
      <c r="L35" t="n">
        <v>9440491.11765545</v>
      </c>
      <c r="M35" t="n">
        <v>43105576.0125217</v>
      </c>
      <c r="N35" t="n">
        <v>1812868.95608424</v>
      </c>
      <c r="O35" t="n">
        <v>2978685.54891011</v>
      </c>
      <c r="P35" t="n">
        <v>26520111.0837473</v>
      </c>
      <c r="Q35" t="n">
        <v>5772073.99939157</v>
      </c>
      <c r="R35" t="n">
        <v>2791002.1188807</v>
      </c>
      <c r="S35" t="n">
        <v>3688695.1276925</v>
      </c>
      <c r="T35" t="n">
        <v>37884542.3089175</v>
      </c>
      <c r="U35" t="n">
        <v>195550.269946788</v>
      </c>
      <c r="V35" t="n">
        <v>100464.564089177</v>
      </c>
      <c r="W35" t="n">
        <v>11525674.9836944</v>
      </c>
      <c r="X35" t="n">
        <v>2025064.06367406</v>
      </c>
      <c r="Y35" t="n">
        <v>2379392.61634951</v>
      </c>
      <c r="Z35" t="n">
        <v>6805918.00476359</v>
      </c>
      <c r="AA35" t="n">
        <v>89572039.3160011</v>
      </c>
      <c r="AB35" t="n">
        <v>42773427.4707681</v>
      </c>
      <c r="AC35" t="n">
        <v>3534981.89575401</v>
      </c>
      <c r="AD35" t="n">
        <v>3215141.44482323</v>
      </c>
      <c r="AE35" t="n">
        <v>1877523.1949245</v>
      </c>
      <c r="AF35" t="n">
        <v>9438641.7910978</v>
      </c>
      <c r="AG35" t="n">
        <v>28117.6373181414</v>
      </c>
      <c r="AH35" t="n">
        <v>30105.3177894218</v>
      </c>
      <c r="AI35" t="n">
        <v>0</v>
      </c>
      <c r="AJ35" t="n">
        <v>2878933.30287762</v>
      </c>
      <c r="AK35" t="n">
        <v>12710.3486263282</v>
      </c>
      <c r="AL35" t="n">
        <v>2642511.17358953</v>
      </c>
      <c r="AM35" t="n">
        <v>4490286.77084704</v>
      </c>
      <c r="AN35" t="n">
        <v>682986.731481213</v>
      </c>
      <c r="AO35" t="n">
        <v>415879.356850042</v>
      </c>
      <c r="AP35" t="n">
        <v>28951.6704091612</v>
      </c>
      <c r="AQ35" t="n">
        <v>11576322.9646127</v>
      </c>
      <c r="AR35" t="n">
        <v>268323.499172862</v>
      </c>
      <c r="AS35" t="n">
        <v>72272.8311452122</v>
      </c>
      <c r="AT35" t="n">
        <v>80871.4773500381</v>
      </c>
      <c r="AU35" t="n">
        <v>1348338.62381649</v>
      </c>
      <c r="AV35" t="n">
        <v>0</v>
      </c>
      <c r="AW35" t="n">
        <v>22788.6340492188</v>
      </c>
      <c r="AX35" t="n">
        <v>175914.362357995</v>
      </c>
      <c r="AY35" t="n">
        <v>2971059.48251115</v>
      </c>
      <c r="AZ35" t="n">
        <v>40102.9644536116</v>
      </c>
      <c r="BA35" t="n">
        <v>1901225.14662286</v>
      </c>
      <c r="BB35" t="n">
        <v>11761661.3358785</v>
      </c>
      <c r="BC35" t="n">
        <v>170041.842649981</v>
      </c>
      <c r="BD35" t="n">
        <v>6111322.87567787</v>
      </c>
      <c r="BE35" t="n">
        <v>943830.087212196</v>
      </c>
      <c r="BF35" t="n">
        <v>565150.959663396</v>
      </c>
      <c r="BG35" t="n">
        <v>22985282.5614703</v>
      </c>
      <c r="BH35" t="n">
        <v>11088517.5670271</v>
      </c>
      <c r="BI35" t="n">
        <v>4210288.95214546</v>
      </c>
      <c r="BJ35" t="n">
        <v>2945292.80694547</v>
      </c>
      <c r="BK35" t="n">
        <v>67926.458787861</v>
      </c>
      <c r="BL35" t="n">
        <v>483154.23767903</v>
      </c>
      <c r="BM35" t="n">
        <v>209994.493609038</v>
      </c>
      <c r="BN35" t="n">
        <v>22775858.1336624</v>
      </c>
      <c r="BO35" t="n">
        <v>8360057.52315266</v>
      </c>
      <c r="BP35" t="n">
        <v>8666033.70407114</v>
      </c>
      <c r="BQ35" t="n">
        <v>2265492.88123868</v>
      </c>
      <c r="BR35" t="n">
        <v>52921.3171468272</v>
      </c>
      <c r="BS35" t="n">
        <v>27410596.0861213</v>
      </c>
      <c r="BT35" t="n">
        <v>8672669.51246259</v>
      </c>
      <c r="BU35" t="n">
        <v>60382853.4791458</v>
      </c>
      <c r="BV35" t="n">
        <v>0</v>
      </c>
      <c r="BW35" t="n">
        <v>1593085.36163566</v>
      </c>
      <c r="BX35" t="n">
        <v>0</v>
      </c>
      <c r="BY35" t="n">
        <v>115825.889301073</v>
      </c>
      <c r="BZ35" t="n">
        <v>18800314.5744295</v>
      </c>
      <c r="CA35" t="n">
        <v>112858439.160197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31808.3659193509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206765888.091397</v>
      </c>
      <c r="C36" t="n">
        <v>2049859.38999062</v>
      </c>
      <c r="D36" t="n">
        <v>224351311.64714</v>
      </c>
      <c r="E36" t="n">
        <v>11363544.0114176</v>
      </c>
      <c r="F36" t="n">
        <v>76712611.1467669</v>
      </c>
      <c r="G36" t="n">
        <v>24391001.4014825</v>
      </c>
      <c r="H36" t="n">
        <v>204641428.187075</v>
      </c>
      <c r="I36" t="n">
        <v>14020820.9714567</v>
      </c>
      <c r="J36" t="n">
        <v>26508844.2303482</v>
      </c>
      <c r="K36" t="n">
        <v>35458981.8924229</v>
      </c>
      <c r="L36" t="n">
        <v>89975117.1256142</v>
      </c>
      <c r="M36" t="n">
        <v>149287756.374723</v>
      </c>
      <c r="N36" t="n">
        <v>8201562.60186293</v>
      </c>
      <c r="O36" t="n">
        <v>14173768.7144074</v>
      </c>
      <c r="P36" t="n">
        <v>91671029.019026</v>
      </c>
      <c r="Q36" t="n">
        <v>24101398.9660594</v>
      </c>
      <c r="R36" t="n">
        <v>5823267.41120777</v>
      </c>
      <c r="S36" t="n">
        <v>7565761.51075374</v>
      </c>
      <c r="T36" t="n">
        <v>160973178.459312</v>
      </c>
      <c r="U36" t="n">
        <v>1755002.07026864</v>
      </c>
      <c r="V36" t="n">
        <v>1600844.80850154</v>
      </c>
      <c r="W36" t="n">
        <v>56394573.1053535</v>
      </c>
      <c r="X36" t="n">
        <v>4445785.43289336</v>
      </c>
      <c r="Y36" t="n">
        <v>102423034.629007</v>
      </c>
      <c r="Z36" t="n">
        <v>41686791.9602797</v>
      </c>
      <c r="AA36" t="n">
        <v>84651753.7154342</v>
      </c>
      <c r="AB36" t="n">
        <v>126484126.604919</v>
      </c>
      <c r="AC36" t="n">
        <v>13545060.7823106</v>
      </c>
      <c r="AD36" t="n">
        <v>5290221.46548862</v>
      </c>
      <c r="AE36" t="n">
        <v>11366830.731726</v>
      </c>
      <c r="AF36" t="n">
        <v>40906736.432109</v>
      </c>
      <c r="AG36" t="n">
        <v>8255302.40988611</v>
      </c>
      <c r="AH36" t="n">
        <v>13108730.2447459</v>
      </c>
      <c r="AI36" t="n">
        <v>6032.32716173094</v>
      </c>
      <c r="AJ36" t="n">
        <v>33929425.7217796</v>
      </c>
      <c r="AK36" t="n">
        <v>410783.905670745</v>
      </c>
      <c r="AL36" t="n">
        <v>21133740.0895979</v>
      </c>
      <c r="AM36" t="n">
        <v>11570806.1308037</v>
      </c>
      <c r="AN36" t="n">
        <v>7348217.52400493</v>
      </c>
      <c r="AO36" t="n">
        <v>19019121.998288</v>
      </c>
      <c r="AP36" t="n">
        <v>142213.940302805</v>
      </c>
      <c r="AQ36" t="n">
        <v>29572154.8336356</v>
      </c>
      <c r="AR36" t="n">
        <v>1599601.22789706</v>
      </c>
      <c r="AS36" t="n">
        <v>3372342.14245178</v>
      </c>
      <c r="AT36" t="n">
        <v>1254728.70021363</v>
      </c>
      <c r="AU36" t="n">
        <v>1742893.54261073</v>
      </c>
      <c r="AV36" t="n">
        <v>117387.993383641</v>
      </c>
      <c r="AW36" t="n">
        <v>1313934.52289301</v>
      </c>
      <c r="AX36" t="n">
        <v>7534077.12189329</v>
      </c>
      <c r="AY36" t="n">
        <v>33394573.4667005</v>
      </c>
      <c r="AZ36" t="n">
        <v>1047412.27122876</v>
      </c>
      <c r="BA36" t="n">
        <v>3666968.94055832</v>
      </c>
      <c r="BB36" t="n">
        <v>33042722.2556635</v>
      </c>
      <c r="BC36" t="n">
        <v>7347616.74699932</v>
      </c>
      <c r="BD36" t="n">
        <v>34663697.8628946</v>
      </c>
      <c r="BE36" t="n">
        <v>7019237.81747186</v>
      </c>
      <c r="BF36" t="n">
        <v>3991739.29697176</v>
      </c>
      <c r="BG36" t="n">
        <v>67030217.2049001</v>
      </c>
      <c r="BH36" t="n">
        <v>47119856.4524447</v>
      </c>
      <c r="BI36" t="n">
        <v>8835185.44811285</v>
      </c>
      <c r="BJ36" t="n">
        <v>12318481.7375383</v>
      </c>
      <c r="BK36" t="n">
        <v>901005.253746619</v>
      </c>
      <c r="BL36" t="n">
        <v>7147566.89206037</v>
      </c>
      <c r="BM36" t="n">
        <v>5004149.2006186</v>
      </c>
      <c r="BN36" t="n">
        <v>76898513.579276</v>
      </c>
      <c r="BO36" t="n">
        <v>31301021.507543</v>
      </c>
      <c r="BP36" t="n">
        <v>40171571.4490982</v>
      </c>
      <c r="BQ36" t="n">
        <v>15272390.2052506</v>
      </c>
      <c r="BR36" t="n">
        <v>6188211.50841446</v>
      </c>
      <c r="BS36" t="n">
        <v>141695791.880063</v>
      </c>
      <c r="BT36" t="n">
        <v>28742597.6177436</v>
      </c>
      <c r="BU36" t="n">
        <v>1655635658.64071</v>
      </c>
      <c r="BV36" t="n">
        <v>214476.13314552</v>
      </c>
      <c r="BW36" t="n">
        <v>496790260.743856</v>
      </c>
      <c r="BX36" t="n">
        <v>57348260.8217967</v>
      </c>
      <c r="BY36" t="n">
        <v>11277894.6747946</v>
      </c>
      <c r="BZ36" t="n">
        <v>76180272.67688</v>
      </c>
      <c r="CA36" t="n">
        <v>1721880389.54859</v>
      </c>
      <c r="CB36" t="n">
        <v>0</v>
      </c>
      <c r="CC36" t="n">
        <v>0</v>
      </c>
      <c r="CD36" t="n">
        <v>0</v>
      </c>
      <c r="CE36" t="n">
        <v>63157142.240775</v>
      </c>
      <c r="CF36" t="n">
        <v>5585086.54965697</v>
      </c>
      <c r="CG36" t="n">
        <v>0</v>
      </c>
      <c r="CH36" t="n">
        <v>0</v>
      </c>
      <c r="CI36" t="n">
        <v>7893465.70200213</v>
      </c>
      <c r="CJ36" t="n">
        <v>0</v>
      </c>
      <c r="CK36" t="n">
        <v>0</v>
      </c>
      <c r="CL36" t="n">
        <v>0</v>
      </c>
      <c r="CM36" t="n">
        <v>33990780.939698</v>
      </c>
      <c r="CN36" t="n">
        <v>7722383.57038675</v>
      </c>
    </row>
    <row r="37">
      <c r="A37" t="s">
        <v>148</v>
      </c>
      <c r="B37" t="n">
        <v>243239.827127957</v>
      </c>
      <c r="C37" t="n">
        <v>6713.959368477</v>
      </c>
      <c r="D37" t="n">
        <v>17576028.6728942</v>
      </c>
      <c r="E37" t="n">
        <v>1658865.8641501</v>
      </c>
      <c r="F37" t="n">
        <v>12230585.3529226</v>
      </c>
      <c r="G37" t="n">
        <v>187191.039700098</v>
      </c>
      <c r="H37" t="n">
        <v>17398633.2045765</v>
      </c>
      <c r="I37" t="n">
        <v>1570348.14265309</v>
      </c>
      <c r="J37" t="n">
        <v>2138021.95718421</v>
      </c>
      <c r="K37" t="n">
        <v>546199.697676525</v>
      </c>
      <c r="L37" t="n">
        <v>6113111.93545853</v>
      </c>
      <c r="M37" t="n">
        <v>36247032.3668591</v>
      </c>
      <c r="N37" t="n">
        <v>339333.218241574</v>
      </c>
      <c r="O37" t="n">
        <v>16610.0679191707</v>
      </c>
      <c r="P37" t="n">
        <v>16953951.3462191</v>
      </c>
      <c r="Q37" t="n">
        <v>3701446.300507</v>
      </c>
      <c r="R37" t="n">
        <v>392035.281971032</v>
      </c>
      <c r="S37" t="n">
        <v>760322.531584821</v>
      </c>
      <c r="T37" t="n">
        <v>9710988.06042529</v>
      </c>
      <c r="U37" t="n">
        <v>35369.9488795611</v>
      </c>
      <c r="V37" t="n">
        <v>0</v>
      </c>
      <c r="W37" t="n">
        <v>4798871.10153845</v>
      </c>
      <c r="X37" t="n">
        <v>142852.669108551</v>
      </c>
      <c r="Y37" t="n">
        <v>46690.3840109883</v>
      </c>
      <c r="Z37" t="n">
        <v>1236423.11482201</v>
      </c>
      <c r="AA37" t="n">
        <v>2352153.86605987</v>
      </c>
      <c r="AB37" t="n">
        <v>809991.116539898</v>
      </c>
      <c r="AC37" t="n">
        <v>13180321.0853854</v>
      </c>
      <c r="AD37" t="n">
        <v>3854475.32897702</v>
      </c>
      <c r="AE37" t="n">
        <v>1729479.85941776</v>
      </c>
      <c r="AF37" t="n">
        <v>10810422.4811154</v>
      </c>
      <c r="AG37" t="n">
        <v>0</v>
      </c>
      <c r="AH37" t="n">
        <v>157848.698739878</v>
      </c>
      <c r="AI37" t="n">
        <v>0</v>
      </c>
      <c r="AJ37" t="n">
        <v>16378982.8276069</v>
      </c>
      <c r="AK37" t="n">
        <v>6095.40636042403</v>
      </c>
      <c r="AL37" t="n">
        <v>125500.52687039</v>
      </c>
      <c r="AM37" t="n">
        <v>83348.0310805274</v>
      </c>
      <c r="AN37" t="n">
        <v>524252.419244923</v>
      </c>
      <c r="AO37" t="n">
        <v>340710.234788978</v>
      </c>
      <c r="AP37" t="n">
        <v>45589.2484047649</v>
      </c>
      <c r="AQ37" t="n">
        <v>553469.612356426</v>
      </c>
      <c r="AR37" t="n">
        <v>17326.0861593447</v>
      </c>
      <c r="AS37" t="n">
        <v>221721.441610401</v>
      </c>
      <c r="AT37" t="n">
        <v>17177.0060566964</v>
      </c>
      <c r="AU37" t="n">
        <v>76275.3069780186</v>
      </c>
      <c r="AV37" t="n">
        <v>0</v>
      </c>
      <c r="AW37" t="n">
        <v>616098.356590371</v>
      </c>
      <c r="AX37" t="n">
        <v>1087930.58540214</v>
      </c>
      <c r="AY37" t="n">
        <v>4644940.75765773</v>
      </c>
      <c r="AZ37" t="n">
        <v>0</v>
      </c>
      <c r="BA37" t="n">
        <v>76053.8867521425</v>
      </c>
      <c r="BB37" t="n">
        <v>3017996.3122311</v>
      </c>
      <c r="BC37" t="n">
        <v>0</v>
      </c>
      <c r="BD37" t="n">
        <v>25918844.8261759</v>
      </c>
      <c r="BE37" t="n">
        <v>466452.807640531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22713.8475115473</v>
      </c>
      <c r="BL37" t="n">
        <v>128375.790574182</v>
      </c>
      <c r="BM37" t="n">
        <v>149401.881341058</v>
      </c>
      <c r="BN37" t="n">
        <v>1361444.72869261</v>
      </c>
      <c r="BO37" t="n">
        <v>29382872.9513</v>
      </c>
      <c r="BP37" t="n">
        <v>0</v>
      </c>
      <c r="BQ37" t="n">
        <v>0</v>
      </c>
      <c r="BR37" t="n">
        <v>0</v>
      </c>
      <c r="BS37" t="n">
        <v>0</v>
      </c>
      <c r="BT37" t="n">
        <v>24194.4614536786</v>
      </c>
      <c r="BU37" t="n">
        <v>3837856930.51974</v>
      </c>
      <c r="BV37" t="n">
        <v>0</v>
      </c>
      <c r="BW37" t="n">
        <v>326035770.412042</v>
      </c>
      <c r="BX37" t="n">
        <v>0</v>
      </c>
      <c r="BY37" t="n">
        <v>87878.1139279808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935537.796645989</v>
      </c>
      <c r="C38" t="n">
        <v>0</v>
      </c>
      <c r="D38" t="n">
        <v>107828.396766222</v>
      </c>
      <c r="E38" t="n">
        <v>0</v>
      </c>
      <c r="F38" t="n">
        <v>0</v>
      </c>
      <c r="G38" t="n">
        <v>1083033.87255057</v>
      </c>
      <c r="H38" t="n">
        <v>1740696.18944781</v>
      </c>
      <c r="I38" t="n">
        <v>0</v>
      </c>
      <c r="J38" t="n">
        <v>31910.7754803614</v>
      </c>
      <c r="K38" t="n">
        <v>0</v>
      </c>
      <c r="L38" t="n">
        <v>35335.9071413788</v>
      </c>
      <c r="M38" t="n">
        <v>305796.111081488</v>
      </c>
      <c r="N38" t="n">
        <v>2458.93636406938</v>
      </c>
      <c r="O38" t="n">
        <v>11073.3786127805</v>
      </c>
      <c r="P38" t="n">
        <v>41900.4049335042</v>
      </c>
      <c r="Q38" t="n">
        <v>0</v>
      </c>
      <c r="R38" t="n">
        <v>20208.0042253109</v>
      </c>
      <c r="S38" t="n">
        <v>33998.1619814351</v>
      </c>
      <c r="T38" t="n">
        <v>100781.195586326</v>
      </c>
      <c r="U38" t="n">
        <v>0</v>
      </c>
      <c r="V38" t="n">
        <v>0</v>
      </c>
      <c r="W38" t="n">
        <v>15530.3271894448</v>
      </c>
      <c r="X38" t="n">
        <v>60604.1626521124</v>
      </c>
      <c r="Y38" t="n">
        <v>62253.8453479844</v>
      </c>
      <c r="Z38" t="n">
        <v>142342.164460322</v>
      </c>
      <c r="AA38" t="n">
        <v>16921.9702594235</v>
      </c>
      <c r="AB38" t="n">
        <v>64799.2893231919</v>
      </c>
      <c r="AC38" t="n">
        <v>133012.414623155</v>
      </c>
      <c r="AD38" t="n">
        <v>160299.541091672</v>
      </c>
      <c r="AE38" t="n">
        <v>137746.18349345</v>
      </c>
      <c r="AF38" t="n">
        <v>390023.085593183</v>
      </c>
      <c r="AG38" t="n">
        <v>0</v>
      </c>
      <c r="AH38" t="n">
        <v>78924.349369939</v>
      </c>
      <c r="AI38" t="n">
        <v>0</v>
      </c>
      <c r="AJ38" t="n">
        <v>2738565.92877588</v>
      </c>
      <c r="AK38" t="n">
        <v>28445.2296819788</v>
      </c>
      <c r="AL38" t="n">
        <v>0</v>
      </c>
      <c r="AM38" t="n">
        <v>257621.186976176</v>
      </c>
      <c r="AN38" t="n">
        <v>0</v>
      </c>
      <c r="AO38" t="n">
        <v>6953.27009773424</v>
      </c>
      <c r="AP38" t="n">
        <v>0</v>
      </c>
      <c r="AQ38" t="n">
        <v>0</v>
      </c>
      <c r="AR38" t="n">
        <v>2887.68102655746</v>
      </c>
      <c r="AS38" t="n">
        <v>20156.4946918546</v>
      </c>
      <c r="AT38" t="n">
        <v>7361.57402429846</v>
      </c>
      <c r="AU38" t="n">
        <v>5448.23621271561</v>
      </c>
      <c r="AV38" t="n">
        <v>0</v>
      </c>
      <c r="AW38" t="n">
        <v>485410.826404535</v>
      </c>
      <c r="AX38" t="n">
        <v>95356.4656527772</v>
      </c>
      <c r="AY38" t="n">
        <v>24795.0574252192</v>
      </c>
      <c r="AZ38" t="n">
        <v>0</v>
      </c>
      <c r="BA38" t="n">
        <v>3042.1554700857</v>
      </c>
      <c r="BB38" t="n">
        <v>30301.1677934849</v>
      </c>
      <c r="BC38" t="n">
        <v>0</v>
      </c>
      <c r="BD38" t="n">
        <v>731619.631901841</v>
      </c>
      <c r="BE38" t="n">
        <v>0</v>
      </c>
      <c r="BF38" t="n">
        <v>42629.2830741567</v>
      </c>
      <c r="BG38" t="n">
        <v>18612.0602617401</v>
      </c>
      <c r="BH38" t="n">
        <v>47524.4393986727</v>
      </c>
      <c r="BI38" t="n">
        <v>8650.25723797034</v>
      </c>
      <c r="BJ38" t="n">
        <v>7796.24788977836</v>
      </c>
      <c r="BK38" t="n">
        <v>36342.1560184757</v>
      </c>
      <c r="BL38" t="n">
        <v>121243.80220895</v>
      </c>
      <c r="BM38" t="n">
        <v>167511.20029149</v>
      </c>
      <c r="BN38" t="n">
        <v>14015493.0209596</v>
      </c>
      <c r="BO38" t="n">
        <v>248359.784373797</v>
      </c>
      <c r="BP38" t="n">
        <v>0</v>
      </c>
      <c r="BQ38" t="n">
        <v>0</v>
      </c>
      <c r="BR38" t="n">
        <v>0</v>
      </c>
      <c r="BS38" t="n">
        <v>270883.009391839</v>
      </c>
      <c r="BT38" t="n">
        <v>0</v>
      </c>
      <c r="BU38" t="n">
        <v>2240683737.63165</v>
      </c>
      <c r="BV38" t="n">
        <v>0</v>
      </c>
      <c r="BW38" t="n">
        <v>1739331.3279963</v>
      </c>
      <c r="BX38" t="n">
        <v>7370.0479999843</v>
      </c>
      <c r="BY38" t="n">
        <v>72506.9973022572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37433.0392643329</v>
      </c>
      <c r="C39" t="n">
        <v>0</v>
      </c>
      <c r="D39" t="n">
        <v>16342.6685521954</v>
      </c>
      <c r="E39" t="n">
        <v>1079.72095667527</v>
      </c>
      <c r="F39" t="n">
        <v>7249.06637979249</v>
      </c>
      <c r="G39" t="n">
        <v>41745.9228312269</v>
      </c>
      <c r="H39" t="n">
        <v>196289.428548013</v>
      </c>
      <c r="I39" t="n">
        <v>1336.16746486616</v>
      </c>
      <c r="J39" t="n">
        <v>2660.05044503582</v>
      </c>
      <c r="K39" t="n">
        <v>376.286467038818</v>
      </c>
      <c r="L39" t="n">
        <v>5891.13201432638</v>
      </c>
      <c r="M39" t="n">
        <v>44184.1557641486</v>
      </c>
      <c r="N39" t="n">
        <v>447.217058148987</v>
      </c>
      <c r="O39" t="n">
        <v>923.065806567581</v>
      </c>
      <c r="P39" t="n">
        <v>13415.4350970903</v>
      </c>
      <c r="Q39" t="n">
        <v>2175.29819199972</v>
      </c>
      <c r="R39" t="n">
        <v>1898.91243436001</v>
      </c>
      <c r="S39" t="n">
        <v>3044.85022710491</v>
      </c>
      <c r="T39" t="n">
        <v>13419.8112261292</v>
      </c>
      <c r="U39" t="n">
        <v>94.6011879957933</v>
      </c>
      <c r="V39" t="n">
        <v>0</v>
      </c>
      <c r="W39" t="n">
        <v>4001.46803197557</v>
      </c>
      <c r="X39" t="n">
        <v>3083.62886388188</v>
      </c>
      <c r="Y39" t="n">
        <v>1887.06127723944</v>
      </c>
      <c r="Z39" t="n">
        <v>6218.28393908515</v>
      </c>
      <c r="AA39" t="n">
        <v>3077.6696249999</v>
      </c>
      <c r="AB39" t="n">
        <v>3682.91194476358</v>
      </c>
      <c r="AC39" t="n">
        <v>16127.6833984746</v>
      </c>
      <c r="AD39" t="n">
        <v>5079.92446559054</v>
      </c>
      <c r="AE39" t="n">
        <v>2551.64102050897</v>
      </c>
      <c r="AF39" t="n">
        <v>14906.6582922187</v>
      </c>
      <c r="AG39" t="n">
        <v>0</v>
      </c>
      <c r="AH39" t="n">
        <v>3588.57551758007</v>
      </c>
      <c r="AI39" t="n">
        <v>0.195324214897932</v>
      </c>
      <c r="AJ39" t="n">
        <v>117965.00334767</v>
      </c>
      <c r="AK39" t="n">
        <v>1108.59709123182</v>
      </c>
      <c r="AL39" t="n">
        <v>1902.10888344689</v>
      </c>
      <c r="AM39" t="n">
        <v>10335.5833608156</v>
      </c>
      <c r="AN39" t="n">
        <v>305.602512252071</v>
      </c>
      <c r="AO39" t="n">
        <v>526.925151300955</v>
      </c>
      <c r="AP39" t="n">
        <v>37.3491333410359</v>
      </c>
      <c r="AQ39" t="n">
        <v>349.520267840621</v>
      </c>
      <c r="AR39" t="n">
        <v>109.415551275903</v>
      </c>
      <c r="AS39" t="n">
        <v>1145.60816701158</v>
      </c>
      <c r="AT39" t="n">
        <v>297.528957515449</v>
      </c>
      <c r="AU39" t="n">
        <v>247.72338629365</v>
      </c>
      <c r="AV39" t="n">
        <v>0</v>
      </c>
      <c r="AW39" t="n">
        <v>38199.6781474599</v>
      </c>
      <c r="AX39" t="n">
        <v>10313.7581225715</v>
      </c>
      <c r="AY39" t="n">
        <v>5887.50849099688</v>
      </c>
      <c r="AZ39" t="n">
        <v>94.8472655831222</v>
      </c>
      <c r="BA39" t="n">
        <v>184.429853444442</v>
      </c>
      <c r="BB39" t="n">
        <v>3490.30021035113</v>
      </c>
      <c r="BC39" t="n">
        <v>0</v>
      </c>
      <c r="BD39" t="n">
        <v>48493.9718164784</v>
      </c>
      <c r="BE39" t="n">
        <v>326.291255042273</v>
      </c>
      <c r="BF39" t="n">
        <v>3661.2174224552</v>
      </c>
      <c r="BG39" t="n">
        <v>1410.43890595241</v>
      </c>
      <c r="BH39" t="n">
        <v>1152.46251935698</v>
      </c>
      <c r="BI39" t="n">
        <v>131.104876981406</v>
      </c>
      <c r="BJ39" t="n">
        <v>354.484066445786</v>
      </c>
      <c r="BK39" t="n">
        <v>275.404173712139</v>
      </c>
      <c r="BL39" t="n">
        <v>756.656018513041</v>
      </c>
      <c r="BM39" t="n">
        <v>4185.63916776642</v>
      </c>
      <c r="BN39" t="n">
        <v>46867.0641873466</v>
      </c>
      <c r="BO39" t="n">
        <v>37207.5328868818</v>
      </c>
      <c r="BP39" t="n">
        <v>0</v>
      </c>
      <c r="BQ39" t="n">
        <v>614.864252465083</v>
      </c>
      <c r="BR39" t="n">
        <v>0</v>
      </c>
      <c r="BS39" t="n">
        <v>4516.1075457339</v>
      </c>
      <c r="BT39" t="n">
        <v>0</v>
      </c>
      <c r="BU39" t="n">
        <v>33709133.0980331</v>
      </c>
      <c r="BV39" t="n">
        <v>0</v>
      </c>
      <c r="BW39" t="n">
        <v>455278.998440862</v>
      </c>
      <c r="BX39" t="n">
        <v>121974.34317462</v>
      </c>
      <c r="BY39" t="n">
        <v>27763.0029568207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26684395.0243127</v>
      </c>
      <c r="C40" t="n">
        <v>70926.8981961308</v>
      </c>
      <c r="D40" t="n">
        <v>6170175.50701739</v>
      </c>
      <c r="E40" t="n">
        <v>1155751.29602486</v>
      </c>
      <c r="F40" t="n">
        <v>1203026.57279122</v>
      </c>
      <c r="G40" t="n">
        <v>32734749.5451373</v>
      </c>
      <c r="H40" t="n">
        <v>577570616.661308</v>
      </c>
      <c r="I40" t="n">
        <v>1862658.85928117</v>
      </c>
      <c r="J40" t="n">
        <v>238785.140244465</v>
      </c>
      <c r="K40" t="n">
        <v>103818.176627797</v>
      </c>
      <c r="L40" t="n">
        <v>2146428.11609015</v>
      </c>
      <c r="M40" t="n">
        <v>19508382.2162911</v>
      </c>
      <c r="N40" t="n">
        <v>196987.965458717</v>
      </c>
      <c r="O40" t="n">
        <v>623894.469776674</v>
      </c>
      <c r="P40" t="n">
        <v>3900763.39897754</v>
      </c>
      <c r="Q40" t="n">
        <v>379054.137621932</v>
      </c>
      <c r="R40" t="n">
        <v>1167019.93901978</v>
      </c>
      <c r="S40" t="n">
        <v>1861100.6812703</v>
      </c>
      <c r="T40" t="n">
        <v>6292913.06036735</v>
      </c>
      <c r="U40" t="n">
        <v>78759.8679176952</v>
      </c>
      <c r="V40" t="n">
        <v>5573.63315330424</v>
      </c>
      <c r="W40" t="n">
        <v>1298838.70965871</v>
      </c>
      <c r="X40" t="n">
        <v>3262114.47174982</v>
      </c>
      <c r="Y40" t="n">
        <v>4000737.48533685</v>
      </c>
      <c r="Z40" t="n">
        <v>7973134.73793404</v>
      </c>
      <c r="AA40" t="n">
        <v>1504607.81777831</v>
      </c>
      <c r="AB40" t="n">
        <v>3986053.06981424</v>
      </c>
      <c r="AC40" t="n">
        <v>11943823.0886962</v>
      </c>
      <c r="AD40" t="n">
        <v>2078287.47954654</v>
      </c>
      <c r="AE40" t="n">
        <v>7289291.9225604</v>
      </c>
      <c r="AF40" t="n">
        <v>10584241.1402084</v>
      </c>
      <c r="AG40" t="n">
        <v>33798.420378491</v>
      </c>
      <c r="AH40" t="n">
        <v>2466552.57096418</v>
      </c>
      <c r="AI40" t="n">
        <v>5298.27085071558</v>
      </c>
      <c r="AJ40" t="n">
        <v>89040782.5710532</v>
      </c>
      <c r="AK40" t="n">
        <v>807588.594160534</v>
      </c>
      <c r="AL40" t="n">
        <v>1546765.93027036</v>
      </c>
      <c r="AM40" t="n">
        <v>10205754.178907</v>
      </c>
      <c r="AN40" t="n">
        <v>71003.2289904521</v>
      </c>
      <c r="AO40" t="n">
        <v>385638.746043881</v>
      </c>
      <c r="AP40" t="n">
        <v>16270.5779621164</v>
      </c>
      <c r="AQ40" t="n">
        <v>108276.019205068</v>
      </c>
      <c r="AR40" t="n">
        <v>119480.791273639</v>
      </c>
      <c r="AS40" t="n">
        <v>1131217.74840447</v>
      </c>
      <c r="AT40" t="n">
        <v>326195.066924729</v>
      </c>
      <c r="AU40" t="n">
        <v>254204.252190473</v>
      </c>
      <c r="AV40" t="n">
        <v>0</v>
      </c>
      <c r="AW40" t="n">
        <v>25877945.1639063</v>
      </c>
      <c r="AX40" t="n">
        <v>4464412.74710955</v>
      </c>
      <c r="AY40" t="n">
        <v>1200546.04330858</v>
      </c>
      <c r="AZ40" t="n">
        <v>121201.692264526</v>
      </c>
      <c r="BA40" t="n">
        <v>144619.274211712</v>
      </c>
      <c r="BB40" t="n">
        <v>1893950.9522952</v>
      </c>
      <c r="BC40" t="n">
        <v>0</v>
      </c>
      <c r="BD40" t="n">
        <v>12984549.6446755</v>
      </c>
      <c r="BE40" t="n">
        <v>138985.037467356</v>
      </c>
      <c r="BF40" t="n">
        <v>542075.631680949</v>
      </c>
      <c r="BG40" t="n">
        <v>2384012.10453151</v>
      </c>
      <c r="BH40" t="n">
        <v>1280234.2507097</v>
      </c>
      <c r="BI40" t="n">
        <v>571138.318702547</v>
      </c>
      <c r="BJ40" t="n">
        <v>384348.047631871</v>
      </c>
      <c r="BK40" t="n">
        <v>1239747.97661611</v>
      </c>
      <c r="BL40" t="n">
        <v>2103325.300316</v>
      </c>
      <c r="BM40" t="n">
        <v>4659160.27538847</v>
      </c>
      <c r="BN40" t="n">
        <v>52438266.0124443</v>
      </c>
      <c r="BO40" t="n">
        <v>17625855.983022</v>
      </c>
      <c r="BP40" t="n">
        <v>15356.5901454768</v>
      </c>
      <c r="BQ40" t="n">
        <v>547617.110466063</v>
      </c>
      <c r="BR40" t="n">
        <v>21810.2892339541</v>
      </c>
      <c r="BS40" t="n">
        <v>4375914.6933652</v>
      </c>
      <c r="BT40" t="n">
        <v>0</v>
      </c>
      <c r="BU40" t="n">
        <v>7848405247.08944</v>
      </c>
      <c r="BV40" t="n">
        <v>0</v>
      </c>
      <c r="BW40" t="n">
        <v>256800725.832999</v>
      </c>
      <c r="BX40" t="n">
        <v>89574910.3560859</v>
      </c>
      <c r="BY40" t="n">
        <v>62908605.3297891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3657858.14659161</v>
      </c>
      <c r="C41" t="n">
        <v>6748.30384362613</v>
      </c>
      <c r="D41" t="n">
        <v>1300559.76406292</v>
      </c>
      <c r="E41" t="n">
        <v>122749.810952364</v>
      </c>
      <c r="F41" t="n">
        <v>11022628.4480424</v>
      </c>
      <c r="G41" t="n">
        <v>6074511.73639233</v>
      </c>
      <c r="H41" t="n">
        <v>2230949.94222323</v>
      </c>
      <c r="I41" t="n">
        <v>337828.931885906</v>
      </c>
      <c r="J41" t="n">
        <v>2389513.8437912</v>
      </c>
      <c r="K41" t="n">
        <v>602021.520799553</v>
      </c>
      <c r="L41" t="n">
        <v>3844678.86155978</v>
      </c>
      <c r="M41" t="n">
        <v>3462926.89594124</v>
      </c>
      <c r="N41" t="n">
        <v>109982.407082801</v>
      </c>
      <c r="O41" t="n">
        <v>147472.807241227</v>
      </c>
      <c r="P41" t="n">
        <v>1105511.96600672</v>
      </c>
      <c r="Q41" t="n">
        <v>592223.853291807</v>
      </c>
      <c r="R41" t="n">
        <v>207176.03429427</v>
      </c>
      <c r="S41" t="n">
        <v>256290.567067715</v>
      </c>
      <c r="T41" t="n">
        <v>3216171.17826069</v>
      </c>
      <c r="U41" t="n">
        <v>44961.4067083054</v>
      </c>
      <c r="V41" t="n">
        <v>15909.0151922604</v>
      </c>
      <c r="W41" t="n">
        <v>1350245.17114482</v>
      </c>
      <c r="X41" t="n">
        <v>345905.500390008</v>
      </c>
      <c r="Y41" t="n">
        <v>1220159.80367533</v>
      </c>
      <c r="Z41" t="n">
        <v>643816.346314883</v>
      </c>
      <c r="AA41" t="n">
        <v>3486749.18756714</v>
      </c>
      <c r="AB41" t="n">
        <v>32911388.4363943</v>
      </c>
      <c r="AC41" t="n">
        <v>1172850.68413313</v>
      </c>
      <c r="AD41" t="n">
        <v>238017.494407254</v>
      </c>
      <c r="AE41" t="n">
        <v>592261.789821659</v>
      </c>
      <c r="AF41" t="n">
        <v>1627727.75653221</v>
      </c>
      <c r="AG41" t="n">
        <v>1558987.65253072</v>
      </c>
      <c r="AH41" t="n">
        <v>118992.116494518</v>
      </c>
      <c r="AI41" t="n">
        <v>1534.97226512734</v>
      </c>
      <c r="AJ41" t="n">
        <v>19643374.302301</v>
      </c>
      <c r="AK41" t="n">
        <v>30632.9334994497</v>
      </c>
      <c r="AL41" t="n">
        <v>504570.040642753</v>
      </c>
      <c r="AM41" t="n">
        <v>5331097.43096193</v>
      </c>
      <c r="AN41" t="n">
        <v>2168536.78179683</v>
      </c>
      <c r="AO41" t="n">
        <v>1548027.78068278</v>
      </c>
      <c r="AP41" t="n">
        <v>208058.714056297</v>
      </c>
      <c r="AQ41" t="n">
        <v>2005000.8775936</v>
      </c>
      <c r="AR41" t="n">
        <v>1253859.53255256</v>
      </c>
      <c r="AS41" t="n">
        <v>14229838.5775762</v>
      </c>
      <c r="AT41" t="n">
        <v>4115205.8061237</v>
      </c>
      <c r="AU41" t="n">
        <v>279281.407471966</v>
      </c>
      <c r="AV41" t="n">
        <v>144037.902496822</v>
      </c>
      <c r="AW41" t="n">
        <v>32839.0117464749</v>
      </c>
      <c r="AX41" t="n">
        <v>24109185.5620909</v>
      </c>
      <c r="AY41" t="n">
        <v>6242934.35835241</v>
      </c>
      <c r="AZ41" t="n">
        <v>2283271.39039964</v>
      </c>
      <c r="BA41" t="n">
        <v>4638557.08517263</v>
      </c>
      <c r="BB41" t="n">
        <v>15377320.1719143</v>
      </c>
      <c r="BC41" t="n">
        <v>1376861.6378831</v>
      </c>
      <c r="BD41" t="n">
        <v>24615022.2570836</v>
      </c>
      <c r="BE41" t="n">
        <v>1853716.85192233</v>
      </c>
      <c r="BF41" t="n">
        <v>1654383.72192842</v>
      </c>
      <c r="BG41" t="n">
        <v>13118471.7429565</v>
      </c>
      <c r="BH41" t="n">
        <v>2197307.07546977</v>
      </c>
      <c r="BI41" t="n">
        <v>1438940.84540579</v>
      </c>
      <c r="BJ41" t="n">
        <v>2801416.00505823</v>
      </c>
      <c r="BK41" t="n">
        <v>342450.563192378</v>
      </c>
      <c r="BL41" t="n">
        <v>817205.718954649</v>
      </c>
      <c r="BM41" t="n">
        <v>475526.075860642</v>
      </c>
      <c r="BN41" t="n">
        <v>9048472.18070631</v>
      </c>
      <c r="BO41" t="n">
        <v>2904351.82901673</v>
      </c>
      <c r="BP41" t="n">
        <v>50526126.1871192</v>
      </c>
      <c r="BQ41" t="n">
        <v>26898612.5241154</v>
      </c>
      <c r="BR41" t="n">
        <v>2683141.71207083</v>
      </c>
      <c r="BS41" t="n">
        <v>27458296.3573176</v>
      </c>
      <c r="BT41" t="n">
        <v>352614.268242247</v>
      </c>
      <c r="BU41" t="n">
        <v>470401001.176569</v>
      </c>
      <c r="BV41" t="n">
        <v>0</v>
      </c>
      <c r="BW41" t="n">
        <v>3027745.72484908</v>
      </c>
      <c r="BX41" t="n">
        <v>363020.533336497</v>
      </c>
      <c r="BY41" t="n">
        <v>28995.7083593062</v>
      </c>
      <c r="BZ41" t="n">
        <v>207482.358861423</v>
      </c>
      <c r="CA41" t="n">
        <v>357684217.613474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319722.89683111</v>
      </c>
      <c r="CJ41" t="n">
        <v>0</v>
      </c>
      <c r="CK41" t="n">
        <v>0</v>
      </c>
      <c r="CL41" t="n">
        <v>0</v>
      </c>
      <c r="CM41" t="n">
        <v>192027.036553211</v>
      </c>
      <c r="CN41" t="n">
        <v>54864.8675866317</v>
      </c>
    </row>
    <row r="42">
      <c r="A42" t="s">
        <v>153</v>
      </c>
      <c r="B42" t="n">
        <v>35417747.8195517</v>
      </c>
      <c r="C42" t="n">
        <v>120416.047558511</v>
      </c>
      <c r="D42" t="n">
        <v>37308566.0076295</v>
      </c>
      <c r="E42" t="n">
        <v>6974087.9422493</v>
      </c>
      <c r="F42" t="n">
        <v>11948255.1165053</v>
      </c>
      <c r="G42" t="n">
        <v>24959959.287056</v>
      </c>
      <c r="H42" t="n">
        <v>15479142.4007264</v>
      </c>
      <c r="I42" t="n">
        <v>3870556.01141611</v>
      </c>
      <c r="J42" t="n">
        <v>25301551.9050769</v>
      </c>
      <c r="K42" t="n">
        <v>13697037.6024705</v>
      </c>
      <c r="L42" t="n">
        <v>14365130.062644</v>
      </c>
      <c r="M42" t="n">
        <v>9079906.50210656</v>
      </c>
      <c r="N42" t="n">
        <v>154355.103550774</v>
      </c>
      <c r="O42" t="n">
        <v>1121279.44861038</v>
      </c>
      <c r="P42" t="n">
        <v>5006027.08908598</v>
      </c>
      <c r="Q42" t="n">
        <v>1637072.03126057</v>
      </c>
      <c r="R42" t="n">
        <v>830578.206148527</v>
      </c>
      <c r="S42" t="n">
        <v>602833.916768858</v>
      </c>
      <c r="T42" t="n">
        <v>34789545.0344155</v>
      </c>
      <c r="U42" t="n">
        <v>119721.087656407</v>
      </c>
      <c r="V42" t="n">
        <v>9462.62831071594</v>
      </c>
      <c r="W42" t="n">
        <v>29269823.6263317</v>
      </c>
      <c r="X42" t="n">
        <v>339670.73914799</v>
      </c>
      <c r="Y42" t="n">
        <v>43882101.1469878</v>
      </c>
      <c r="Z42" t="n">
        <v>9930154.11173355</v>
      </c>
      <c r="AA42" t="n">
        <v>22952076.0691397</v>
      </c>
      <c r="AB42" t="n">
        <v>1906712.56018922</v>
      </c>
      <c r="AC42" t="n">
        <v>298200.144767325</v>
      </c>
      <c r="AD42" t="n">
        <v>626183.841212001</v>
      </c>
      <c r="AE42" t="n">
        <v>434625.376346672</v>
      </c>
      <c r="AF42" t="n">
        <v>741332.024912998</v>
      </c>
      <c r="AG42" t="n">
        <v>969742.676707998</v>
      </c>
      <c r="AH42" t="n">
        <v>3583040.4448175</v>
      </c>
      <c r="AI42" t="n">
        <v>250.39982919978</v>
      </c>
      <c r="AJ42" t="n">
        <v>43417720.7584462</v>
      </c>
      <c r="AK42" t="n">
        <v>24293.820014972</v>
      </c>
      <c r="AL42" t="n">
        <v>844077.796508421</v>
      </c>
      <c r="AM42" t="n">
        <v>1489199.30934731</v>
      </c>
      <c r="AN42" t="n">
        <v>301364.095158913</v>
      </c>
      <c r="AO42" t="n">
        <v>166277.503695184</v>
      </c>
      <c r="AP42" t="n">
        <v>7366.22725470712</v>
      </c>
      <c r="AQ42" t="n">
        <v>1826765.59152177</v>
      </c>
      <c r="AR42" t="n">
        <v>58264.9531128989</v>
      </c>
      <c r="AS42" t="n">
        <v>263601.2558489</v>
      </c>
      <c r="AT42" t="n">
        <v>82519.4567732863</v>
      </c>
      <c r="AU42" t="n">
        <v>553718.781680986</v>
      </c>
      <c r="AV42" t="n">
        <v>2129.05706188439</v>
      </c>
      <c r="AW42" t="n">
        <v>397626.562093642</v>
      </c>
      <c r="AX42" t="n">
        <v>1017071.60762242</v>
      </c>
      <c r="AY42" t="n">
        <v>469409.49905094</v>
      </c>
      <c r="AZ42" t="n">
        <v>173033.874283989</v>
      </c>
      <c r="BA42" t="n">
        <v>100029.592432643</v>
      </c>
      <c r="BB42" t="n">
        <v>3378489.76257046</v>
      </c>
      <c r="BC42" t="n">
        <v>178464.254636299</v>
      </c>
      <c r="BD42" t="n">
        <v>4548865.48741056</v>
      </c>
      <c r="BE42" t="n">
        <v>300314.844388805</v>
      </c>
      <c r="BF42" t="n">
        <v>240695.987208415</v>
      </c>
      <c r="BG42" t="n">
        <v>2872161.94583525</v>
      </c>
      <c r="BH42" t="n">
        <v>1598173.53314212</v>
      </c>
      <c r="BI42" t="n">
        <v>549467.950730683</v>
      </c>
      <c r="BJ42" t="n">
        <v>1439053.73349859</v>
      </c>
      <c r="BK42" t="n">
        <v>57711.7230252796</v>
      </c>
      <c r="BL42" t="n">
        <v>453026.878146201</v>
      </c>
      <c r="BM42" t="n">
        <v>487190.752648695</v>
      </c>
      <c r="BN42" t="n">
        <v>7397884.73921296</v>
      </c>
      <c r="BO42" t="n">
        <v>1234947.36288569</v>
      </c>
      <c r="BP42" t="n">
        <v>2287785.58505221</v>
      </c>
      <c r="BQ42" t="n">
        <v>11277862.0295687</v>
      </c>
      <c r="BR42" t="n">
        <v>9294125.81131023</v>
      </c>
      <c r="BS42" t="n">
        <v>23654016.7569595</v>
      </c>
      <c r="BT42" t="n">
        <v>12758804.434094</v>
      </c>
      <c r="BU42" t="n">
        <v>45962053.2114689</v>
      </c>
      <c r="BV42" t="n">
        <v>0</v>
      </c>
      <c r="BW42" t="n">
        <v>56464814.5406057</v>
      </c>
      <c r="BX42" t="n">
        <v>0</v>
      </c>
      <c r="BY42" t="n">
        <v>210192.316515864</v>
      </c>
      <c r="BZ42" t="n">
        <v>11512178.5328749</v>
      </c>
      <c r="CA42" t="n">
        <v>244574655.920168</v>
      </c>
      <c r="CB42" t="n">
        <v>0</v>
      </c>
      <c r="CC42" t="n">
        <v>0</v>
      </c>
      <c r="CD42" t="n">
        <v>0</v>
      </c>
      <c r="CE42" t="n">
        <v>2007450.33205558</v>
      </c>
      <c r="CF42" t="n">
        <v>0</v>
      </c>
      <c r="CG42" t="n">
        <v>0</v>
      </c>
      <c r="CH42" t="n">
        <v>0</v>
      </c>
      <c r="CI42" t="n">
        <v>2945237.34849031</v>
      </c>
      <c r="CJ42" t="n">
        <v>0</v>
      </c>
      <c r="CK42" t="n">
        <v>0</v>
      </c>
      <c r="CL42" t="n">
        <v>0</v>
      </c>
      <c r="CM42" t="n">
        <v>5213191.60373023</v>
      </c>
      <c r="CN42" t="n">
        <v>0</v>
      </c>
    </row>
    <row r="43">
      <c r="A43" t="s">
        <v>154</v>
      </c>
      <c r="B43" t="n">
        <v>153507.99313823</v>
      </c>
      <c r="C43" t="n">
        <v>769.048508026622</v>
      </c>
      <c r="D43" t="n">
        <v>364359.577053249</v>
      </c>
      <c r="E43" t="n">
        <v>28123.2827538074</v>
      </c>
      <c r="F43" t="n">
        <v>85113.5103789419</v>
      </c>
      <c r="G43" t="n">
        <v>48052.47711738</v>
      </c>
      <c r="H43" t="n">
        <v>121516.685401145</v>
      </c>
      <c r="I43" t="n">
        <v>631.14058855164</v>
      </c>
      <c r="J43" t="n">
        <v>68535.1954588661</v>
      </c>
      <c r="K43" t="n">
        <v>36880.9346260706</v>
      </c>
      <c r="L43" t="n">
        <v>32127.3576931116</v>
      </c>
      <c r="M43" t="n">
        <v>16929.874192815</v>
      </c>
      <c r="N43" t="n">
        <v>598.523558374832</v>
      </c>
      <c r="O43" t="n">
        <v>4360.11437000011</v>
      </c>
      <c r="P43" t="n">
        <v>5324.41159000855</v>
      </c>
      <c r="Q43" t="n">
        <v>2379.48566210788</v>
      </c>
      <c r="R43" t="n">
        <v>694.415976330053</v>
      </c>
      <c r="S43" t="n">
        <v>2301.18288602884</v>
      </c>
      <c r="T43" t="n">
        <v>92970.0461061638</v>
      </c>
      <c r="U43" t="n">
        <v>834.120088038138</v>
      </c>
      <c r="V43" t="n">
        <v>0</v>
      </c>
      <c r="W43" t="n">
        <v>30908.6789836254</v>
      </c>
      <c r="X43" t="n">
        <v>61.9811254298217</v>
      </c>
      <c r="Y43" t="n">
        <v>34762.8862864873</v>
      </c>
      <c r="Z43" t="n">
        <v>28932.5687546912</v>
      </c>
      <c r="AA43" t="n">
        <v>33678.3468975759</v>
      </c>
      <c r="AB43" t="n">
        <v>2783.40585116377</v>
      </c>
      <c r="AC43" t="n">
        <v>2077.61837012508</v>
      </c>
      <c r="AD43" t="n">
        <v>1564.89749583824</v>
      </c>
      <c r="AE43" t="n">
        <v>1095.70112606823</v>
      </c>
      <c r="AF43" t="n">
        <v>2549.39315360112</v>
      </c>
      <c r="AG43" t="n">
        <v>2308.76494233979</v>
      </c>
      <c r="AH43" t="n">
        <v>3107.62597274163</v>
      </c>
      <c r="AI43" t="n">
        <v>0.553570012100615</v>
      </c>
      <c r="AJ43" t="n">
        <v>3377.02641726886</v>
      </c>
      <c r="AK43" t="n">
        <v>29.0915222922788</v>
      </c>
      <c r="AL43" t="n">
        <v>8984.63816665545</v>
      </c>
      <c r="AM43" t="n">
        <v>976.405478638579</v>
      </c>
      <c r="AN43" t="n">
        <v>577.407112558162</v>
      </c>
      <c r="AO43" t="n">
        <v>199.115071342083</v>
      </c>
      <c r="AP43" t="n">
        <v>0</v>
      </c>
      <c r="AQ43" t="n">
        <v>2091.2209653188</v>
      </c>
      <c r="AR43" t="n">
        <v>227.403396562965</v>
      </c>
      <c r="AS43" t="n">
        <v>360.75309010745</v>
      </c>
      <c r="AT43" t="n">
        <v>70.269111580361</v>
      </c>
      <c r="AU43" t="n">
        <v>0</v>
      </c>
      <c r="AV43" t="n">
        <v>8.15845490768233</v>
      </c>
      <c r="AW43" t="n">
        <v>1470.22511832486</v>
      </c>
      <c r="AX43" t="n">
        <v>2916.82491619607</v>
      </c>
      <c r="AY43" t="n">
        <v>1301.73201832488</v>
      </c>
      <c r="AZ43" t="n">
        <v>0</v>
      </c>
      <c r="BA43" t="n">
        <v>348.46280667694</v>
      </c>
      <c r="BB43" t="n">
        <v>130677.065148164</v>
      </c>
      <c r="BC43" t="n">
        <v>10163.0284165585</v>
      </c>
      <c r="BD43" t="n">
        <v>20252.4294394821</v>
      </c>
      <c r="BE43" t="n">
        <v>1746.74019674295</v>
      </c>
      <c r="BF43" t="n">
        <v>23194.0539924419</v>
      </c>
      <c r="BG43" t="n">
        <v>21985.3526841917</v>
      </c>
      <c r="BH43" t="n">
        <v>25857.4466630331</v>
      </c>
      <c r="BI43" t="n">
        <v>1114.69632746209</v>
      </c>
      <c r="BJ43" t="n">
        <v>1674.41049278342</v>
      </c>
      <c r="BK43" t="n">
        <v>195.131325440185</v>
      </c>
      <c r="BL43" t="n">
        <v>1225.3972754059</v>
      </c>
      <c r="BM43" t="n">
        <v>583.404365082841</v>
      </c>
      <c r="BN43" t="n">
        <v>9973.30907879591</v>
      </c>
      <c r="BO43" t="n">
        <v>5197.28534084851</v>
      </c>
      <c r="BP43" t="n">
        <v>214172.125954306</v>
      </c>
      <c r="BQ43" t="n">
        <v>44726.5276570204</v>
      </c>
      <c r="BR43" t="n">
        <v>163174.872536331</v>
      </c>
      <c r="BS43" t="n">
        <v>132839.545109226</v>
      </c>
      <c r="BT43" t="n">
        <v>29099.1487070374</v>
      </c>
      <c r="BU43" t="n">
        <v>2800170.59782643</v>
      </c>
      <c r="BV43" t="n">
        <v>0</v>
      </c>
      <c r="BW43" t="n">
        <v>8.87709497718626</v>
      </c>
      <c r="BX43" t="n">
        <v>0</v>
      </c>
      <c r="BY43" t="n">
        <v>0</v>
      </c>
      <c r="BZ43" t="n">
        <v>7687.8962419101</v>
      </c>
      <c r="CA43" t="n">
        <v>757133.781501663</v>
      </c>
      <c r="CB43" t="n">
        <v>0</v>
      </c>
      <c r="CC43" t="n">
        <v>0</v>
      </c>
      <c r="CD43" t="n">
        <v>0</v>
      </c>
      <c r="CE43" t="n">
        <v>842.240491940143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80490172.3691401</v>
      </c>
      <c r="C44" t="n">
        <v>1126351.76165029</v>
      </c>
      <c r="D44" t="n">
        <v>57275177.0228601</v>
      </c>
      <c r="E44" t="n">
        <v>5314383.91478772</v>
      </c>
      <c r="F44" t="n">
        <v>24378565.351289</v>
      </c>
      <c r="G44" t="n">
        <v>10204612.7463637</v>
      </c>
      <c r="H44" t="n">
        <v>98243913.418765</v>
      </c>
      <c r="I44" t="n">
        <v>6197193.02159095</v>
      </c>
      <c r="J44" t="n">
        <v>29134761.1025579</v>
      </c>
      <c r="K44" t="n">
        <v>22139492.2089186</v>
      </c>
      <c r="L44" t="n">
        <v>37204751.8666948</v>
      </c>
      <c r="M44" t="n">
        <v>40472530.7252361</v>
      </c>
      <c r="N44" t="n">
        <v>1508304.27844686</v>
      </c>
      <c r="O44" t="n">
        <v>3948265.72990966</v>
      </c>
      <c r="P44" t="n">
        <v>18904921.0517393</v>
      </c>
      <c r="Q44" t="n">
        <v>6689781.61418483</v>
      </c>
      <c r="R44" t="n">
        <v>2366419.34523562</v>
      </c>
      <c r="S44" t="n">
        <v>2242012.93720569</v>
      </c>
      <c r="T44" t="n">
        <v>108080995.449375</v>
      </c>
      <c r="U44" t="n">
        <v>821975.303279845</v>
      </c>
      <c r="V44" t="n">
        <v>436824.717491907</v>
      </c>
      <c r="W44" t="n">
        <v>26178857.8974427</v>
      </c>
      <c r="X44" t="n">
        <v>1513816.1009325</v>
      </c>
      <c r="Y44" t="n">
        <v>59397680.0031224</v>
      </c>
      <c r="Z44" t="n">
        <v>10148048.9224742</v>
      </c>
      <c r="AA44" t="n">
        <v>23934514.6512451</v>
      </c>
      <c r="AB44" t="n">
        <v>28122717.0033323</v>
      </c>
      <c r="AC44" t="n">
        <v>12942991.905016</v>
      </c>
      <c r="AD44" t="n">
        <v>5199403.55092765</v>
      </c>
      <c r="AE44" t="n">
        <v>7876475.49196631</v>
      </c>
      <c r="AF44" t="n">
        <v>24698017.4483264</v>
      </c>
      <c r="AG44" t="n">
        <v>7191939.36545443</v>
      </c>
      <c r="AH44" t="n">
        <v>4093384.30660379</v>
      </c>
      <c r="AI44" t="n">
        <v>1443.38301178545</v>
      </c>
      <c r="AJ44" t="n">
        <v>68336949.3299689</v>
      </c>
      <c r="AK44" t="n">
        <v>149306.523540496</v>
      </c>
      <c r="AL44" t="n">
        <v>7887950.39777779</v>
      </c>
      <c r="AM44" t="n">
        <v>14387309.0668875</v>
      </c>
      <c r="AN44" t="n">
        <v>6212718.4411983</v>
      </c>
      <c r="AO44" t="n">
        <v>2691162.87150643</v>
      </c>
      <c r="AP44" t="n">
        <v>116454.878040028</v>
      </c>
      <c r="AQ44" t="n">
        <v>5067601.70400445</v>
      </c>
      <c r="AR44" t="n">
        <v>735537.747507963</v>
      </c>
      <c r="AS44" t="n">
        <v>664394.764302091</v>
      </c>
      <c r="AT44" t="n">
        <v>235403.24628571</v>
      </c>
      <c r="AU44" t="n">
        <v>718335.141054478</v>
      </c>
      <c r="AV44" t="n">
        <v>9963.03335276236</v>
      </c>
      <c r="AW44" t="n">
        <v>560243.487311812</v>
      </c>
      <c r="AX44" t="n">
        <v>2212168.48679469</v>
      </c>
      <c r="AY44" t="n">
        <v>2562209.77682384</v>
      </c>
      <c r="AZ44" t="n">
        <v>431772.349355006</v>
      </c>
      <c r="BA44" t="n">
        <v>802199.865568762</v>
      </c>
      <c r="BB44" t="n">
        <v>12185852.2282198</v>
      </c>
      <c r="BC44" t="n">
        <v>1097208.96937105</v>
      </c>
      <c r="BD44" t="n">
        <v>10178648.9706144</v>
      </c>
      <c r="BE44" t="n">
        <v>1926236.78161805</v>
      </c>
      <c r="BF44" t="n">
        <v>1132616.84698246</v>
      </c>
      <c r="BG44" t="n">
        <v>8439299.69994935</v>
      </c>
      <c r="BH44" t="n">
        <v>8947533.09188589</v>
      </c>
      <c r="BI44" t="n">
        <v>2162477.88863891</v>
      </c>
      <c r="BJ44" t="n">
        <v>3956916.64613275</v>
      </c>
      <c r="BK44" t="n">
        <v>457264.289300413</v>
      </c>
      <c r="BL44" t="n">
        <v>2487333.21178539</v>
      </c>
      <c r="BM44" t="n">
        <v>1495499.53782233</v>
      </c>
      <c r="BN44" t="n">
        <v>17461011.4100973</v>
      </c>
      <c r="BO44" t="n">
        <v>9755053.91327926</v>
      </c>
      <c r="BP44" t="n">
        <v>29771339.877045</v>
      </c>
      <c r="BQ44" t="n">
        <v>5355242.78041583</v>
      </c>
      <c r="BR44" t="n">
        <v>7147646.43093375</v>
      </c>
      <c r="BS44" t="n">
        <v>43338269.3749163</v>
      </c>
      <c r="BT44" t="n">
        <v>7027851.92548784</v>
      </c>
      <c r="BU44" t="n">
        <v>326597371.235823</v>
      </c>
      <c r="BV44" t="n">
        <v>78344.6796990256</v>
      </c>
      <c r="BW44" t="n">
        <v>145384785.206415</v>
      </c>
      <c r="BX44" t="n">
        <v>5590535.85998099</v>
      </c>
      <c r="BY44" t="n">
        <v>2474351.60776407</v>
      </c>
      <c r="BZ44" t="n">
        <v>19834261.41047</v>
      </c>
      <c r="CA44" t="n">
        <v>430621531.965694</v>
      </c>
      <c r="CB44" t="n">
        <v>0</v>
      </c>
      <c r="CC44" t="n">
        <v>0</v>
      </c>
      <c r="CD44" t="n">
        <v>0</v>
      </c>
      <c r="CE44" t="n">
        <v>7644529.36705395</v>
      </c>
      <c r="CF44" t="n">
        <v>342845.559492116</v>
      </c>
      <c r="CG44" t="n">
        <v>0</v>
      </c>
      <c r="CH44" t="n">
        <v>0</v>
      </c>
      <c r="CI44" t="n">
        <v>0</v>
      </c>
      <c r="CJ44" t="n">
        <v>426240.425314523</v>
      </c>
      <c r="CK44" t="n">
        <v>0</v>
      </c>
      <c r="CL44" t="n">
        <v>0</v>
      </c>
      <c r="CM44" t="n">
        <v>5159117.17869592</v>
      </c>
      <c r="CN44" t="n">
        <v>474638.780440024</v>
      </c>
    </row>
    <row r="45">
      <c r="A45" t="s">
        <v>156</v>
      </c>
      <c r="B45" t="n">
        <v>0</v>
      </c>
      <c r="C45" t="n">
        <v>6713.959368477</v>
      </c>
      <c r="D45" t="n">
        <v>107828.396766222</v>
      </c>
      <c r="E45" t="n">
        <v>50885.4559555246</v>
      </c>
      <c r="F45" t="n">
        <v>10659057.6260108</v>
      </c>
      <c r="G45" t="n">
        <v>14066069.5546074</v>
      </c>
      <c r="H45" t="n">
        <v>4938913.11168686</v>
      </c>
      <c r="I45" t="n">
        <v>352639.582911571</v>
      </c>
      <c r="J45" t="n">
        <v>1818914.2023806</v>
      </c>
      <c r="K45" t="n">
        <v>527579.253437552</v>
      </c>
      <c r="L45" t="n">
        <v>3515922.76056719</v>
      </c>
      <c r="M45" t="n">
        <v>2854097.03676056</v>
      </c>
      <c r="N45" t="n">
        <v>59014.4727376651</v>
      </c>
      <c r="O45" t="n">
        <v>77513.6502894632</v>
      </c>
      <c r="P45" t="n">
        <v>649456.276469315</v>
      </c>
      <c r="Q45" t="n">
        <v>287050.937590339</v>
      </c>
      <c r="R45" t="n">
        <v>193996.840562985</v>
      </c>
      <c r="S45" t="n">
        <v>278166.779848105</v>
      </c>
      <c r="T45" t="n">
        <v>1605300.47255362</v>
      </c>
      <c r="U45" t="n">
        <v>18725.2670538853</v>
      </c>
      <c r="V45" t="n">
        <v>6331.21946304806</v>
      </c>
      <c r="W45" t="n">
        <v>1133713.88482947</v>
      </c>
      <c r="X45" t="n">
        <v>333322.894586618</v>
      </c>
      <c r="Y45" t="n">
        <v>933807.680219765</v>
      </c>
      <c r="Z45" t="n">
        <v>343295.808404306</v>
      </c>
      <c r="AA45" t="n">
        <v>2724437.21176719</v>
      </c>
      <c r="AB45" t="n">
        <v>12862658.9306536</v>
      </c>
      <c r="AC45" t="n">
        <v>1463136.56085471</v>
      </c>
      <c r="AD45" t="n">
        <v>43718.056661365</v>
      </c>
      <c r="AE45" t="n">
        <v>443848.813478895</v>
      </c>
      <c r="AF45" t="n">
        <v>1263335.6468127</v>
      </c>
      <c r="AG45" t="n">
        <v>7678.48227663583</v>
      </c>
      <c r="AH45" t="n">
        <v>6195561.42554021</v>
      </c>
      <c r="AI45" t="n">
        <v>0</v>
      </c>
      <c r="AJ45" t="n">
        <v>0</v>
      </c>
      <c r="AK45" t="n">
        <v>0</v>
      </c>
      <c r="AL45" t="n">
        <v>502002.10748156</v>
      </c>
      <c r="AM45" t="n">
        <v>1310837.21608466</v>
      </c>
      <c r="AN45" t="n">
        <v>60490.6637590296</v>
      </c>
      <c r="AO45" t="n">
        <v>1752224.06462903</v>
      </c>
      <c r="AP45" t="n">
        <v>193446.270258056</v>
      </c>
      <c r="AQ45" t="n">
        <v>4420069.82090201</v>
      </c>
      <c r="AR45" t="n">
        <v>2086349.54168776</v>
      </c>
      <c r="AS45" t="n">
        <v>23381533.8425514</v>
      </c>
      <c r="AT45" t="n">
        <v>4480744.72278966</v>
      </c>
      <c r="AU45" t="n">
        <v>6788502.32104365</v>
      </c>
      <c r="AV45" t="n">
        <v>148148.148148148</v>
      </c>
      <c r="AW45" t="n">
        <v>56008.9415082155</v>
      </c>
      <c r="AX45" t="n">
        <v>33513463.2921488</v>
      </c>
      <c r="AY45" t="n">
        <v>8231959.06517277</v>
      </c>
      <c r="AZ45" t="n">
        <v>4055178.68898225</v>
      </c>
      <c r="BA45" t="n">
        <v>7428943.65794928</v>
      </c>
      <c r="BB45" t="n">
        <v>29058819.9139521</v>
      </c>
      <c r="BC45" t="n">
        <v>1744657.06071768</v>
      </c>
      <c r="BD45" t="n">
        <v>34532446.6257669</v>
      </c>
      <c r="BE45" t="n">
        <v>1786873.06311526</v>
      </c>
      <c r="BF45" t="n">
        <v>2486708.17932581</v>
      </c>
      <c r="BG45" t="n">
        <v>23376747.6887455</v>
      </c>
      <c r="BH45" t="n">
        <v>32269094.3516988</v>
      </c>
      <c r="BI45" t="n">
        <v>5899475.43629577</v>
      </c>
      <c r="BJ45" t="n">
        <v>2588354.29940642</v>
      </c>
      <c r="BK45" t="n">
        <v>11238811.7487136</v>
      </c>
      <c r="BL45" t="n">
        <v>649010.941236142</v>
      </c>
      <c r="BM45" t="n">
        <v>602134.855101842</v>
      </c>
      <c r="BN45" t="n">
        <v>13487801.2656523</v>
      </c>
      <c r="BO45" t="n">
        <v>3381513.98724323</v>
      </c>
      <c r="BP45" t="n">
        <v>497151.370141303</v>
      </c>
      <c r="BQ45" t="n">
        <v>94659.9356408568</v>
      </c>
      <c r="BR45" t="n">
        <v>260135.552680568</v>
      </c>
      <c r="BS45" t="n">
        <v>244282297.86956</v>
      </c>
      <c r="BT45" t="n">
        <v>8177727.97134338</v>
      </c>
      <c r="BU45" t="n">
        <v>428863647.486944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1330081.97907671</v>
      </c>
      <c r="C46" t="n">
        <v>9285.44378855546</v>
      </c>
      <c r="D46" t="n">
        <v>193805816.636336</v>
      </c>
      <c r="E46" t="n">
        <v>202679.635546736</v>
      </c>
      <c r="F46" t="n">
        <v>944970.320306557</v>
      </c>
      <c r="G46" t="n">
        <v>26765141.6196505</v>
      </c>
      <c r="H46" t="n">
        <v>1075839.59841954</v>
      </c>
      <c r="I46" t="n">
        <v>19812.9156105456</v>
      </c>
      <c r="J46" t="n">
        <v>48546.0613151217</v>
      </c>
      <c r="K46" t="n">
        <v>27468.9917027811</v>
      </c>
      <c r="L46" t="n">
        <v>97739.5189549136</v>
      </c>
      <c r="M46" t="n">
        <v>90222.4536669128</v>
      </c>
      <c r="N46" t="n">
        <v>2040.4337412647</v>
      </c>
      <c r="O46" t="n">
        <v>10720.1816857558</v>
      </c>
      <c r="P46" t="n">
        <v>10140.9869855682</v>
      </c>
      <c r="Q46" t="n">
        <v>6268.31164075141</v>
      </c>
      <c r="R46" t="n">
        <v>5589.55683270929</v>
      </c>
      <c r="S46" t="n">
        <v>14533.3464728735</v>
      </c>
      <c r="T46" t="n">
        <v>105531.301035187</v>
      </c>
      <c r="U46" t="n">
        <v>4603.93782531223</v>
      </c>
      <c r="V46" t="n">
        <v>0</v>
      </c>
      <c r="W46" t="n">
        <v>124575.476091304</v>
      </c>
      <c r="X46" t="n">
        <v>10776.3299736944</v>
      </c>
      <c r="Y46" t="n">
        <v>98168278.6218563</v>
      </c>
      <c r="Z46" t="n">
        <v>319608.030361986</v>
      </c>
      <c r="AA46" t="n">
        <v>93612.7223963987</v>
      </c>
      <c r="AB46" t="n">
        <v>208361.347135079</v>
      </c>
      <c r="AC46" t="n">
        <v>53514.7409153517</v>
      </c>
      <c r="AD46" t="n">
        <v>18138.6959048311</v>
      </c>
      <c r="AE46" t="n">
        <v>21167.0834470927</v>
      </c>
      <c r="AF46" t="n">
        <v>79738.0023876659</v>
      </c>
      <c r="AG46" t="n">
        <v>1170256.1638555</v>
      </c>
      <c r="AH46" t="n">
        <v>513018.261832119</v>
      </c>
      <c r="AI46" t="n">
        <v>281.609502972487</v>
      </c>
      <c r="AJ46" t="n">
        <v>1254027.22632943</v>
      </c>
      <c r="AK46" t="n">
        <v>14049.96913194</v>
      </c>
      <c r="AL46" t="n">
        <v>173567.938638485</v>
      </c>
      <c r="AM46" t="n">
        <v>425454.038091266</v>
      </c>
      <c r="AN46" t="n">
        <v>206358.694454325</v>
      </c>
      <c r="AO46" t="n">
        <v>15386.2590095003</v>
      </c>
      <c r="AP46" t="n">
        <v>681.623658913796</v>
      </c>
      <c r="AQ46" t="n">
        <v>19136.2901238966</v>
      </c>
      <c r="AR46" t="n">
        <v>5191.78295454858</v>
      </c>
      <c r="AS46" t="n">
        <v>129625.939771311</v>
      </c>
      <c r="AT46" t="n">
        <v>44118.0935919411</v>
      </c>
      <c r="AU46" t="n">
        <v>3013.97660149492</v>
      </c>
      <c r="AV46" t="n">
        <v>2521.71971676153</v>
      </c>
      <c r="AW46" t="n">
        <v>10328.0910609979</v>
      </c>
      <c r="AX46" t="n">
        <v>130679.635704301</v>
      </c>
      <c r="AY46" t="n">
        <v>75441.7503151838</v>
      </c>
      <c r="AZ46" t="n">
        <v>1730.96761347617</v>
      </c>
      <c r="BA46" t="n">
        <v>20195.1274804465</v>
      </c>
      <c r="BB46" t="n">
        <v>50288.0237723838</v>
      </c>
      <c r="BC46" t="n">
        <v>29358.1211836245</v>
      </c>
      <c r="BD46" t="n">
        <v>348070.926894842</v>
      </c>
      <c r="BE46" t="n">
        <v>53593.4939620713</v>
      </c>
      <c r="BF46" t="n">
        <v>35373.923791376</v>
      </c>
      <c r="BG46" t="n">
        <v>51481.1692668308</v>
      </c>
      <c r="BH46" t="n">
        <v>76242.8195084746</v>
      </c>
      <c r="BI46" t="n">
        <v>35890.064088043</v>
      </c>
      <c r="BJ46" t="n">
        <v>38816.1177703059</v>
      </c>
      <c r="BK46" t="n">
        <v>6282.67592087426</v>
      </c>
      <c r="BL46" t="n">
        <v>31563.4568189619</v>
      </c>
      <c r="BM46" t="n">
        <v>21288.4969724187</v>
      </c>
      <c r="BN46" t="n">
        <v>204344.191191645</v>
      </c>
      <c r="BO46" t="n">
        <v>124182.310612433</v>
      </c>
      <c r="BP46" t="n">
        <v>632075.604319973</v>
      </c>
      <c r="BQ46" t="n">
        <v>78549.1358987034</v>
      </c>
      <c r="BR46" t="n">
        <v>1733743.65846602</v>
      </c>
      <c r="BS46" t="n">
        <v>5338516.46545389</v>
      </c>
      <c r="BT46" t="n">
        <v>14734027.599815</v>
      </c>
      <c r="BU46" t="n">
        <v>7011922.27343138</v>
      </c>
      <c r="BV46" t="n">
        <v>0</v>
      </c>
      <c r="BW46" t="n">
        <v>0</v>
      </c>
      <c r="BX46" t="n">
        <v>0</v>
      </c>
      <c r="BY46" t="n">
        <v>0</v>
      </c>
      <c r="BZ46" t="n">
        <v>237524505.122626</v>
      </c>
      <c r="CA46" t="n">
        <v>1084915726.94238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248416.496633649</v>
      </c>
      <c r="D47" t="n">
        <v>2264396.33209067</v>
      </c>
      <c r="E47" t="n">
        <v>5383681.2400945</v>
      </c>
      <c r="F47" t="n">
        <v>546618.339795426</v>
      </c>
      <c r="G47" t="n">
        <v>114440579.19951</v>
      </c>
      <c r="H47" t="n">
        <v>0</v>
      </c>
      <c r="I47" t="n">
        <v>3592515.75091163</v>
      </c>
      <c r="J47" t="n">
        <v>13386570.3140116</v>
      </c>
      <c r="K47" t="n">
        <v>831713.176007436</v>
      </c>
      <c r="L47" t="n">
        <v>1572447.86779136</v>
      </c>
      <c r="M47" t="n">
        <v>387341.740703218</v>
      </c>
      <c r="N47" t="n">
        <v>0</v>
      </c>
      <c r="O47" t="n">
        <v>22146.7572255609</v>
      </c>
      <c r="P47" t="n">
        <v>57613.0567835683</v>
      </c>
      <c r="Q47" t="n">
        <v>0</v>
      </c>
      <c r="R47" t="n">
        <v>969984.202814923</v>
      </c>
      <c r="S47" t="n">
        <v>553242.817697898</v>
      </c>
      <c r="T47" t="n">
        <v>3656917.66841812</v>
      </c>
      <c r="U47" t="n">
        <v>118593.35800794</v>
      </c>
      <c r="V47" t="n">
        <v>0</v>
      </c>
      <c r="W47" t="n">
        <v>8774634.86203632</v>
      </c>
      <c r="X47" t="n">
        <v>1515104.06630281</v>
      </c>
      <c r="Y47" t="n">
        <v>16590649.7852378</v>
      </c>
      <c r="Z47" t="n">
        <v>524712.292520402</v>
      </c>
      <c r="AA47" t="n">
        <v>9053254.08879158</v>
      </c>
      <c r="AB47" t="n">
        <v>505547855.477212</v>
      </c>
      <c r="AC47" t="n">
        <v>22950687.5413408</v>
      </c>
      <c r="AD47" t="n">
        <v>11738298.2135765</v>
      </c>
      <c r="AE47" t="n">
        <v>7836227.32762739</v>
      </c>
      <c r="AF47" t="n">
        <v>109511699.424381</v>
      </c>
      <c r="AG47" t="n">
        <v>216494807.789747</v>
      </c>
      <c r="AH47" t="n">
        <v>24644128.0907634</v>
      </c>
      <c r="AI47" t="n">
        <v>51266.1898318191</v>
      </c>
      <c r="AJ47" t="n">
        <v>643549890.076069</v>
      </c>
      <c r="AK47" t="n">
        <v>1224160.77738516</v>
      </c>
      <c r="AL47" t="n">
        <v>114707481.559536</v>
      </c>
      <c r="AM47" t="n">
        <v>218083911.869067</v>
      </c>
      <c r="AN47" t="n">
        <v>57254413.2479215</v>
      </c>
      <c r="AO47" t="n">
        <v>8997531.50646811</v>
      </c>
      <c r="AP47" t="n">
        <v>1320856.0618894</v>
      </c>
      <c r="AQ47" t="n">
        <v>968571.821623745</v>
      </c>
      <c r="AR47" t="n">
        <v>6199851.16401886</v>
      </c>
      <c r="AS47" t="n">
        <v>5603505.52433559</v>
      </c>
      <c r="AT47" t="n">
        <v>10909852.7040103</v>
      </c>
      <c r="AU47" t="n">
        <v>370480.062464662</v>
      </c>
      <c r="AV47" t="n">
        <v>0</v>
      </c>
      <c r="AW47" t="n">
        <v>0</v>
      </c>
      <c r="AX47" t="n">
        <v>0</v>
      </c>
      <c r="AY47" t="n">
        <v>35192451.5055278</v>
      </c>
      <c r="AZ47" t="n">
        <v>4130274.59063007</v>
      </c>
      <c r="BA47" t="n">
        <v>2978270.2052139</v>
      </c>
      <c r="BB47" t="n">
        <v>53687609.0964966</v>
      </c>
      <c r="BC47" t="n">
        <v>3767928.55698724</v>
      </c>
      <c r="BD47" t="n">
        <v>27304044.6625767</v>
      </c>
      <c r="BE47" t="n">
        <v>12185182.5749788</v>
      </c>
      <c r="BF47" t="n">
        <v>1799903.06313106</v>
      </c>
      <c r="BG47" t="n">
        <v>20426736.1372597</v>
      </c>
      <c r="BH47" t="n">
        <v>47106224.3319644</v>
      </c>
      <c r="BI47" t="n">
        <v>3200595.17804903</v>
      </c>
      <c r="BJ47" t="n">
        <v>10189695.9919403</v>
      </c>
      <c r="BK47" t="n">
        <v>2639349.0808418</v>
      </c>
      <c r="BL47" t="n">
        <v>4543076.588653</v>
      </c>
      <c r="BM47" t="n">
        <v>525170.249562509</v>
      </c>
      <c r="BN47" t="n">
        <v>9983928.01041246</v>
      </c>
      <c r="BO47" t="n">
        <v>10583947.7340833</v>
      </c>
      <c r="BP47" t="n">
        <v>34887.8154485125</v>
      </c>
      <c r="BQ47" t="n">
        <v>3448326.22691693</v>
      </c>
      <c r="BR47" t="n">
        <v>15930205.7498672</v>
      </c>
      <c r="BS47" t="n">
        <v>11593792.8019707</v>
      </c>
      <c r="BT47" t="n">
        <v>26541324.2146855</v>
      </c>
      <c r="BU47" t="n">
        <v>138290766.678923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86258449.2777005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5353654.91529925</v>
      </c>
      <c r="C48" t="n">
        <v>0</v>
      </c>
      <c r="D48" t="n">
        <v>254980.411693833</v>
      </c>
      <c r="E48" t="n">
        <v>589608.071710466</v>
      </c>
      <c r="F48" t="n">
        <v>0</v>
      </c>
      <c r="G48" t="n">
        <v>3593882.01236492</v>
      </c>
      <c r="H48" t="n">
        <v>0</v>
      </c>
      <c r="I48" t="n">
        <v>2558107.52509688</v>
      </c>
      <c r="J48" t="n">
        <v>10784348.3230457</v>
      </c>
      <c r="K48" t="n">
        <v>168787.505036333</v>
      </c>
      <c r="L48" t="n">
        <v>4150065.28485153</v>
      </c>
      <c r="M48" t="n">
        <v>3511110.96871093</v>
      </c>
      <c r="N48" t="n">
        <v>422528.685401586</v>
      </c>
      <c r="O48" t="n">
        <v>183295.523771438</v>
      </c>
      <c r="P48" t="n">
        <v>185777.520471594</v>
      </c>
      <c r="Q48" t="n">
        <v>247101.786403657</v>
      </c>
      <c r="R48" t="n">
        <v>159285.351892714</v>
      </c>
      <c r="S48" t="n">
        <v>571291.833423733</v>
      </c>
      <c r="T48" t="n">
        <v>10522785.6393616</v>
      </c>
      <c r="U48" t="n">
        <v>747829.802560041</v>
      </c>
      <c r="V48" t="n">
        <v>351826.785431404</v>
      </c>
      <c r="W48" t="n">
        <v>15687423.8705991</v>
      </c>
      <c r="X48" t="n">
        <v>1098709.06167281</v>
      </c>
      <c r="Y48" t="n">
        <v>7992322.98915753</v>
      </c>
      <c r="Z48" t="n">
        <v>2936953.49874732</v>
      </c>
      <c r="AA48" t="n">
        <v>20667832.0285832</v>
      </c>
      <c r="AB48" t="n">
        <v>88825538.3795753</v>
      </c>
      <c r="AC48" t="n">
        <v>34508053.2376376</v>
      </c>
      <c r="AD48" t="n">
        <v>17517085.6254735</v>
      </c>
      <c r="AE48" t="n">
        <v>24453623.9506085</v>
      </c>
      <c r="AF48" t="n">
        <v>78995503.9418903</v>
      </c>
      <c r="AG48" t="n">
        <v>466034.991929621</v>
      </c>
      <c r="AH48" t="n">
        <v>7776.30773314333</v>
      </c>
      <c r="AI48" t="n">
        <v>4561.05194971759</v>
      </c>
      <c r="AJ48" t="n">
        <v>32549673.8536428</v>
      </c>
      <c r="AK48" t="n">
        <v>108102.962890545</v>
      </c>
      <c r="AL48" t="n">
        <v>29182331.0798236</v>
      </c>
      <c r="AM48" t="n">
        <v>3246045.65312679</v>
      </c>
      <c r="AN48" t="n">
        <v>27448072.245054</v>
      </c>
      <c r="AO48" t="n">
        <v>1172884.61177273</v>
      </c>
      <c r="AP48" t="n">
        <v>138397.418038325</v>
      </c>
      <c r="AQ48" t="n">
        <v>1148214.20280847</v>
      </c>
      <c r="AR48" t="n">
        <v>782996.962338287</v>
      </c>
      <c r="AS48" t="n">
        <v>0</v>
      </c>
      <c r="AT48" t="n">
        <v>0</v>
      </c>
      <c r="AU48" t="n">
        <v>38650.1205856372</v>
      </c>
      <c r="AV48" t="n">
        <v>0</v>
      </c>
      <c r="AW48" t="n">
        <v>3678.98938204742</v>
      </c>
      <c r="AX48" t="n">
        <v>756752.058120978</v>
      </c>
      <c r="AY48" t="n">
        <v>2338787.30382871</v>
      </c>
      <c r="AZ48" t="n">
        <v>439013.031577826</v>
      </c>
      <c r="BA48" t="n">
        <v>298540.442171784</v>
      </c>
      <c r="BB48" t="n">
        <v>3033300.96014585</v>
      </c>
      <c r="BC48" t="n">
        <v>28758.7118037761</v>
      </c>
      <c r="BD48" t="n">
        <v>50267606.2266717</v>
      </c>
      <c r="BE48" t="n">
        <v>910694.358323178</v>
      </c>
      <c r="BF48" t="n">
        <v>347216.922348333</v>
      </c>
      <c r="BG48" t="n">
        <v>2593022.51520734</v>
      </c>
      <c r="BH48" t="n">
        <v>5738893.73541232</v>
      </c>
      <c r="BI48" t="n">
        <v>610245.341999779</v>
      </c>
      <c r="BJ48" t="n">
        <v>771226.210057157</v>
      </c>
      <c r="BK48" t="n">
        <v>451173.581839435</v>
      </c>
      <c r="BL48" t="n">
        <v>348541.688504445</v>
      </c>
      <c r="BM48" t="n">
        <v>1049160.35690886</v>
      </c>
      <c r="BN48" t="n">
        <v>4275883.25129836</v>
      </c>
      <c r="BO48" t="n">
        <v>2680466.22561584</v>
      </c>
      <c r="BP48" t="n">
        <v>1498727.56096843</v>
      </c>
      <c r="BQ48" t="n">
        <v>6827154.23372997</v>
      </c>
      <c r="BR48" t="n">
        <v>0</v>
      </c>
      <c r="BS48" t="n">
        <v>32988507.3073574</v>
      </c>
      <c r="BT48" t="n">
        <v>352809.363930275</v>
      </c>
      <c r="BU48" t="n">
        <v>921547.805506176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1722627.18510798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317634.086991565</v>
      </c>
      <c r="C49" t="n">
        <v>0</v>
      </c>
      <c r="D49" t="n">
        <v>647714.16716513</v>
      </c>
      <c r="E49" t="n">
        <v>2657.9455403214</v>
      </c>
      <c r="F49" t="n">
        <v>178450.029487183</v>
      </c>
      <c r="G49" t="n">
        <v>907930.866858571</v>
      </c>
      <c r="H49" t="n">
        <v>1574844.47431723</v>
      </c>
      <c r="I49" t="n">
        <v>28780.8418541487</v>
      </c>
      <c r="J49" t="n">
        <v>4167.06020332984</v>
      </c>
      <c r="K49" t="n">
        <v>21073.3969503156</v>
      </c>
      <c r="L49" t="n">
        <v>350689.088990937</v>
      </c>
      <c r="M49" t="n">
        <v>196999.369099766</v>
      </c>
      <c r="N49" t="n">
        <v>26972.3627747425</v>
      </c>
      <c r="O49" t="n">
        <v>2892.02845365629</v>
      </c>
      <c r="P49" t="n">
        <v>38300.8733230207</v>
      </c>
      <c r="Q49" t="n">
        <v>256472.696375847</v>
      </c>
      <c r="R49" t="n">
        <v>8444.34209356903</v>
      </c>
      <c r="S49" t="n">
        <v>21794.6013673058</v>
      </c>
      <c r="T49" t="n">
        <v>15040.5552643042</v>
      </c>
      <c r="U49" t="n">
        <v>0</v>
      </c>
      <c r="V49" t="n">
        <v>0</v>
      </c>
      <c r="W49" t="n">
        <v>28392.3315439063</v>
      </c>
      <c r="X49" t="n">
        <v>45222.7348719631</v>
      </c>
      <c r="Y49" t="n">
        <v>40647.0099126056</v>
      </c>
      <c r="Z49" t="n">
        <v>24054.688731483</v>
      </c>
      <c r="AA49" t="n">
        <v>35356.0164018559</v>
      </c>
      <c r="AB49" t="n">
        <v>6792708.43517655</v>
      </c>
      <c r="AC49" t="n">
        <v>1222173.51900269</v>
      </c>
      <c r="AD49" t="n">
        <v>146528.713191054</v>
      </c>
      <c r="AE49" t="n">
        <v>819432.790369039</v>
      </c>
      <c r="AF49" t="n">
        <v>1698440.19162205</v>
      </c>
      <c r="AG49" t="n">
        <v>36096.9330162105</v>
      </c>
      <c r="AH49" t="n">
        <v>319495.776014683</v>
      </c>
      <c r="AI49" t="n">
        <v>0</v>
      </c>
      <c r="AJ49" t="n">
        <v>116353.176403837</v>
      </c>
      <c r="AK49" t="n">
        <v>5571.7692283269</v>
      </c>
      <c r="AL49" t="n">
        <v>0</v>
      </c>
      <c r="AM49" t="n">
        <v>789583.324624904</v>
      </c>
      <c r="AN49" t="n">
        <v>318599.347642354</v>
      </c>
      <c r="AO49" t="n">
        <v>61342052.0996658</v>
      </c>
      <c r="AP49" t="n">
        <v>20916.8594034162</v>
      </c>
      <c r="AQ49" t="n">
        <v>1070066.84057609</v>
      </c>
      <c r="AR49" t="n">
        <v>918961.178773139</v>
      </c>
      <c r="AS49" t="n">
        <v>790955.22889078</v>
      </c>
      <c r="AT49" t="n">
        <v>590243.85076481</v>
      </c>
      <c r="AU49" t="n">
        <v>776910.486529454</v>
      </c>
      <c r="AV49" t="n">
        <v>11458.7176070237</v>
      </c>
      <c r="AW49" t="n">
        <v>0</v>
      </c>
      <c r="AX49" t="n">
        <v>895419.113825296</v>
      </c>
      <c r="AY49" t="n">
        <v>1513158.05464618</v>
      </c>
      <c r="AZ49" t="n">
        <v>1752072.96203084</v>
      </c>
      <c r="BA49" t="n">
        <v>815970.12987199</v>
      </c>
      <c r="BB49" t="n">
        <v>7486398.0549218</v>
      </c>
      <c r="BC49" t="n">
        <v>871454.508807641</v>
      </c>
      <c r="BD49" t="n">
        <v>6152670.17482325</v>
      </c>
      <c r="BE49" t="n">
        <v>44980.8863356104</v>
      </c>
      <c r="BF49" t="n">
        <v>778105.664906506</v>
      </c>
      <c r="BG49" t="n">
        <v>4175514.78793999</v>
      </c>
      <c r="BH49" t="n">
        <v>4436024.77543337</v>
      </c>
      <c r="BI49" t="n">
        <v>268842.791498088</v>
      </c>
      <c r="BJ49" t="n">
        <v>2125732.19648652</v>
      </c>
      <c r="BK49" t="n">
        <v>60508.068498607</v>
      </c>
      <c r="BL49" t="n">
        <v>126660.719579501</v>
      </c>
      <c r="BM49" t="n">
        <v>152529.641338403</v>
      </c>
      <c r="BN49" t="n">
        <v>449283.346644626</v>
      </c>
      <c r="BO49" t="n">
        <v>1247384.49870417</v>
      </c>
      <c r="BP49" t="n">
        <v>136674.485481635</v>
      </c>
      <c r="BQ49" t="n">
        <v>3669493.51626376</v>
      </c>
      <c r="BR49" t="n">
        <v>90585.9535097396</v>
      </c>
      <c r="BS49" t="n">
        <v>31807569.1815625</v>
      </c>
      <c r="BT49" t="n">
        <v>606610.055124496</v>
      </c>
      <c r="BU49" t="n">
        <v>237738414.832608</v>
      </c>
      <c r="BV49" t="n">
        <v>0</v>
      </c>
      <c r="BW49" t="n">
        <v>0</v>
      </c>
      <c r="BX49" t="n">
        <v>209324132.716906</v>
      </c>
      <c r="BY49" t="n">
        <v>0</v>
      </c>
      <c r="BZ49" t="n">
        <v>1836387.72237395</v>
      </c>
      <c r="CA49" t="n">
        <v>258041857.197098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28785923.3963667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59219.6792817692</v>
      </c>
      <c r="AC50" t="n">
        <v>511630.390733991</v>
      </c>
      <c r="AD50" t="n">
        <v>262957.474705024</v>
      </c>
      <c r="AE50" t="n">
        <v>0</v>
      </c>
      <c r="AF50" t="n">
        <v>89686.9658937529</v>
      </c>
      <c r="AG50" t="n">
        <v>8361.06045146025</v>
      </c>
      <c r="AH50" t="n">
        <v>0</v>
      </c>
      <c r="AI50" t="n">
        <v>0</v>
      </c>
      <c r="AJ50" t="n">
        <v>4076.56946839985</v>
      </c>
      <c r="AK50" t="n">
        <v>0</v>
      </c>
      <c r="AL50" t="n">
        <v>780896.502384753</v>
      </c>
      <c r="AM50" t="n">
        <v>15322.6523945292</v>
      </c>
      <c r="AN50" t="n">
        <v>0</v>
      </c>
      <c r="AO50" t="n">
        <v>103836.076578032</v>
      </c>
      <c r="AP50" t="n">
        <v>5846244.33797617</v>
      </c>
      <c r="AQ50" t="n">
        <v>45428662.1693098</v>
      </c>
      <c r="AR50" t="n">
        <v>42224.5480891911</v>
      </c>
      <c r="AS50" t="n">
        <v>32138.5894001031</v>
      </c>
      <c r="AT50" t="n">
        <v>11451.4009442327</v>
      </c>
      <c r="AU50" t="n">
        <v>0</v>
      </c>
      <c r="AV50" t="n">
        <v>0</v>
      </c>
      <c r="AW50" t="n">
        <v>0</v>
      </c>
      <c r="AX50" t="n">
        <v>45174.1723942045</v>
      </c>
      <c r="AY50" t="n">
        <v>302134.043717874</v>
      </c>
      <c r="AZ50" t="n">
        <v>6814.29557206525</v>
      </c>
      <c r="BA50" t="n">
        <v>18929.0724552413</v>
      </c>
      <c r="BB50" t="n">
        <v>2919567.39301043</v>
      </c>
      <c r="BC50" t="n">
        <v>307509.4915803</v>
      </c>
      <c r="BD50" t="n">
        <v>91046.5040865039</v>
      </c>
      <c r="BE50" t="n">
        <v>0</v>
      </c>
      <c r="BF50" t="n">
        <v>237988.503998449</v>
      </c>
      <c r="BG50" t="n">
        <v>72380.6361764176</v>
      </c>
      <c r="BH50" t="n">
        <v>22178.1948428869</v>
      </c>
      <c r="BI50" t="n">
        <v>752192.099663273</v>
      </c>
      <c r="BJ50" t="n">
        <v>1238224.28892227</v>
      </c>
      <c r="BK50" t="n">
        <v>260756.417036599</v>
      </c>
      <c r="BL50" t="n">
        <v>43267.6362851459</v>
      </c>
      <c r="BM50" t="n">
        <v>301421.226554211</v>
      </c>
      <c r="BN50" t="n">
        <v>4756053.5616677</v>
      </c>
      <c r="BO50" t="n">
        <v>485896.326909748</v>
      </c>
      <c r="BP50" t="n">
        <v>27135.1182132128</v>
      </c>
      <c r="BQ50" t="n">
        <v>1565052.95774241</v>
      </c>
      <c r="BR50" t="n">
        <v>115616.443042603</v>
      </c>
      <c r="BS50" t="n">
        <v>707911.527888329</v>
      </c>
      <c r="BT50" t="n">
        <v>0</v>
      </c>
      <c r="BU50" t="n">
        <v>30932227.4369884</v>
      </c>
      <c r="BV50" t="n">
        <v>0</v>
      </c>
      <c r="BW50" t="n">
        <v>0</v>
      </c>
      <c r="BX50" t="n">
        <v>8523755.04251166</v>
      </c>
      <c r="BY50" t="n">
        <v>0</v>
      </c>
      <c r="BZ50" t="n">
        <v>-116213.385038267</v>
      </c>
      <c r="CA50" t="n">
        <v>26334736.5106939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11184036.2613132</v>
      </c>
      <c r="C51" t="n">
        <v>35425.076279148</v>
      </c>
      <c r="D51" t="n">
        <v>38687809.9819413</v>
      </c>
      <c r="E51" t="n">
        <v>1204362.88628477</v>
      </c>
      <c r="F51" t="n">
        <v>35845735.5754368</v>
      </c>
      <c r="G51" t="n">
        <v>14442329.7470882</v>
      </c>
      <c r="H51" t="n">
        <v>36587293.2231309</v>
      </c>
      <c r="I51" t="n">
        <v>1586530.74823173</v>
      </c>
      <c r="J51" t="n">
        <v>10463106.8571927</v>
      </c>
      <c r="K51" t="n">
        <v>1422251.53863571</v>
      </c>
      <c r="L51" t="n">
        <v>15741197.6210623</v>
      </c>
      <c r="M51" t="n">
        <v>16995340.5503452</v>
      </c>
      <c r="N51" t="n">
        <v>615346.052180024</v>
      </c>
      <c r="O51" t="n">
        <v>605134.900628258</v>
      </c>
      <c r="P51" t="n">
        <v>1910766.59508364</v>
      </c>
      <c r="Q51" t="n">
        <v>3575765.76662294</v>
      </c>
      <c r="R51" t="n">
        <v>612327.159069766</v>
      </c>
      <c r="S51" t="n">
        <v>1099610.29591034</v>
      </c>
      <c r="T51" t="n">
        <v>8084846.60331492</v>
      </c>
      <c r="U51" t="n">
        <v>147416.945984863</v>
      </c>
      <c r="V51" t="n">
        <v>81127.9187533691</v>
      </c>
      <c r="W51" t="n">
        <v>4073745.50982831</v>
      </c>
      <c r="X51" t="n">
        <v>1461795.02272066</v>
      </c>
      <c r="Y51" t="n">
        <v>1478123.70404663</v>
      </c>
      <c r="Z51" t="n">
        <v>1165486.37138662</v>
      </c>
      <c r="AA51" t="n">
        <v>5841850.6637728</v>
      </c>
      <c r="AB51" t="n">
        <v>73313673.3978793</v>
      </c>
      <c r="AC51" t="n">
        <v>17107943.6178767</v>
      </c>
      <c r="AD51" t="n">
        <v>4250936.37011731</v>
      </c>
      <c r="AE51" t="n">
        <v>5076025.40723244</v>
      </c>
      <c r="AF51" t="n">
        <v>38575872.5904806</v>
      </c>
      <c r="AG51" t="n">
        <v>11338193.5805281</v>
      </c>
      <c r="AH51" t="n">
        <v>1546743.8708122</v>
      </c>
      <c r="AI51" t="n">
        <v>2457.65449943447</v>
      </c>
      <c r="AJ51" t="n">
        <v>15506386.7757473</v>
      </c>
      <c r="AK51" t="n">
        <v>1216006.6696241</v>
      </c>
      <c r="AL51" t="n">
        <v>159680556.221041</v>
      </c>
      <c r="AM51" t="n">
        <v>7396162.99806057</v>
      </c>
      <c r="AN51" t="n">
        <v>2690137.05738787</v>
      </c>
      <c r="AO51" t="n">
        <v>11850146.174092</v>
      </c>
      <c r="AP51" t="n">
        <v>997468.145127786</v>
      </c>
      <c r="AQ51" t="n">
        <v>543956017.150964</v>
      </c>
      <c r="AR51" t="n">
        <v>17148526.3101223</v>
      </c>
      <c r="AS51" t="n">
        <v>34059340.3420772</v>
      </c>
      <c r="AT51" t="n">
        <v>8571158.05323453</v>
      </c>
      <c r="AU51" t="n">
        <v>13256335.8964827</v>
      </c>
      <c r="AV51" t="n">
        <v>491770.430079484</v>
      </c>
      <c r="AW51" t="n">
        <v>91471.0180065881</v>
      </c>
      <c r="AX51" t="n">
        <v>40681843.2714345</v>
      </c>
      <c r="AY51" t="n">
        <v>13444026.1787391</v>
      </c>
      <c r="AZ51" t="n">
        <v>16514337.129075</v>
      </c>
      <c r="BA51" t="n">
        <v>5590480.68952372</v>
      </c>
      <c r="BB51" t="n">
        <v>47063812.7221968</v>
      </c>
      <c r="BC51" t="n">
        <v>9835415.90044957</v>
      </c>
      <c r="BD51" t="n">
        <v>96918457.2980602</v>
      </c>
      <c r="BE51" t="n">
        <v>5923010.7303066</v>
      </c>
      <c r="BF51" t="n">
        <v>7840285.91574932</v>
      </c>
      <c r="BG51" t="n">
        <v>41315574.3533567</v>
      </c>
      <c r="BH51" t="n">
        <v>19809621.5773028</v>
      </c>
      <c r="BI51" t="n">
        <v>8567585.22382357</v>
      </c>
      <c r="BJ51" t="n">
        <v>4671827.65931772</v>
      </c>
      <c r="BK51" t="n">
        <v>2893419.84520427</v>
      </c>
      <c r="BL51" t="n">
        <v>7633663.56894627</v>
      </c>
      <c r="BM51" t="n">
        <v>14076676.3275456</v>
      </c>
      <c r="BN51" t="n">
        <v>45861014.9079396</v>
      </c>
      <c r="BO51" t="n">
        <v>41386502.9298592</v>
      </c>
      <c r="BP51" t="n">
        <v>43745222.2083492</v>
      </c>
      <c r="BQ51" t="n">
        <v>93255796.9448396</v>
      </c>
      <c r="BR51" t="n">
        <v>19075802.989704</v>
      </c>
      <c r="BS51" t="n">
        <v>766659674.115191</v>
      </c>
      <c r="BT51" t="n">
        <v>11398035.94659</v>
      </c>
      <c r="BU51" t="n">
        <v>2332254678.81629</v>
      </c>
      <c r="BV51" t="n">
        <v>0</v>
      </c>
      <c r="BW51" t="n">
        <v>42179030.9868769</v>
      </c>
      <c r="BX51" t="n">
        <v>187835358.678408</v>
      </c>
      <c r="BY51" t="n">
        <v>0</v>
      </c>
      <c r="BZ51" t="n">
        <v>0</v>
      </c>
      <c r="CA51" t="n">
        <v>82695262.5502581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1899687.33122521</v>
      </c>
      <c r="E52" t="n">
        <v>34480.1622554409</v>
      </c>
      <c r="F52" t="n">
        <v>671332.766070918</v>
      </c>
      <c r="G52" t="n">
        <v>22482620.5543445</v>
      </c>
      <c r="H52" t="n">
        <v>5513747.66315572</v>
      </c>
      <c r="I52" t="n">
        <v>1129411.21171323</v>
      </c>
      <c r="J52" t="n">
        <v>5876010.20820056</v>
      </c>
      <c r="K52" t="n">
        <v>1398414.96674707</v>
      </c>
      <c r="L52" t="n">
        <v>11229611.1520823</v>
      </c>
      <c r="M52" t="n">
        <v>12708788.6349781</v>
      </c>
      <c r="N52" t="n">
        <v>174116.212111289</v>
      </c>
      <c r="O52" t="n">
        <v>755963.513042808</v>
      </c>
      <c r="P52" t="n">
        <v>979519.1829839</v>
      </c>
      <c r="Q52" t="n">
        <v>3334766.45095382</v>
      </c>
      <c r="R52" t="n">
        <v>660003.278353966</v>
      </c>
      <c r="S52" t="n">
        <v>779078.687526998</v>
      </c>
      <c r="T52" t="n">
        <v>4216888.31308849</v>
      </c>
      <c r="U52" t="n">
        <v>85998.5198005485</v>
      </c>
      <c r="V52" t="n">
        <v>42900.5636800238</v>
      </c>
      <c r="W52" t="n">
        <v>4267240.24731529</v>
      </c>
      <c r="X52" t="n">
        <v>437055.226757764</v>
      </c>
      <c r="Y52" t="n">
        <v>1397325.87092871</v>
      </c>
      <c r="Z52" t="n">
        <v>568307.642224583</v>
      </c>
      <c r="AA52" t="n">
        <v>2585670.04501468</v>
      </c>
      <c r="AB52" t="n">
        <v>11602748.2515309</v>
      </c>
      <c r="AC52" t="n">
        <v>19230395.3309822</v>
      </c>
      <c r="AD52" t="n">
        <v>3833775.59826246</v>
      </c>
      <c r="AE52" t="n">
        <v>6808437.04828723</v>
      </c>
      <c r="AF52" t="n">
        <v>28628526.7769298</v>
      </c>
      <c r="AG52" t="n">
        <v>2138419.16769288</v>
      </c>
      <c r="AH52" t="n">
        <v>0</v>
      </c>
      <c r="AI52" t="n">
        <v>0</v>
      </c>
      <c r="AJ52" t="n">
        <v>807967.584657438</v>
      </c>
      <c r="AK52" t="n">
        <v>94996.1775245002</v>
      </c>
      <c r="AL52" t="n">
        <v>4464578.7001372</v>
      </c>
      <c r="AM52" t="n">
        <v>2343792.02517824</v>
      </c>
      <c r="AN52" t="n">
        <v>761706.387524764</v>
      </c>
      <c r="AO52" t="n">
        <v>9126291.80808336</v>
      </c>
      <c r="AP52" t="n">
        <v>98101.1741606865</v>
      </c>
      <c r="AQ52" t="n">
        <v>9943581.64209254</v>
      </c>
      <c r="AR52" t="n">
        <v>8368817.55538117</v>
      </c>
      <c r="AS52" t="n">
        <v>35174757.7051904</v>
      </c>
      <c r="AT52" t="n">
        <v>3899963.08788662</v>
      </c>
      <c r="AU52" t="n">
        <v>4736507.348006</v>
      </c>
      <c r="AV52" t="n">
        <v>615248.519786475</v>
      </c>
      <c r="AW52" t="n">
        <v>3162.65449314027</v>
      </c>
      <c r="AX52" t="n">
        <v>2205682.67753242</v>
      </c>
      <c r="AY52" t="n">
        <v>3497453.40224954</v>
      </c>
      <c r="AZ52" t="n">
        <v>9150863.15621856</v>
      </c>
      <c r="BA52" t="n">
        <v>4580375.57507731</v>
      </c>
      <c r="BB52" t="n">
        <v>36951758.722109</v>
      </c>
      <c r="BC52" t="n">
        <v>3643199.6672199</v>
      </c>
      <c r="BD52" t="n">
        <v>120754300.703491</v>
      </c>
      <c r="BE52" t="n">
        <v>4191575.09433605</v>
      </c>
      <c r="BF52" t="n">
        <v>7951605.2742726</v>
      </c>
      <c r="BG52" t="n">
        <v>6472902.10034212</v>
      </c>
      <c r="BH52" t="n">
        <v>11966532.8796859</v>
      </c>
      <c r="BI52" t="n">
        <v>1063852.16667732</v>
      </c>
      <c r="BJ52" t="n">
        <v>2377244.13054621</v>
      </c>
      <c r="BK52" t="n">
        <v>1833065.98187637</v>
      </c>
      <c r="BL52" t="n">
        <v>3547172.56201878</v>
      </c>
      <c r="BM52" t="n">
        <v>1662712.04737927</v>
      </c>
      <c r="BN52" t="n">
        <v>41059277.6022397</v>
      </c>
      <c r="BO52" t="n">
        <v>25198109.588103</v>
      </c>
      <c r="BP52" t="n">
        <v>5333798.75997736</v>
      </c>
      <c r="BQ52" t="n">
        <v>20598713.7394068</v>
      </c>
      <c r="BR52" t="n">
        <v>2409006.34410253</v>
      </c>
      <c r="BS52" t="n">
        <v>159336269.573695</v>
      </c>
      <c r="BT52" t="n">
        <v>8139745.81099998</v>
      </c>
      <c r="BU52" t="n">
        <v>204599636.400336</v>
      </c>
      <c r="BV52" t="n">
        <v>0</v>
      </c>
      <c r="BW52" t="n">
        <v>0</v>
      </c>
      <c r="BX52" t="n">
        <v>41930003.0154047</v>
      </c>
      <c r="BY52" t="n">
        <v>0</v>
      </c>
      <c r="BZ52" t="n">
        <v>0</v>
      </c>
      <c r="CA52" t="n">
        <v>18691565.9145743</v>
      </c>
      <c r="CB52" t="n">
        <v>0</v>
      </c>
      <c r="CC52" t="n">
        <v>0</v>
      </c>
      <c r="CD52" t="n">
        <v>0</v>
      </c>
      <c r="CE52" t="n">
        <v>0</v>
      </c>
      <c r="CF52" t="n">
        <v>6847438.15320865</v>
      </c>
      <c r="CG52" t="n">
        <v>0</v>
      </c>
      <c r="CH52" t="n">
        <v>0</v>
      </c>
      <c r="CI52" t="n">
        <v>0</v>
      </c>
      <c r="CJ52" t="n">
        <v>2388491.5877338</v>
      </c>
      <c r="CK52" t="n">
        <v>0</v>
      </c>
      <c r="CL52" t="n">
        <v>0</v>
      </c>
      <c r="CM52" t="n">
        <v>0</v>
      </c>
      <c r="CN52" t="n">
        <v>21974226.5850387</v>
      </c>
    </row>
    <row r="53">
      <c r="A53" t="s">
        <v>164</v>
      </c>
      <c r="B53" t="n">
        <v>13032961.4943983</v>
      </c>
      <c r="C53" t="n">
        <v>457759.30801121</v>
      </c>
      <c r="D53" t="n">
        <v>49872226.8526618</v>
      </c>
      <c r="E53" t="n">
        <v>1524189.25744235</v>
      </c>
      <c r="F53" t="n">
        <v>10272410.0210958</v>
      </c>
      <c r="G53" t="n">
        <v>17208173.3024297</v>
      </c>
      <c r="H53" t="n">
        <v>13194583.7953034</v>
      </c>
      <c r="I53" t="n">
        <v>780892.554871804</v>
      </c>
      <c r="J53" t="n">
        <v>3309362.1587976</v>
      </c>
      <c r="K53" t="n">
        <v>1408625.71042619</v>
      </c>
      <c r="L53" t="n">
        <v>6946782.09107743</v>
      </c>
      <c r="M53" t="n">
        <v>9296266.63631116</v>
      </c>
      <c r="N53" t="n">
        <v>1563956.40312501</v>
      </c>
      <c r="O53" t="n">
        <v>1262904.15581958</v>
      </c>
      <c r="P53" t="n">
        <v>3507779.96073369</v>
      </c>
      <c r="Q53" t="n">
        <v>1218136.45913121</v>
      </c>
      <c r="R53" t="n">
        <v>406369.589647818</v>
      </c>
      <c r="S53" t="n">
        <v>977278.409284818</v>
      </c>
      <c r="T53" t="n">
        <v>6357041.84287642</v>
      </c>
      <c r="U53" t="n">
        <v>162176.676927996</v>
      </c>
      <c r="V53" t="n">
        <v>522604.464483856</v>
      </c>
      <c r="W53" t="n">
        <v>3259865.16361543</v>
      </c>
      <c r="X53" t="n">
        <v>530594.654956326</v>
      </c>
      <c r="Y53" t="n">
        <v>4584278.60854659</v>
      </c>
      <c r="Z53" t="n">
        <v>2541154.34473632</v>
      </c>
      <c r="AA53" t="n">
        <v>6173825.99119644</v>
      </c>
      <c r="AB53" t="n">
        <v>60875125.0838904</v>
      </c>
      <c r="AC53" t="n">
        <v>10235999.0979612</v>
      </c>
      <c r="AD53" t="n">
        <v>3618433.47326468</v>
      </c>
      <c r="AE53" t="n">
        <v>8371508.94766945</v>
      </c>
      <c r="AF53" t="n">
        <v>18534412.6390221</v>
      </c>
      <c r="AG53" t="n">
        <v>2479370.52393621</v>
      </c>
      <c r="AH53" t="n">
        <v>25393862.8350141</v>
      </c>
      <c r="AI53" t="n">
        <v>2144.83810311267</v>
      </c>
      <c r="AJ53" t="n">
        <v>5101792.25924736</v>
      </c>
      <c r="AK53" t="n">
        <v>1114650.4945887</v>
      </c>
      <c r="AL53" t="n">
        <v>92825285.9628891</v>
      </c>
      <c r="AM53" t="n">
        <v>3175107.6534088</v>
      </c>
      <c r="AN53" t="n">
        <v>708617.121029052</v>
      </c>
      <c r="AO53" t="n">
        <v>6674344.80955462</v>
      </c>
      <c r="AP53" t="n">
        <v>340278.450096455</v>
      </c>
      <c r="AQ53" t="n">
        <v>25426538.847562</v>
      </c>
      <c r="AR53" t="n">
        <v>1066263.95028015</v>
      </c>
      <c r="AS53" t="n">
        <v>91715450.5125935</v>
      </c>
      <c r="AT53" t="n">
        <v>28665952.8251164</v>
      </c>
      <c r="AU53" t="n">
        <v>677187.764482272</v>
      </c>
      <c r="AV53" t="n">
        <v>362737.42994309</v>
      </c>
      <c r="AW53" t="n">
        <v>226731893.172684</v>
      </c>
      <c r="AX53" t="n">
        <v>48643649.1089615</v>
      </c>
      <c r="AY53" t="n">
        <v>21829716.6961579</v>
      </c>
      <c r="AZ53" t="n">
        <v>2633137.41573104</v>
      </c>
      <c r="BA53" t="n">
        <v>2112601.97801603</v>
      </c>
      <c r="BB53" t="n">
        <v>17771732.1779766</v>
      </c>
      <c r="BC53" t="n">
        <v>37514298.815595</v>
      </c>
      <c r="BD53" t="n">
        <v>14731068.9469782</v>
      </c>
      <c r="BE53" t="n">
        <v>1478819.27821348</v>
      </c>
      <c r="BF53" t="n">
        <v>1955792.39593016</v>
      </c>
      <c r="BG53" t="n">
        <v>10895002.3298106</v>
      </c>
      <c r="BH53" t="n">
        <v>12909939.3655485</v>
      </c>
      <c r="BI53" t="n">
        <v>2016174.31649406</v>
      </c>
      <c r="BJ53" t="n">
        <v>1820110.78237176</v>
      </c>
      <c r="BK53" t="n">
        <v>964852.052328453</v>
      </c>
      <c r="BL53" t="n">
        <v>2835609.69477049</v>
      </c>
      <c r="BM53" t="n">
        <v>5510184.72727461</v>
      </c>
      <c r="BN53" t="n">
        <v>17603015.5376098</v>
      </c>
      <c r="BO53" t="n">
        <v>20720153.1329753</v>
      </c>
      <c r="BP53" t="n">
        <v>0</v>
      </c>
      <c r="BQ53" t="n">
        <v>13231605.5279021</v>
      </c>
      <c r="BR53" t="n">
        <v>3705697.14855448</v>
      </c>
      <c r="BS53" t="n">
        <v>62324642.4450464</v>
      </c>
      <c r="BT53" t="n">
        <v>5907920.2150373</v>
      </c>
      <c r="BU53" t="n">
        <v>502921780.423572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349695796.603632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1656720.50870115</v>
      </c>
      <c r="C54" t="n">
        <v>13359.0818993467</v>
      </c>
      <c r="D54" t="n">
        <v>75450523.3628924</v>
      </c>
      <c r="E54" t="n">
        <v>5615955.28550949</v>
      </c>
      <c r="F54" t="n">
        <v>178938174.781411</v>
      </c>
      <c r="G54" t="n">
        <v>2695921.56910478</v>
      </c>
      <c r="H54" t="n">
        <v>3286777.51435467</v>
      </c>
      <c r="I54" t="n">
        <v>45681.2255905808</v>
      </c>
      <c r="J54" t="n">
        <v>312180.683847614</v>
      </c>
      <c r="K54" t="n">
        <v>2856964.88633076</v>
      </c>
      <c r="L54" t="n">
        <v>11226087.0974315</v>
      </c>
      <c r="M54" t="n">
        <v>11168565.4928906</v>
      </c>
      <c r="N54" t="n">
        <v>111715.776895992</v>
      </c>
      <c r="O54" t="n">
        <v>576536.032279511</v>
      </c>
      <c r="P54" t="n">
        <v>2923203.17952099</v>
      </c>
      <c r="Q54" t="n">
        <v>1149832.84988879</v>
      </c>
      <c r="R54" t="n">
        <v>694272.291315571</v>
      </c>
      <c r="S54" t="n">
        <v>808698.076398399</v>
      </c>
      <c r="T54" t="n">
        <v>255435.880445883</v>
      </c>
      <c r="U54" t="n">
        <v>4139.83864613799</v>
      </c>
      <c r="V54" t="n">
        <v>2099.5877069376</v>
      </c>
      <c r="W54" t="n">
        <v>97854.5129572237</v>
      </c>
      <c r="X54" t="n">
        <v>34453.418100467</v>
      </c>
      <c r="Y54" t="n">
        <v>185804.122331539</v>
      </c>
      <c r="Z54" t="n">
        <v>22213.7195396886</v>
      </c>
      <c r="AA54" t="n">
        <v>398433.576157988</v>
      </c>
      <c r="AB54" t="n">
        <v>7539964.85897079</v>
      </c>
      <c r="AC54" t="n">
        <v>328821.342381357</v>
      </c>
      <c r="AD54" t="n">
        <v>572670.21740262</v>
      </c>
      <c r="AE54" t="n">
        <v>2923520.89429478</v>
      </c>
      <c r="AF54" t="n">
        <v>1644882.95974157</v>
      </c>
      <c r="AG54" t="n">
        <v>5296456.06937446</v>
      </c>
      <c r="AH54" t="n">
        <v>2676214.87554927</v>
      </c>
      <c r="AI54" t="n">
        <v>4218.22817839675</v>
      </c>
      <c r="AJ54" t="n">
        <v>1672955.14693346</v>
      </c>
      <c r="AK54" t="n">
        <v>830452.870171119</v>
      </c>
      <c r="AL54" t="n">
        <v>8032477.38276159</v>
      </c>
      <c r="AM54" t="n">
        <v>3811842.0264319</v>
      </c>
      <c r="AN54" t="n">
        <v>76897.3881294904</v>
      </c>
      <c r="AO54" t="n">
        <v>641033.23862148</v>
      </c>
      <c r="AP54" t="n">
        <v>259874.984997918</v>
      </c>
      <c r="AQ54" t="n">
        <v>410425.007046759</v>
      </c>
      <c r="AR54" t="n">
        <v>59851.6172546133</v>
      </c>
      <c r="AS54" t="n">
        <v>82044180.3782216</v>
      </c>
      <c r="AT54" t="n">
        <v>30968432.2757571</v>
      </c>
      <c r="AU54" t="n">
        <v>4645202.57867706</v>
      </c>
      <c r="AV54" t="n">
        <v>17831385.0814592</v>
      </c>
      <c r="AW54" t="n">
        <v>6191.31305091008</v>
      </c>
      <c r="AX54" t="n">
        <v>9856171.86263758</v>
      </c>
      <c r="AY54" t="n">
        <v>6671309.52650399</v>
      </c>
      <c r="AZ54" t="n">
        <v>958790.271789454</v>
      </c>
      <c r="BA54" t="n">
        <v>492320.455048767</v>
      </c>
      <c r="BB54" t="n">
        <v>4562069.24092144</v>
      </c>
      <c r="BC54" t="n">
        <v>18945453.1887424</v>
      </c>
      <c r="BD54" t="n">
        <v>3859323.50200573</v>
      </c>
      <c r="BE54" t="n">
        <v>85672.9080980001</v>
      </c>
      <c r="BF54" t="n">
        <v>1655589.95841258</v>
      </c>
      <c r="BG54" t="n">
        <v>4052059.6854789</v>
      </c>
      <c r="BH54" t="n">
        <v>33418076.700126</v>
      </c>
      <c r="BI54" t="n">
        <v>938044.472120158</v>
      </c>
      <c r="BJ54" t="n">
        <v>5806869.21473729</v>
      </c>
      <c r="BK54" t="n">
        <v>1352831.45154495</v>
      </c>
      <c r="BL54" t="n">
        <v>179750.816420847</v>
      </c>
      <c r="BM54" t="n">
        <v>7203590.61215097</v>
      </c>
      <c r="BN54" t="n">
        <v>18269533.6125384</v>
      </c>
      <c r="BO54" t="n">
        <v>10561367.9883044</v>
      </c>
      <c r="BP54" t="n">
        <v>0</v>
      </c>
      <c r="BQ54" t="n">
        <v>17938.0326217248</v>
      </c>
      <c r="BR54" t="n">
        <v>69835.4588752105</v>
      </c>
      <c r="BS54" t="n">
        <v>101302928.285226</v>
      </c>
      <c r="BT54" t="n">
        <v>6932284.14170134</v>
      </c>
      <c r="BU54" t="n">
        <v>674211024.634628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188322291.935082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11812834.2871614</v>
      </c>
      <c r="C55" t="n">
        <v>364183.659180807</v>
      </c>
      <c r="D55" t="n">
        <v>63050170.1960893</v>
      </c>
      <c r="E55" t="n">
        <v>1561562.57738522</v>
      </c>
      <c r="F55" t="n">
        <v>56285291.6657844</v>
      </c>
      <c r="G55" t="n">
        <v>5039173.85100065</v>
      </c>
      <c r="H55" t="n">
        <v>656242.413880252</v>
      </c>
      <c r="I55" t="n">
        <v>247693.363138805</v>
      </c>
      <c r="J55" t="n">
        <v>3477736.88735622</v>
      </c>
      <c r="K55" t="n">
        <v>861763.776953692</v>
      </c>
      <c r="L55" t="n">
        <v>3537427.21988502</v>
      </c>
      <c r="M55" t="n">
        <v>6408315.82470124</v>
      </c>
      <c r="N55" t="n">
        <v>147655.57664707</v>
      </c>
      <c r="O55" t="n">
        <v>934957.619960039</v>
      </c>
      <c r="P55" t="n">
        <v>3715878.26093685</v>
      </c>
      <c r="Q55" t="n">
        <v>1662801.04928558</v>
      </c>
      <c r="R55" t="n">
        <v>349959.604129965</v>
      </c>
      <c r="S55" t="n">
        <v>387082.64420148</v>
      </c>
      <c r="T55" t="n">
        <v>6335964.13202322</v>
      </c>
      <c r="U55" t="n">
        <v>118378.715899058</v>
      </c>
      <c r="V55" t="n">
        <v>78766.6953934629</v>
      </c>
      <c r="W55" t="n">
        <v>1218528.63689942</v>
      </c>
      <c r="X55" t="n">
        <v>63190.397234184</v>
      </c>
      <c r="Y55" t="n">
        <v>1254690.05103826</v>
      </c>
      <c r="Z55" t="n">
        <v>1368553.60490847</v>
      </c>
      <c r="AA55" t="n">
        <v>2464560.23652738</v>
      </c>
      <c r="AB55" t="n">
        <v>64029885.2676712</v>
      </c>
      <c r="AC55" t="n">
        <v>7708393.39577537</v>
      </c>
      <c r="AD55" t="n">
        <v>1896385.10583175</v>
      </c>
      <c r="AE55" t="n">
        <v>4310907.90640009</v>
      </c>
      <c r="AF55" t="n">
        <v>12904243.4844195</v>
      </c>
      <c r="AG55" t="n">
        <v>1294085.84859497</v>
      </c>
      <c r="AH55" t="n">
        <v>160376.633542917</v>
      </c>
      <c r="AI55" t="n">
        <v>2114.25101636711</v>
      </c>
      <c r="AJ55" t="n">
        <v>31044905.6765146</v>
      </c>
      <c r="AK55" t="n">
        <v>1967443.62355699</v>
      </c>
      <c r="AL55" t="n">
        <v>12990448.1152052</v>
      </c>
      <c r="AM55" t="n">
        <v>5692446.72033801</v>
      </c>
      <c r="AN55" t="n">
        <v>4701018.27119395</v>
      </c>
      <c r="AO55" t="n">
        <v>626300.737708808</v>
      </c>
      <c r="AP55" t="n">
        <v>471931.140294436</v>
      </c>
      <c r="AQ55" t="n">
        <v>2694354.7484846</v>
      </c>
      <c r="AR55" t="n">
        <v>329557.842856279</v>
      </c>
      <c r="AS55" t="n">
        <v>4994441.38631115</v>
      </c>
      <c r="AT55" t="n">
        <v>5297295.80660776</v>
      </c>
      <c r="AU55" t="n">
        <v>284122883.416013</v>
      </c>
      <c r="AV55" t="n">
        <v>1473732.62948454</v>
      </c>
      <c r="AW55" t="n">
        <v>9213339.49503052</v>
      </c>
      <c r="AX55" t="n">
        <v>39865710.8213396</v>
      </c>
      <c r="AY55" t="n">
        <v>15146822.0500848</v>
      </c>
      <c r="AZ55" t="n">
        <v>3399697.59680478</v>
      </c>
      <c r="BA55" t="n">
        <v>1389758.48686975</v>
      </c>
      <c r="BB55" t="n">
        <v>13971262.8459464</v>
      </c>
      <c r="BC55" t="n">
        <v>419250.2145144</v>
      </c>
      <c r="BD55" t="n">
        <v>15273693.3561716</v>
      </c>
      <c r="BE55" t="n">
        <v>1909381.51027366</v>
      </c>
      <c r="BF55" t="n">
        <v>2030261.7034927</v>
      </c>
      <c r="BG55" t="n">
        <v>20304077.7771524</v>
      </c>
      <c r="BH55" t="n">
        <v>26913768.5496449</v>
      </c>
      <c r="BI55" t="n">
        <v>5027905.58633271</v>
      </c>
      <c r="BJ55" t="n">
        <v>15120579.6451958</v>
      </c>
      <c r="BK55" t="n">
        <v>2118995.38941229</v>
      </c>
      <c r="BL55" t="n">
        <v>2130680.50742353</v>
      </c>
      <c r="BM55" t="n">
        <v>1309732.48991356</v>
      </c>
      <c r="BN55" t="n">
        <v>14950722.1009858</v>
      </c>
      <c r="BO55" t="n">
        <v>5954683.67500181</v>
      </c>
      <c r="BP55" t="n">
        <v>0</v>
      </c>
      <c r="BQ55" t="n">
        <v>2191576.94187329</v>
      </c>
      <c r="BR55" t="n">
        <v>8457651.31532416</v>
      </c>
      <c r="BS55" t="n">
        <v>9022761.2973085</v>
      </c>
      <c r="BT55" t="n">
        <v>16575246.8570048</v>
      </c>
      <c r="BU55" t="n">
        <v>607211428.976866</v>
      </c>
      <c r="BV55" t="n">
        <v>0</v>
      </c>
      <c r="BW55" t="n">
        <v>0</v>
      </c>
      <c r="BX55" t="n">
        <v>0</v>
      </c>
      <c r="BY55" t="n">
        <v>7794947.68686359</v>
      </c>
      <c r="BZ55" t="n">
        <v>0</v>
      </c>
      <c r="CA55" t="n">
        <v>104437435.135688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7296626.72439414</v>
      </c>
      <c r="AV56" t="n">
        <v>1936623.29635217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193240.782304334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305291.231254628</v>
      </c>
      <c r="BR56" t="n">
        <v>0</v>
      </c>
      <c r="BS56" t="n">
        <v>5543353.28058301</v>
      </c>
      <c r="BT56" t="n">
        <v>0</v>
      </c>
      <c r="BU56" t="n">
        <v>519720105.013208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20286819823.9685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64121760.5821161</v>
      </c>
      <c r="C58" t="n">
        <v>87281.471790201</v>
      </c>
      <c r="D58" t="n">
        <v>205736581.029952</v>
      </c>
      <c r="E58" t="n">
        <v>2127012.05894093</v>
      </c>
      <c r="F58" t="n">
        <v>75843294.6466153</v>
      </c>
      <c r="G58" t="n">
        <v>116245635.653761</v>
      </c>
      <c r="H58" t="n">
        <v>136290681.550833</v>
      </c>
      <c r="I58" t="n">
        <v>4038825.22303408</v>
      </c>
      <c r="J58" t="n">
        <v>17519015.7387184</v>
      </c>
      <c r="K58" t="n">
        <v>2774446.19160689</v>
      </c>
      <c r="L58" t="n">
        <v>89293837.3462642</v>
      </c>
      <c r="M58" t="n">
        <v>42974546.8106518</v>
      </c>
      <c r="N58" t="n">
        <v>7684176.13771681</v>
      </c>
      <c r="O58" t="n">
        <v>3814778.93210287</v>
      </c>
      <c r="P58" t="n">
        <v>9181426.23105411</v>
      </c>
      <c r="Q58" t="n">
        <v>8845701.26100755</v>
      </c>
      <c r="R58" t="n">
        <v>4882253.82083511</v>
      </c>
      <c r="S58" t="n">
        <v>5489157.78900261</v>
      </c>
      <c r="T58" t="n">
        <v>37735359.0902516</v>
      </c>
      <c r="U58" t="n">
        <v>1138080.11983058</v>
      </c>
      <c r="V58" t="n">
        <v>956014.138920257</v>
      </c>
      <c r="W58" t="n">
        <v>24025416.1620711</v>
      </c>
      <c r="X58" t="n">
        <v>7904514.35733981</v>
      </c>
      <c r="Y58" t="n">
        <v>2708042.27263732</v>
      </c>
      <c r="Z58" t="n">
        <v>12715900.0251221</v>
      </c>
      <c r="AA58" t="n">
        <v>47652268.2505366</v>
      </c>
      <c r="AB58" t="n">
        <v>741530667.369946</v>
      </c>
      <c r="AC58" t="n">
        <v>238890296.663187</v>
      </c>
      <c r="AD58" t="n">
        <v>192031563.885046</v>
      </c>
      <c r="AE58" t="n">
        <v>278109544.473276</v>
      </c>
      <c r="AF58" t="n">
        <v>913688429.341142</v>
      </c>
      <c r="AG58" t="n">
        <v>3025322.01699452</v>
      </c>
      <c r="AH58" t="n">
        <v>4261914.8659767</v>
      </c>
      <c r="AI58" t="n">
        <v>13364.2631612862</v>
      </c>
      <c r="AJ58" t="n">
        <v>99990414.3659748</v>
      </c>
      <c r="AK58" t="n">
        <v>3148277.38515901</v>
      </c>
      <c r="AL58" t="n">
        <v>63001264.4889357</v>
      </c>
      <c r="AM58" t="n">
        <v>56828203.0094505</v>
      </c>
      <c r="AN58" t="n">
        <v>94345271.9094998</v>
      </c>
      <c r="AO58" t="n">
        <v>54464964.6755523</v>
      </c>
      <c r="AP58" t="n">
        <v>4784406.79880276</v>
      </c>
      <c r="AQ58" t="n">
        <v>204868314.429321</v>
      </c>
      <c r="AR58" t="n">
        <v>18037899.5323911</v>
      </c>
      <c r="AS58" t="n">
        <v>132040157.602667</v>
      </c>
      <c r="AT58" t="n">
        <v>71915216.6433717</v>
      </c>
      <c r="AU58" t="n">
        <v>120536777.97012</v>
      </c>
      <c r="AV58" t="n">
        <v>463247.863247863</v>
      </c>
      <c r="AW58" t="n">
        <v>47859640.5187702</v>
      </c>
      <c r="AX58" t="n">
        <v>857584039.46345</v>
      </c>
      <c r="AY58" t="n">
        <v>92857490.0574459</v>
      </c>
      <c r="AZ58" t="n">
        <v>128338895.916124</v>
      </c>
      <c r="BA58" t="n">
        <v>26822684.7797456</v>
      </c>
      <c r="BB58" t="n">
        <v>375116336.816226</v>
      </c>
      <c r="BC58" t="n">
        <v>260272318.544709</v>
      </c>
      <c r="BD58" t="n">
        <v>408302284.171779</v>
      </c>
      <c r="BE58" t="n">
        <v>23107354.4708078</v>
      </c>
      <c r="BF58" t="n">
        <v>166599974.840813</v>
      </c>
      <c r="BG58" t="n">
        <v>482471132.134957</v>
      </c>
      <c r="BH58" t="n">
        <v>740335716.952523</v>
      </c>
      <c r="BI58" t="n">
        <v>245926813.275497</v>
      </c>
      <c r="BJ58" t="n">
        <v>99300809.372107</v>
      </c>
      <c r="BK58" t="n">
        <v>68836586.2684953</v>
      </c>
      <c r="BL58" t="n">
        <v>142325959.816576</v>
      </c>
      <c r="BM58" t="n">
        <v>13640844.4994124</v>
      </c>
      <c r="BN58" t="n">
        <v>613420557.874422</v>
      </c>
      <c r="BO58" t="n">
        <v>604746522.650796</v>
      </c>
      <c r="BP58" t="n">
        <v>2520644.66615503</v>
      </c>
      <c r="BQ58" t="n">
        <v>171131640.79072</v>
      </c>
      <c r="BR58" t="n">
        <v>7766904.35860552</v>
      </c>
      <c r="BS58" t="n">
        <v>321741294.405156</v>
      </c>
      <c r="BT58" t="n">
        <v>19258791.3171282</v>
      </c>
      <c r="BU58" t="n">
        <v>58927537.0340214</v>
      </c>
      <c r="BV58" t="n">
        <v>160920209.721885</v>
      </c>
      <c r="BW58" t="n">
        <v>0</v>
      </c>
      <c r="BX58" t="n">
        <v>0</v>
      </c>
      <c r="BY58" t="n">
        <v>1250763157.43868</v>
      </c>
      <c r="BZ58" t="n">
        <v>0</v>
      </c>
      <c r="CA58" t="n">
        <v>14319545.9788794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13675874.8558761</v>
      </c>
      <c r="C59" t="n">
        <v>119222.87493986</v>
      </c>
      <c r="D59" t="n">
        <v>155095446.8628</v>
      </c>
      <c r="E59" t="n">
        <v>9032738.11552795</v>
      </c>
      <c r="F59" t="n">
        <v>133898447.450013</v>
      </c>
      <c r="G59" t="n">
        <v>10408816.9667361</v>
      </c>
      <c r="H59" t="n">
        <v>70124017.0113737</v>
      </c>
      <c r="I59" t="n">
        <v>433306.915691143</v>
      </c>
      <c r="J59" t="n">
        <v>3708550.45381872</v>
      </c>
      <c r="K59" t="n">
        <v>1188772.02500435</v>
      </c>
      <c r="L59" t="n">
        <v>9860337.30507674</v>
      </c>
      <c r="M59" t="n">
        <v>9444604.35246984</v>
      </c>
      <c r="N59" t="n">
        <v>424948.838357292</v>
      </c>
      <c r="O59" t="n">
        <v>663643.443245611</v>
      </c>
      <c r="P59" t="n">
        <v>8817263.36372496</v>
      </c>
      <c r="Q59" t="n">
        <v>1889927.87620653</v>
      </c>
      <c r="R59" t="n">
        <v>310142.754846264</v>
      </c>
      <c r="S59" t="n">
        <v>734069.915694784</v>
      </c>
      <c r="T59" t="n">
        <v>7697184.39960543</v>
      </c>
      <c r="U59" t="n">
        <v>50140.8806654653</v>
      </c>
      <c r="V59" t="n">
        <v>3521355.01262987</v>
      </c>
      <c r="W59" t="n">
        <v>4181009.46026282</v>
      </c>
      <c r="X59" t="n">
        <v>588876.964609147</v>
      </c>
      <c r="Y59" t="n">
        <v>5596443.19860057</v>
      </c>
      <c r="Z59" t="n">
        <v>3167509.61792271</v>
      </c>
      <c r="AA59" t="n">
        <v>4915178.06211675</v>
      </c>
      <c r="AB59" t="n">
        <v>60613129.9349695</v>
      </c>
      <c r="AC59" t="n">
        <v>3044478.06403382</v>
      </c>
      <c r="AD59" t="n">
        <v>2365932.82327927</v>
      </c>
      <c r="AE59" t="n">
        <v>13506509.4320439</v>
      </c>
      <c r="AF59" t="n">
        <v>16091239.2235942</v>
      </c>
      <c r="AG59" t="n">
        <v>33773495.5565137</v>
      </c>
      <c r="AH59" t="n">
        <v>41469268.3724192</v>
      </c>
      <c r="AI59" t="n">
        <v>34253.6435107306</v>
      </c>
      <c r="AJ59" t="n">
        <v>99200337.4180661</v>
      </c>
      <c r="AK59" t="n">
        <v>543449.696589316</v>
      </c>
      <c r="AL59" t="n">
        <v>3303060.25289617</v>
      </c>
      <c r="AM59" t="n">
        <v>6477619.03144165</v>
      </c>
      <c r="AN59" t="n">
        <v>15022264.3187566</v>
      </c>
      <c r="AO59" t="n">
        <v>3622592.78422359</v>
      </c>
      <c r="AP59" t="n">
        <v>518080.309966834</v>
      </c>
      <c r="AQ59" t="n">
        <v>20117128.2495452</v>
      </c>
      <c r="AR59" t="n">
        <v>4291775.80808159</v>
      </c>
      <c r="AS59" t="n">
        <v>6377193.56944606</v>
      </c>
      <c r="AT59" t="n">
        <v>4886545.27584143</v>
      </c>
      <c r="AU59" t="n">
        <v>5756437.2621957</v>
      </c>
      <c r="AV59" t="n">
        <v>5420.47054068881</v>
      </c>
      <c r="AW59" t="n">
        <v>14436161.2663573</v>
      </c>
      <c r="AX59" t="n">
        <v>4095779.64690787</v>
      </c>
      <c r="AY59" t="n">
        <v>27256498.1249363</v>
      </c>
      <c r="AZ59" t="n">
        <v>3710816.26147947</v>
      </c>
      <c r="BA59" t="n">
        <v>2862146.14638576</v>
      </c>
      <c r="BB59" t="n">
        <v>30987171.7902688</v>
      </c>
      <c r="BC59" t="n">
        <v>36386733.6040767</v>
      </c>
      <c r="BD59" t="n">
        <v>30038683.558962</v>
      </c>
      <c r="BE59" t="n">
        <v>5732121.36279511</v>
      </c>
      <c r="BF59" t="n">
        <v>2338551.75889694</v>
      </c>
      <c r="BG59" t="n">
        <v>11700394.37918</v>
      </c>
      <c r="BH59" t="n">
        <v>11953430.5513713</v>
      </c>
      <c r="BI59" t="n">
        <v>1407146.26471149</v>
      </c>
      <c r="BJ59" t="n">
        <v>1142142.96635457</v>
      </c>
      <c r="BK59" t="n">
        <v>3059624.06714874</v>
      </c>
      <c r="BL59" t="n">
        <v>5454824.51981778</v>
      </c>
      <c r="BM59" t="n">
        <v>2961653.24297868</v>
      </c>
      <c r="BN59" t="n">
        <v>33542921.7714216</v>
      </c>
      <c r="BO59" t="n">
        <v>8335836.93192043</v>
      </c>
      <c r="BP59" t="n">
        <v>1078626.89885511</v>
      </c>
      <c r="BQ59" t="n">
        <v>1367891.66237155</v>
      </c>
      <c r="BR59" t="n">
        <v>793459.273781421</v>
      </c>
      <c r="BS59" t="n">
        <v>37953294.4198282</v>
      </c>
      <c r="BT59" t="n">
        <v>1544630.11553619</v>
      </c>
      <c r="BU59" t="n">
        <v>282976242.275163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665199015.009802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4615289.34994779</v>
      </c>
      <c r="C60" t="n">
        <v>200874.548129053</v>
      </c>
      <c r="D60" t="n">
        <v>66601276.3946474</v>
      </c>
      <c r="E60" t="n">
        <v>3592955.82362039</v>
      </c>
      <c r="F60" t="n">
        <v>22941366.3547615</v>
      </c>
      <c r="G60" t="n">
        <v>61437226.8266136</v>
      </c>
      <c r="H60" t="n">
        <v>32964482.7403117</v>
      </c>
      <c r="I60" t="n">
        <v>1487341.88801556</v>
      </c>
      <c r="J60" t="n">
        <v>4996454.76815733</v>
      </c>
      <c r="K60" t="n">
        <v>1782732.65818195</v>
      </c>
      <c r="L60" t="n">
        <v>21085523.7281707</v>
      </c>
      <c r="M60" t="n">
        <v>20317769.1798954</v>
      </c>
      <c r="N60" t="n">
        <v>4907854.37429426</v>
      </c>
      <c r="O60" t="n">
        <v>993911.254012595</v>
      </c>
      <c r="P60" t="n">
        <v>7974388.79050589</v>
      </c>
      <c r="Q60" t="n">
        <v>5424164.08753645</v>
      </c>
      <c r="R60" t="n">
        <v>744332.323477208</v>
      </c>
      <c r="S60" t="n">
        <v>3359805.99703112</v>
      </c>
      <c r="T60" t="n">
        <v>6217192.46445416</v>
      </c>
      <c r="U60" t="n">
        <v>199196.495360557</v>
      </c>
      <c r="V60" t="n">
        <v>319915.034730904</v>
      </c>
      <c r="W60" t="n">
        <v>7682228.68946323</v>
      </c>
      <c r="X60" t="n">
        <v>903728.04109229</v>
      </c>
      <c r="Y60" t="n">
        <v>7470971.4898638</v>
      </c>
      <c r="Z60" t="n">
        <v>7693542.85900419</v>
      </c>
      <c r="AA60" t="n">
        <v>11937132.1493293</v>
      </c>
      <c r="AB60" t="n">
        <v>96559328.2541586</v>
      </c>
      <c r="AC60" t="n">
        <v>5048854.16527976</v>
      </c>
      <c r="AD60" t="n">
        <v>3371727.96694809</v>
      </c>
      <c r="AE60" t="n">
        <v>6797468.72681012</v>
      </c>
      <c r="AF60" t="n">
        <v>26562653.3289984</v>
      </c>
      <c r="AG60" t="n">
        <v>2419844.27302043</v>
      </c>
      <c r="AH60" t="n">
        <v>14141760.2518332</v>
      </c>
      <c r="AI60" t="n">
        <v>2236.35353484884</v>
      </c>
      <c r="AJ60" t="n">
        <v>2064709.47592782</v>
      </c>
      <c r="AK60" t="n">
        <v>195876.845717594</v>
      </c>
      <c r="AL60" t="n">
        <v>9095063.53792389</v>
      </c>
      <c r="AM60" t="n">
        <v>3521385.13002126</v>
      </c>
      <c r="AN60" t="n">
        <v>2305840.33902244</v>
      </c>
      <c r="AO60" t="n">
        <v>19938948.3463258</v>
      </c>
      <c r="AP60" t="n">
        <v>944547.289275327</v>
      </c>
      <c r="AQ60" t="n">
        <v>16809656.8864106</v>
      </c>
      <c r="AR60" t="n">
        <v>6214777.84902791</v>
      </c>
      <c r="AS60" t="n">
        <v>18731743.3971423</v>
      </c>
      <c r="AT60" t="n">
        <v>18900755.2026977</v>
      </c>
      <c r="AU60" t="n">
        <v>47796821.1213968</v>
      </c>
      <c r="AV60" t="n">
        <v>919067.409489648</v>
      </c>
      <c r="AW60" t="n">
        <v>9222711.31157603</v>
      </c>
      <c r="AX60" t="n">
        <v>37108709.4583316</v>
      </c>
      <c r="AY60" t="n">
        <v>5286309.98417188</v>
      </c>
      <c r="AZ60" t="n">
        <v>10901091.1674035</v>
      </c>
      <c r="BA60" t="n">
        <v>8476815.99763178</v>
      </c>
      <c r="BB60" t="n">
        <v>61034915.6673003</v>
      </c>
      <c r="BC60" t="n">
        <v>49534346.9291449</v>
      </c>
      <c r="BD60" t="n">
        <v>56996452.5160582</v>
      </c>
      <c r="BE60" t="n">
        <v>2380831.12146455</v>
      </c>
      <c r="BF60" t="n">
        <v>1373047.93428746</v>
      </c>
      <c r="BG60" t="n">
        <v>29705020.1085405</v>
      </c>
      <c r="BH60" t="n">
        <v>112947895.67451</v>
      </c>
      <c r="BI60" t="n">
        <v>9351542.54823526</v>
      </c>
      <c r="BJ60" t="n">
        <v>4281533.80358061</v>
      </c>
      <c r="BK60" t="n">
        <v>6979982.55777907</v>
      </c>
      <c r="BL60" t="n">
        <v>9554750.85043156</v>
      </c>
      <c r="BM60" t="n">
        <v>3879973.27508756</v>
      </c>
      <c r="BN60" t="n">
        <v>16258108.9152231</v>
      </c>
      <c r="BO60" t="n">
        <v>29633732.1418686</v>
      </c>
      <c r="BP60" t="n">
        <v>0</v>
      </c>
      <c r="BQ60" t="n">
        <v>1087895.61325597</v>
      </c>
      <c r="BR60" t="n">
        <v>700056.403608046</v>
      </c>
      <c r="BS60" t="n">
        <v>125710304.577608</v>
      </c>
      <c r="BT60" t="n">
        <v>7002797.56667498</v>
      </c>
      <c r="BU60" t="n">
        <v>619554831.099402</v>
      </c>
      <c r="BV60" t="n">
        <v>0</v>
      </c>
      <c r="BW60" t="n">
        <v>0</v>
      </c>
      <c r="BX60" t="n">
        <v>0</v>
      </c>
      <c r="BY60" t="n">
        <v>131190599.671241</v>
      </c>
      <c r="BZ60" t="n">
        <v>0</v>
      </c>
      <c r="CA60" t="n">
        <v>100350176.927648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4614520.34438064</v>
      </c>
      <c r="C61" t="n">
        <v>56540.3013497105</v>
      </c>
      <c r="D61" t="n">
        <v>222538543.141466</v>
      </c>
      <c r="E61" t="n">
        <v>3244523.39575633</v>
      </c>
      <c r="F61" t="n">
        <v>5548548.09435317</v>
      </c>
      <c r="G61" t="n">
        <v>17734419.9829977</v>
      </c>
      <c r="H61" t="n">
        <v>23120635.7846389</v>
      </c>
      <c r="I61" t="n">
        <v>914769.217205245</v>
      </c>
      <c r="J61" t="n">
        <v>3416714.84954607</v>
      </c>
      <c r="K61" t="n">
        <v>1108859.71839641</v>
      </c>
      <c r="L61" t="n">
        <v>15612031.5274603</v>
      </c>
      <c r="M61" t="n">
        <v>23483393.3046592</v>
      </c>
      <c r="N61" t="n">
        <v>628619.131344328</v>
      </c>
      <c r="O61" t="n">
        <v>359687.448894532</v>
      </c>
      <c r="P61" t="n">
        <v>1931257.0500083</v>
      </c>
      <c r="Q61" t="n">
        <v>8388000.43555876</v>
      </c>
      <c r="R61" t="n">
        <v>542137.760296382</v>
      </c>
      <c r="S61" t="n">
        <v>862644.998449685</v>
      </c>
      <c r="T61" t="n">
        <v>5408356.15560041</v>
      </c>
      <c r="U61" t="n">
        <v>111385.046868328</v>
      </c>
      <c r="V61" t="n">
        <v>34275.2989954189</v>
      </c>
      <c r="W61" t="n">
        <v>2802549.12986718</v>
      </c>
      <c r="X61" t="n">
        <v>953030.674880254</v>
      </c>
      <c r="Y61" t="n">
        <v>5897909.64741975</v>
      </c>
      <c r="Z61" t="n">
        <v>599353.409192755</v>
      </c>
      <c r="AA61" t="n">
        <v>5506803.33908313</v>
      </c>
      <c r="AB61" t="n">
        <v>89547508.759691</v>
      </c>
      <c r="AC61" t="n">
        <v>26941504.5226734</v>
      </c>
      <c r="AD61" t="n">
        <v>3532612.60764702</v>
      </c>
      <c r="AE61" t="n">
        <v>13689872.6584196</v>
      </c>
      <c r="AF61" t="n">
        <v>27321560.6344115</v>
      </c>
      <c r="AG61" t="n">
        <v>2101542.40368246</v>
      </c>
      <c r="AH61" t="n">
        <v>14871455.1124306</v>
      </c>
      <c r="AI61" t="n">
        <v>612.413461465014</v>
      </c>
      <c r="AJ61" t="n">
        <v>5217786.18479504</v>
      </c>
      <c r="AK61" t="n">
        <v>223657.709756305</v>
      </c>
      <c r="AL61" t="n">
        <v>1434334.7639907</v>
      </c>
      <c r="AM61" t="n">
        <v>1102984.4769512</v>
      </c>
      <c r="AN61" t="n">
        <v>1867837.93143057</v>
      </c>
      <c r="AO61" t="n">
        <v>27793002.0572706</v>
      </c>
      <c r="AP61" t="n">
        <v>517329.811274188</v>
      </c>
      <c r="AQ61" t="n">
        <v>16590714.6534529</v>
      </c>
      <c r="AR61" t="n">
        <v>9997321.35031259</v>
      </c>
      <c r="AS61" t="n">
        <v>21627203.6213023</v>
      </c>
      <c r="AT61" t="n">
        <v>11612078.2430402</v>
      </c>
      <c r="AU61" t="n">
        <v>20866141.7285592</v>
      </c>
      <c r="AV61" t="n">
        <v>450712.918916851</v>
      </c>
      <c r="AW61" t="n">
        <v>3413980.75489182</v>
      </c>
      <c r="AX61" t="n">
        <v>9933534.74433265</v>
      </c>
      <c r="AY61" t="n">
        <v>3047584.196147</v>
      </c>
      <c r="AZ61" t="n">
        <v>13291808.6992038</v>
      </c>
      <c r="BA61" t="n">
        <v>11803002.3659247</v>
      </c>
      <c r="BB61" t="n">
        <v>35863077.5038866</v>
      </c>
      <c r="BC61" t="n">
        <v>8279875.3648158</v>
      </c>
      <c r="BD61" t="n">
        <v>92687802.7230043</v>
      </c>
      <c r="BE61" t="n">
        <v>2192852.60800277</v>
      </c>
      <c r="BF61" t="n">
        <v>4282288.02646194</v>
      </c>
      <c r="BG61" t="n">
        <v>21394715.295706</v>
      </c>
      <c r="BH61" t="n">
        <v>25922679.3917938</v>
      </c>
      <c r="BI61" t="n">
        <v>4948355.74299119</v>
      </c>
      <c r="BJ61" t="n">
        <v>7456484.82533315</v>
      </c>
      <c r="BK61" t="n">
        <v>1314368.53060475</v>
      </c>
      <c r="BL61" t="n">
        <v>4551739.34704942</v>
      </c>
      <c r="BM61" t="n">
        <v>2728734.12768553</v>
      </c>
      <c r="BN61" t="n">
        <v>30573711.0822845</v>
      </c>
      <c r="BO61" t="n">
        <v>17852562.1616502</v>
      </c>
      <c r="BP61" t="n">
        <v>25896454.6151558</v>
      </c>
      <c r="BQ61" t="n">
        <v>88761349.5411345</v>
      </c>
      <c r="BR61" t="n">
        <v>909058.059829375</v>
      </c>
      <c r="BS61" t="n">
        <v>262010794.809021</v>
      </c>
      <c r="BT61" t="n">
        <v>22912054.0401543</v>
      </c>
      <c r="BU61" t="n">
        <v>0</v>
      </c>
      <c r="BV61" t="n">
        <v>0</v>
      </c>
      <c r="BW61" t="n">
        <v>96435253.8396053</v>
      </c>
      <c r="BX61" t="n">
        <v>549801636.949094</v>
      </c>
      <c r="BY61" t="n">
        <v>0</v>
      </c>
      <c r="BZ61" t="n">
        <v>0</v>
      </c>
      <c r="CA61" t="n">
        <v>149194063.389577</v>
      </c>
      <c r="CB61" t="n">
        <v>0</v>
      </c>
      <c r="CC61" t="n">
        <v>0</v>
      </c>
      <c r="CD61" t="n">
        <v>0</v>
      </c>
      <c r="CE61" t="n">
        <v>1525123.95367516</v>
      </c>
      <c r="CF61" t="n">
        <v>4002275.03626284</v>
      </c>
      <c r="CG61" t="n">
        <v>0</v>
      </c>
      <c r="CH61" t="n">
        <v>0</v>
      </c>
      <c r="CI61" t="n">
        <v>0</v>
      </c>
      <c r="CJ61" t="n">
        <v>10866850.7561984</v>
      </c>
      <c r="CK61" t="n">
        <v>0</v>
      </c>
      <c r="CL61" t="n">
        <v>0</v>
      </c>
      <c r="CM61" t="n">
        <v>8267715.34933965</v>
      </c>
      <c r="CN61" t="n">
        <v>57460293.3333772</v>
      </c>
    </row>
    <row r="62">
      <c r="A62" t="s">
        <v>173</v>
      </c>
      <c r="B62" t="n">
        <v>7093874.12268903</v>
      </c>
      <c r="C62" t="n">
        <v>298269.362016419</v>
      </c>
      <c r="D62" t="n">
        <v>63686478.9088705</v>
      </c>
      <c r="E62" t="n">
        <v>3273038.78158773</v>
      </c>
      <c r="F62" t="n">
        <v>32027967.6320065</v>
      </c>
      <c r="G62" t="n">
        <v>39216738.5798816</v>
      </c>
      <c r="H62" t="n">
        <v>72345304.2645202</v>
      </c>
      <c r="I62" t="n">
        <v>1629793.63634569</v>
      </c>
      <c r="J62" t="n">
        <v>7336612.4877005</v>
      </c>
      <c r="K62" t="n">
        <v>2831630.8373579</v>
      </c>
      <c r="L62" t="n">
        <v>17200788.0727921</v>
      </c>
      <c r="M62" t="n">
        <v>18059241.7886401</v>
      </c>
      <c r="N62" t="n">
        <v>2403255.29044108</v>
      </c>
      <c r="O62" t="n">
        <v>1576723.32324024</v>
      </c>
      <c r="P62" t="n">
        <v>5211424.75998347</v>
      </c>
      <c r="Q62" t="n">
        <v>4979310.04102026</v>
      </c>
      <c r="R62" t="n">
        <v>1389587.66138445</v>
      </c>
      <c r="S62" t="n">
        <v>2436319.14295713</v>
      </c>
      <c r="T62" t="n">
        <v>16760913.7615673</v>
      </c>
      <c r="U62" t="n">
        <v>267811.538149231</v>
      </c>
      <c r="V62" t="n">
        <v>187510.69588889</v>
      </c>
      <c r="W62" t="n">
        <v>7158851.7201979</v>
      </c>
      <c r="X62" t="n">
        <v>1209751.88821225</v>
      </c>
      <c r="Y62" t="n">
        <v>8276245.77479787</v>
      </c>
      <c r="Z62" t="n">
        <v>5427560.10157085</v>
      </c>
      <c r="AA62" t="n">
        <v>13628111.2705807</v>
      </c>
      <c r="AB62" t="n">
        <v>201598403.511933</v>
      </c>
      <c r="AC62" t="n">
        <v>54635167.7048887</v>
      </c>
      <c r="AD62" t="n">
        <v>13842915.7978354</v>
      </c>
      <c r="AE62" t="n">
        <v>14955650.6814853</v>
      </c>
      <c r="AF62" t="n">
        <v>102924601.286731</v>
      </c>
      <c r="AG62" t="n">
        <v>2543811.32629878</v>
      </c>
      <c r="AH62" t="n">
        <v>8383496.36672953</v>
      </c>
      <c r="AI62" t="n">
        <v>6077.59747904206</v>
      </c>
      <c r="AJ62" t="n">
        <v>8527697.90555513</v>
      </c>
      <c r="AK62" t="n">
        <v>416021.368057675</v>
      </c>
      <c r="AL62" t="n">
        <v>47271708.1924899</v>
      </c>
      <c r="AM62" t="n">
        <v>3594868.38935867</v>
      </c>
      <c r="AN62" t="n">
        <v>4476941.30554105</v>
      </c>
      <c r="AO62" t="n">
        <v>27414286.1655828</v>
      </c>
      <c r="AP62" t="n">
        <v>1760979.89606202</v>
      </c>
      <c r="AQ62" t="n">
        <v>52423230.7971386</v>
      </c>
      <c r="AR62" t="n">
        <v>11890025.9682468</v>
      </c>
      <c r="AS62" t="n">
        <v>45653978.7342494</v>
      </c>
      <c r="AT62" t="n">
        <v>18216396.8672695</v>
      </c>
      <c r="AU62" t="n">
        <v>38720079.8032186</v>
      </c>
      <c r="AV62" t="n">
        <v>375375.940391234</v>
      </c>
      <c r="AW62" t="n">
        <v>3750039.630384</v>
      </c>
      <c r="AX62" t="n">
        <v>44932237.7837396</v>
      </c>
      <c r="AY62" t="n">
        <v>16524470.6369291</v>
      </c>
      <c r="AZ62" t="n">
        <v>11769212.1888902</v>
      </c>
      <c r="BA62" t="n">
        <v>15592329.0317776</v>
      </c>
      <c r="BB62" t="n">
        <v>155850464.249471</v>
      </c>
      <c r="BC62" t="n">
        <v>58198765.1293271</v>
      </c>
      <c r="BD62" t="n">
        <v>99233220.5776451</v>
      </c>
      <c r="BE62" t="n">
        <v>3769793.77716762</v>
      </c>
      <c r="BF62" t="n">
        <v>7061796.46384872</v>
      </c>
      <c r="BG62" t="n">
        <v>45010078.8527787</v>
      </c>
      <c r="BH62" t="n">
        <v>69174370.552097</v>
      </c>
      <c r="BI62" t="n">
        <v>12775175.4481005</v>
      </c>
      <c r="BJ62" t="n">
        <v>9194564.54337762</v>
      </c>
      <c r="BK62" t="n">
        <v>6589130.95984452</v>
      </c>
      <c r="BL62" t="n">
        <v>10551868.7717215</v>
      </c>
      <c r="BM62" t="n">
        <v>7279278.55142406</v>
      </c>
      <c r="BN62" t="n">
        <v>49083699.1885047</v>
      </c>
      <c r="BO62" t="n">
        <v>48916036.2027587</v>
      </c>
      <c r="BP62" t="n">
        <v>105462755.214608</v>
      </c>
      <c r="BQ62" t="n">
        <v>22803053.8521871</v>
      </c>
      <c r="BR62" t="n">
        <v>4016819.91938797</v>
      </c>
      <c r="BS62" t="n">
        <v>184601766.238502</v>
      </c>
      <c r="BT62" t="n">
        <v>33969393.4838492</v>
      </c>
      <c r="BU62" t="n">
        <v>132448054.044907</v>
      </c>
      <c r="BV62" t="n">
        <v>0</v>
      </c>
      <c r="BW62" t="n">
        <v>59423557.1039483</v>
      </c>
      <c r="BX62" t="n">
        <v>578975401.143106</v>
      </c>
      <c r="BY62" t="n">
        <v>5287492.40150368</v>
      </c>
      <c r="BZ62" t="n">
        <v>0</v>
      </c>
      <c r="CA62" t="n">
        <v>1012361781.99189</v>
      </c>
      <c r="CB62" t="n">
        <v>0</v>
      </c>
      <c r="CC62" t="n">
        <v>0</v>
      </c>
      <c r="CD62" t="n">
        <v>0</v>
      </c>
      <c r="CE62" t="n">
        <v>0</v>
      </c>
      <c r="CF62" t="n">
        <v>15804391.3148678</v>
      </c>
      <c r="CG62" t="n">
        <v>0</v>
      </c>
      <c r="CH62" t="n">
        <v>0</v>
      </c>
      <c r="CI62" t="n">
        <v>0</v>
      </c>
      <c r="CJ62" t="n">
        <v>27328497.9356762</v>
      </c>
      <c r="CK62" t="n">
        <v>0</v>
      </c>
      <c r="CL62" t="n">
        <v>0</v>
      </c>
      <c r="CM62" t="n">
        <v>0</v>
      </c>
      <c r="CN62" t="n">
        <v>46783480.8840745</v>
      </c>
    </row>
    <row r="63">
      <c r="A63" t="s">
        <v>174</v>
      </c>
      <c r="B63" t="n">
        <v>0</v>
      </c>
      <c r="C63" t="n">
        <v>0</v>
      </c>
      <c r="D63" t="n">
        <v>1348264312.28969</v>
      </c>
      <c r="E63" t="n">
        <v>33814954.6923197</v>
      </c>
      <c r="F63" t="n">
        <v>232643750.141173</v>
      </c>
      <c r="G63" t="n">
        <v>454974.464993024</v>
      </c>
      <c r="H63" t="n">
        <v>46160047.933227</v>
      </c>
      <c r="I63" t="n">
        <v>1315323.48173069</v>
      </c>
      <c r="J63" t="n">
        <v>19612009.7643468</v>
      </c>
      <c r="K63" t="n">
        <v>3324000.36293939</v>
      </c>
      <c r="L63" t="n">
        <v>44266541.1761646</v>
      </c>
      <c r="M63" t="n">
        <v>141226324.675361</v>
      </c>
      <c r="N63" t="n">
        <v>5558358.74179578</v>
      </c>
      <c r="O63" t="n">
        <v>6915717.40424875</v>
      </c>
      <c r="P63" t="n">
        <v>22702580.036766</v>
      </c>
      <c r="Q63" t="n">
        <v>13283178.9207074</v>
      </c>
      <c r="R63" t="n">
        <v>1000762.9208042</v>
      </c>
      <c r="S63" t="n">
        <v>7454141.13564749</v>
      </c>
      <c r="T63" t="n">
        <v>103754245.586113</v>
      </c>
      <c r="U63" t="n">
        <v>980267.638934255</v>
      </c>
      <c r="V63" t="n">
        <v>1097064.1095086</v>
      </c>
      <c r="W63" t="n">
        <v>19471650.635125</v>
      </c>
      <c r="X63" t="n">
        <v>938191.31025738</v>
      </c>
      <c r="Y63" t="n">
        <v>45218465.441802</v>
      </c>
      <c r="Z63" t="n">
        <v>30807300.1777121</v>
      </c>
      <c r="AA63" t="n">
        <v>17761594.4638302</v>
      </c>
      <c r="AB63" t="n">
        <v>415244401.976335</v>
      </c>
      <c r="AC63" t="n">
        <v>11527259.8604505</v>
      </c>
      <c r="AD63" t="n">
        <v>18156544.4202917</v>
      </c>
      <c r="AE63" t="n">
        <v>90738568.0944319</v>
      </c>
      <c r="AF63" t="n">
        <v>120553241.744951</v>
      </c>
      <c r="AG63" t="n">
        <v>27414252.363476</v>
      </c>
      <c r="AH63" t="n">
        <v>154938.348920449</v>
      </c>
      <c r="AI63" t="n">
        <v>13027.6229887389</v>
      </c>
      <c r="AJ63" t="n">
        <v>28569889.8421551</v>
      </c>
      <c r="AK63" t="n">
        <v>181352.036989412</v>
      </c>
      <c r="AL63" t="n">
        <v>262798.078780331</v>
      </c>
      <c r="AM63" t="n">
        <v>29166470.0980567</v>
      </c>
      <c r="AN63" t="n">
        <v>8497273.97315503</v>
      </c>
      <c r="AO63" t="n">
        <v>14589266.5204669</v>
      </c>
      <c r="AP63" t="n">
        <v>387015.718640721</v>
      </c>
      <c r="AQ63" t="n">
        <v>16603787.0275915</v>
      </c>
      <c r="AR63" t="n">
        <v>2828392.34002465</v>
      </c>
      <c r="AS63" t="n">
        <v>18932789.6154837</v>
      </c>
      <c r="AT63" t="n">
        <v>19732656.8448805</v>
      </c>
      <c r="AU63" t="n">
        <v>16782058.7882146</v>
      </c>
      <c r="AV63" t="n">
        <v>362721.333724732</v>
      </c>
      <c r="AW63" t="n">
        <v>97735.593825302</v>
      </c>
      <c r="AX63" t="n">
        <v>51471135.4771294</v>
      </c>
      <c r="AY63" t="n">
        <v>53716441.3144593</v>
      </c>
      <c r="AZ63" t="n">
        <v>13903591.8671647</v>
      </c>
      <c r="BA63" t="n">
        <v>7317851.06372815</v>
      </c>
      <c r="BB63" t="n">
        <v>56607487.9831149</v>
      </c>
      <c r="BC63" t="n">
        <v>187527.398684618</v>
      </c>
      <c r="BD63" t="n">
        <v>109702227.247429</v>
      </c>
      <c r="BE63" t="n">
        <v>14001365.5103264</v>
      </c>
      <c r="BF63" t="n">
        <v>17699406.6977845</v>
      </c>
      <c r="BG63" t="n">
        <v>229540186.660038</v>
      </c>
      <c r="BH63" t="n">
        <v>55007561.2143878</v>
      </c>
      <c r="BI63" t="n">
        <v>28637660.0473061</v>
      </c>
      <c r="BJ63" t="n">
        <v>9048320.55967369</v>
      </c>
      <c r="BK63" t="n">
        <v>9148703.09073149</v>
      </c>
      <c r="BL63" t="n">
        <v>11070110.8393156</v>
      </c>
      <c r="BM63" t="n">
        <v>48299389.5000331</v>
      </c>
      <c r="BN63" t="n">
        <v>270837699.57614</v>
      </c>
      <c r="BO63" t="n">
        <v>54181807.299359</v>
      </c>
      <c r="BP63" t="n">
        <v>0</v>
      </c>
      <c r="BQ63" t="n">
        <v>0</v>
      </c>
      <c r="BR63" t="n">
        <v>1348839.87719212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29453526.0440552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4993103.88349098</v>
      </c>
      <c r="C64" t="n">
        <v>63323.0495483135</v>
      </c>
      <c r="D64" t="n">
        <v>27757817.7652596</v>
      </c>
      <c r="E64" t="n">
        <v>3280454.28545664</v>
      </c>
      <c r="F64" t="n">
        <v>96740666.1304541</v>
      </c>
      <c r="G64" t="n">
        <v>89513909.4849001</v>
      </c>
      <c r="H64" t="n">
        <v>36346686.5958893</v>
      </c>
      <c r="I64" t="n">
        <v>1956434.22167372</v>
      </c>
      <c r="J64" t="n">
        <v>10622403.6464303</v>
      </c>
      <c r="K64" t="n">
        <v>12723817.1000691</v>
      </c>
      <c r="L64" t="n">
        <v>96051068.1025302</v>
      </c>
      <c r="M64" t="n">
        <v>38375915.5973995</v>
      </c>
      <c r="N64" t="n">
        <v>3229086.94777838</v>
      </c>
      <c r="O64" t="n">
        <v>1732460.92971741</v>
      </c>
      <c r="P64" t="n">
        <v>10205092.1813346</v>
      </c>
      <c r="Q64" t="n">
        <v>22463341.2379833</v>
      </c>
      <c r="R64" t="n">
        <v>816185.725480874</v>
      </c>
      <c r="S64" t="n">
        <v>3354021.14072734</v>
      </c>
      <c r="T64" t="n">
        <v>16222791.3013107</v>
      </c>
      <c r="U64" t="n">
        <v>294347.182336204</v>
      </c>
      <c r="V64" t="n">
        <v>1211827.08431552</v>
      </c>
      <c r="W64" t="n">
        <v>12855341.563712</v>
      </c>
      <c r="X64" t="n">
        <v>6717397.95094986</v>
      </c>
      <c r="Y64" t="n">
        <v>21767734.3366901</v>
      </c>
      <c r="Z64" t="n">
        <v>8758041.15775274</v>
      </c>
      <c r="AA64" t="n">
        <v>18870403.0599951</v>
      </c>
      <c r="AB64" t="n">
        <v>326376238.168895</v>
      </c>
      <c r="AC64" t="n">
        <v>42116764.0098684</v>
      </c>
      <c r="AD64" t="n">
        <v>11751378.6889985</v>
      </c>
      <c r="AE64" t="n">
        <v>40910807.5896985</v>
      </c>
      <c r="AF64" t="n">
        <v>96097874.547222</v>
      </c>
      <c r="AG64" t="n">
        <v>21282958.9579743</v>
      </c>
      <c r="AH64" t="n">
        <v>10508880.2627856</v>
      </c>
      <c r="AI64" t="n">
        <v>51908.3321468879</v>
      </c>
      <c r="AJ64" t="n">
        <v>72550706.7608248</v>
      </c>
      <c r="AK64" t="n">
        <v>5831765.52583473</v>
      </c>
      <c r="AL64" t="n">
        <v>231510871.781243</v>
      </c>
      <c r="AM64" t="n">
        <v>43151490.8872508</v>
      </c>
      <c r="AN64" t="n">
        <v>31535256.1398054</v>
      </c>
      <c r="AO64" t="n">
        <v>72141990.6145509</v>
      </c>
      <c r="AP64" t="n">
        <v>1328212.92035329</v>
      </c>
      <c r="AQ64" t="n">
        <v>152107238.522892</v>
      </c>
      <c r="AR64" t="n">
        <v>19073528.8406977</v>
      </c>
      <c r="AS64" t="n">
        <v>67619384.5212104</v>
      </c>
      <c r="AT64" t="n">
        <v>20604688.1417233</v>
      </c>
      <c r="AU64" t="n">
        <v>35972744.6881592</v>
      </c>
      <c r="AV64" t="n">
        <v>46154.0617369431</v>
      </c>
      <c r="AW64" t="n">
        <v>12652133.7235319</v>
      </c>
      <c r="AX64" t="n">
        <v>348290137.95123</v>
      </c>
      <c r="AY64" t="n">
        <v>112580955.636247</v>
      </c>
      <c r="AZ64" t="n">
        <v>34024774.6402117</v>
      </c>
      <c r="BA64" t="n">
        <v>52842674.8707633</v>
      </c>
      <c r="BB64" t="n">
        <v>205659054.264577</v>
      </c>
      <c r="BC64" t="n">
        <v>66820341.3121791</v>
      </c>
      <c r="BD64" t="n">
        <v>497899150.841638</v>
      </c>
      <c r="BE64" t="n">
        <v>20503866.9744689</v>
      </c>
      <c r="BF64" t="n">
        <v>13123456.8951891</v>
      </c>
      <c r="BG64" t="n">
        <v>148275009.198188</v>
      </c>
      <c r="BH64" t="n">
        <v>218820207.193479</v>
      </c>
      <c r="BI64" t="n">
        <v>46148508.4450082</v>
      </c>
      <c r="BJ64" t="n">
        <v>16008067.8457244</v>
      </c>
      <c r="BK64" t="n">
        <v>13297184.0517134</v>
      </c>
      <c r="BL64" t="n">
        <v>12736960.276948</v>
      </c>
      <c r="BM64" t="n">
        <v>14143661.2283091</v>
      </c>
      <c r="BN64" t="n">
        <v>65561091.3443476</v>
      </c>
      <c r="BO64" t="n">
        <v>89812119.8574453</v>
      </c>
      <c r="BP64" t="n">
        <v>37487073.0600837</v>
      </c>
      <c r="BQ64" t="n">
        <v>82241714.258192</v>
      </c>
      <c r="BR64" t="n">
        <v>4831365.93830803</v>
      </c>
      <c r="BS64" t="n">
        <v>331363641.891394</v>
      </c>
      <c r="BT64" t="n">
        <v>35472560.4912702</v>
      </c>
      <c r="BU64" t="n">
        <v>369595938.979072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30638143.8749993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425867.108147544</v>
      </c>
      <c r="C65" t="n">
        <v>961.090643279073</v>
      </c>
      <c r="D65" t="n">
        <v>7362701.05894935</v>
      </c>
      <c r="E65" t="n">
        <v>136942.155705662</v>
      </c>
      <c r="F65" t="n">
        <v>1486700.33832579</v>
      </c>
      <c r="G65" t="n">
        <v>1018249.70657899</v>
      </c>
      <c r="H65" t="n">
        <v>1881348.84836357</v>
      </c>
      <c r="I65" t="n">
        <v>84395.735701201</v>
      </c>
      <c r="J65" t="n">
        <v>481920.564059978</v>
      </c>
      <c r="K65" t="n">
        <v>199022.621372977</v>
      </c>
      <c r="L65" t="n">
        <v>784031.630001429</v>
      </c>
      <c r="M65" t="n">
        <v>677039.994592101</v>
      </c>
      <c r="N65" t="n">
        <v>28863.3531099057</v>
      </c>
      <c r="O65" t="n">
        <v>42006.0324674064</v>
      </c>
      <c r="P65" t="n">
        <v>124457.754673879</v>
      </c>
      <c r="Q65" t="n">
        <v>169769.88953001</v>
      </c>
      <c r="R65" t="n">
        <v>46283.8041504464</v>
      </c>
      <c r="S65" t="n">
        <v>45128.2576105648</v>
      </c>
      <c r="T65" t="n">
        <v>1119094.95080904</v>
      </c>
      <c r="U65" t="n">
        <v>15487.256632472</v>
      </c>
      <c r="V65" t="n">
        <v>906.302146398325</v>
      </c>
      <c r="W65" t="n">
        <v>549114.863291061</v>
      </c>
      <c r="X65" t="n">
        <v>41517.8506837794</v>
      </c>
      <c r="Y65" t="n">
        <v>998090.324754854</v>
      </c>
      <c r="Z65" t="n">
        <v>550551.876776477</v>
      </c>
      <c r="AA65" t="n">
        <v>605587.045944096</v>
      </c>
      <c r="AB65" t="n">
        <v>2320133.55440954</v>
      </c>
      <c r="AC65" t="n">
        <v>1071459.55427577</v>
      </c>
      <c r="AD65" t="n">
        <v>309778.796419961</v>
      </c>
      <c r="AE65" t="n">
        <v>394362.136668659</v>
      </c>
      <c r="AF65" t="n">
        <v>1128758.59740488</v>
      </c>
      <c r="AG65" t="n">
        <v>126403.432393468</v>
      </c>
      <c r="AH65" t="n">
        <v>420845.732821585</v>
      </c>
      <c r="AI65" t="n">
        <v>18.4481110004354</v>
      </c>
      <c r="AJ65" t="n">
        <v>1279224.97491166</v>
      </c>
      <c r="AK65" t="n">
        <v>7852.91350249049</v>
      </c>
      <c r="AL65" t="n">
        <v>4563151.69223134</v>
      </c>
      <c r="AM65" t="n">
        <v>257061.268557051</v>
      </c>
      <c r="AN65" t="n">
        <v>271319.238463348</v>
      </c>
      <c r="AO65" t="n">
        <v>42799.9435158244</v>
      </c>
      <c r="AP65" t="n">
        <v>8113.42415180192</v>
      </c>
      <c r="AQ65" t="n">
        <v>75926.9607877791</v>
      </c>
      <c r="AR65" t="n">
        <v>14467.8135818083</v>
      </c>
      <c r="AS65" t="n">
        <v>281323.01599986</v>
      </c>
      <c r="AT65" t="n">
        <v>42151.8184800362</v>
      </c>
      <c r="AU65" t="n">
        <v>938225.42206811</v>
      </c>
      <c r="AV65" t="n">
        <v>27895.5305523045</v>
      </c>
      <c r="AW65" t="n">
        <v>2672.52484310271</v>
      </c>
      <c r="AX65" t="n">
        <v>29147924.0365794</v>
      </c>
      <c r="AY65" t="n">
        <v>774944.863923119</v>
      </c>
      <c r="AZ65" t="n">
        <v>237392.232390173</v>
      </c>
      <c r="BA65" t="n">
        <v>118014.762415271</v>
      </c>
      <c r="BB65" t="n">
        <v>1676031.2990896</v>
      </c>
      <c r="BC65" t="n">
        <v>548867.862869992</v>
      </c>
      <c r="BD65" t="n">
        <v>3045547.61170609</v>
      </c>
      <c r="BE65" t="n">
        <v>11610082.3006822</v>
      </c>
      <c r="BF65" t="n">
        <v>164762.143584754</v>
      </c>
      <c r="BG65" t="n">
        <v>1948921.83363141</v>
      </c>
      <c r="BH65" t="n">
        <v>2485828.63311222</v>
      </c>
      <c r="BI65" t="n">
        <v>854404.946112568</v>
      </c>
      <c r="BJ65" t="n">
        <v>455335.428654814</v>
      </c>
      <c r="BK65" t="n">
        <v>73482.6458829748</v>
      </c>
      <c r="BL65" t="n">
        <v>486983.947308022</v>
      </c>
      <c r="BM65" t="n">
        <v>543089.974374505</v>
      </c>
      <c r="BN65" t="n">
        <v>2500310.49073597</v>
      </c>
      <c r="BO65" t="n">
        <v>1882901.09037435</v>
      </c>
      <c r="BP65" t="n">
        <v>129847.252559421</v>
      </c>
      <c r="BQ65" t="n">
        <v>1780908.60653653</v>
      </c>
      <c r="BR65" t="n">
        <v>422029.698925433</v>
      </c>
      <c r="BS65" t="n">
        <v>41285225.4196261</v>
      </c>
      <c r="BT65" t="n">
        <v>4650180.46348897</v>
      </c>
      <c r="BU65" t="n">
        <v>37489834.8771154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2046556.42790899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10161.3612264641</v>
      </c>
      <c r="C66" t="n">
        <v>0</v>
      </c>
      <c r="D66" t="n">
        <v>0</v>
      </c>
      <c r="E66" t="n">
        <v>0</v>
      </c>
      <c r="F66" t="n">
        <v>0</v>
      </c>
      <c r="G66" t="n">
        <v>424789.177430537</v>
      </c>
      <c r="H66" t="n">
        <v>9046.22207006758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22333.5921711907</v>
      </c>
      <c r="Y66" t="n">
        <v>25356.423836583</v>
      </c>
      <c r="Z66" t="n">
        <v>0</v>
      </c>
      <c r="AA66" t="n">
        <v>4594.95738937395</v>
      </c>
      <c r="AB66" t="n">
        <v>3538888.348239</v>
      </c>
      <c r="AC66" t="n">
        <v>229841.312617917</v>
      </c>
      <c r="AD66" t="n">
        <v>844827.484523722</v>
      </c>
      <c r="AE66" t="n">
        <v>0</v>
      </c>
      <c r="AF66" t="n">
        <v>6294504.5717171</v>
      </c>
      <c r="AG66" t="n">
        <v>312749.91920539</v>
      </c>
      <c r="AH66" t="n">
        <v>53577.3932909759</v>
      </c>
      <c r="AI66" t="n">
        <v>0</v>
      </c>
      <c r="AJ66" t="n">
        <v>0</v>
      </c>
      <c r="AK66" t="n">
        <v>0</v>
      </c>
      <c r="AL66" t="n">
        <v>340781.578310768</v>
      </c>
      <c r="AM66" t="n">
        <v>61724.0586858267</v>
      </c>
      <c r="AN66" t="n">
        <v>0</v>
      </c>
      <c r="AO66" t="n">
        <v>0</v>
      </c>
      <c r="AP66" t="n">
        <v>0</v>
      </c>
      <c r="AQ66" t="n">
        <v>31310.0026930332</v>
      </c>
      <c r="AR66" t="n">
        <v>43518.3843404939</v>
      </c>
      <c r="AS66" t="n">
        <v>50627.5955740965</v>
      </c>
      <c r="AT66" t="n">
        <v>5330.52490410194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69389.0995893498</v>
      </c>
      <c r="BB66" t="n">
        <v>60886.5893370368</v>
      </c>
      <c r="BC66" t="n">
        <v>0</v>
      </c>
      <c r="BD66" t="n">
        <v>680750.19039047</v>
      </c>
      <c r="BE66" t="n">
        <v>0</v>
      </c>
      <c r="BF66" t="n">
        <v>2884864.0648582</v>
      </c>
      <c r="BG66" t="n">
        <v>0</v>
      </c>
      <c r="BH66" t="n">
        <v>12904.6896220124</v>
      </c>
      <c r="BI66" t="n">
        <v>0</v>
      </c>
      <c r="BJ66" t="n">
        <v>0</v>
      </c>
      <c r="BK66" t="n">
        <v>3557513.18609501</v>
      </c>
      <c r="BL66" t="n">
        <v>501580.854568011</v>
      </c>
      <c r="BM66" t="n">
        <v>0</v>
      </c>
      <c r="BN66" t="n">
        <v>0</v>
      </c>
      <c r="BO66" t="n">
        <v>5068308.55404983</v>
      </c>
      <c r="BP66" t="n">
        <v>0</v>
      </c>
      <c r="BQ66" t="n">
        <v>69767.3659708708</v>
      </c>
      <c r="BR66" t="n">
        <v>410365.468052545</v>
      </c>
      <c r="BS66" t="n">
        <v>31422705.1698201</v>
      </c>
      <c r="BT66" t="n">
        <v>17519.2396211025</v>
      </c>
      <c r="BU66" t="n">
        <v>901478200.778789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16900396.5227218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527240.319606638</v>
      </c>
      <c r="BC67" t="n">
        <v>0</v>
      </c>
      <c r="BD67" t="n">
        <v>926718.200408998</v>
      </c>
      <c r="BE67" t="n">
        <v>0</v>
      </c>
      <c r="BF67" t="n">
        <v>0</v>
      </c>
      <c r="BG67" t="n">
        <v>141823899.194459</v>
      </c>
      <c r="BH67" t="n">
        <v>123021763.827404</v>
      </c>
      <c r="BI67" t="n">
        <v>795823.665893272</v>
      </c>
      <c r="BJ67" t="n">
        <v>7796.24788977836</v>
      </c>
      <c r="BK67" t="n">
        <v>617816.652314087</v>
      </c>
      <c r="BL67" t="n">
        <v>21395.965095697</v>
      </c>
      <c r="BM67" t="n">
        <v>0</v>
      </c>
      <c r="BN67" t="n">
        <v>0</v>
      </c>
      <c r="BO67" t="n">
        <v>506271.868146586</v>
      </c>
      <c r="BP67" t="n">
        <v>0</v>
      </c>
      <c r="BQ67" t="n">
        <v>8181323.00895977</v>
      </c>
      <c r="BR67" t="n">
        <v>0</v>
      </c>
      <c r="BS67" t="n">
        <v>139301587.579753</v>
      </c>
      <c r="BT67" t="n">
        <v>0</v>
      </c>
      <c r="BU67" t="n">
        <v>10002772217.3282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9615933.88825813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8868060.39179233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9902035189.65328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45980371.7342001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25733979.6463644</v>
      </c>
      <c r="BR69" t="n">
        <v>0</v>
      </c>
      <c r="BS69" t="n">
        <v>16686393.3785373</v>
      </c>
      <c r="BT69" t="n">
        <v>0</v>
      </c>
      <c r="BU69" t="n">
        <v>2242900489.85241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2290673.3797961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2177663507.13602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1064767.71084782</v>
      </c>
      <c r="C71" t="n">
        <v>0</v>
      </c>
      <c r="D71" t="n">
        <v>0</v>
      </c>
      <c r="E71" t="n">
        <v>0</v>
      </c>
      <c r="F71" t="n">
        <v>1422542.18135775</v>
      </c>
      <c r="G71" t="n">
        <v>1113494.18491996</v>
      </c>
      <c r="H71" t="n">
        <v>1028836.54263044</v>
      </c>
      <c r="I71" t="n">
        <v>95596.2332755215</v>
      </c>
      <c r="J71" t="n">
        <v>409693.216555856</v>
      </c>
      <c r="K71" t="n">
        <v>198141.890091673</v>
      </c>
      <c r="L71" t="n">
        <v>895073.698993075</v>
      </c>
      <c r="M71" t="n">
        <v>778131.640407282</v>
      </c>
      <c r="N71" t="n">
        <v>10238.7803540504</v>
      </c>
      <c r="O71" t="n">
        <v>19211.879075408</v>
      </c>
      <c r="P71" t="n">
        <v>138121.573170238</v>
      </c>
      <c r="Q71" t="n">
        <v>78635.0774132599</v>
      </c>
      <c r="R71" t="n">
        <v>42072.1169689535</v>
      </c>
      <c r="S71" t="n">
        <v>64347.7987356026</v>
      </c>
      <c r="T71" t="n">
        <v>549533.081978209</v>
      </c>
      <c r="U71" t="n">
        <v>7219.46809699191</v>
      </c>
      <c r="V71" t="n">
        <v>4393.76732169395</v>
      </c>
      <c r="W71" t="n">
        <v>420334.366142238</v>
      </c>
      <c r="X71" t="n">
        <v>93129.1844461294</v>
      </c>
      <c r="Y71" t="n">
        <v>507637.545499789</v>
      </c>
      <c r="Z71" t="n">
        <v>77477.0483781615</v>
      </c>
      <c r="AA71" t="n">
        <v>1068666.03415688</v>
      </c>
      <c r="AB71" t="n">
        <v>18415089.5634545</v>
      </c>
      <c r="AC71" t="n">
        <v>3390240.78265677</v>
      </c>
      <c r="AD71" t="n">
        <v>1921511.02806645</v>
      </c>
      <c r="AE71" t="n">
        <v>764749.581977315</v>
      </c>
      <c r="AF71" t="n">
        <v>3571666.16540572</v>
      </c>
      <c r="AG71" t="n">
        <v>0</v>
      </c>
      <c r="AH71" t="n">
        <v>2095039.11778943</v>
      </c>
      <c r="AI71" t="n">
        <v>0</v>
      </c>
      <c r="AJ71" t="n">
        <v>600164.822643254</v>
      </c>
      <c r="AK71" t="n">
        <v>19035.525218853</v>
      </c>
      <c r="AL71" t="n">
        <v>0</v>
      </c>
      <c r="AM71" t="n">
        <v>1677424.68340729</v>
      </c>
      <c r="AN71" t="n">
        <v>48976.1707230493</v>
      </c>
      <c r="AO71" t="n">
        <v>873408.393341761</v>
      </c>
      <c r="AP71" t="n">
        <v>9899344.27231098</v>
      </c>
      <c r="AQ71" t="n">
        <v>158969080.295605</v>
      </c>
      <c r="AR71" t="n">
        <v>495991.357509226</v>
      </c>
      <c r="AS71" t="n">
        <v>9907207.93560679</v>
      </c>
      <c r="AT71" t="n">
        <v>1328292.49230315</v>
      </c>
      <c r="AU71" t="n">
        <v>790227.066957797</v>
      </c>
      <c r="AV71" t="n">
        <v>124165.863678946</v>
      </c>
      <c r="AW71" t="n">
        <v>0</v>
      </c>
      <c r="AX71" t="n">
        <v>16180006.6475974</v>
      </c>
      <c r="AY71" t="n">
        <v>1623229.7202961</v>
      </c>
      <c r="AZ71" t="n">
        <v>2336506.27749722</v>
      </c>
      <c r="BA71" t="n">
        <v>1954978.9168752</v>
      </c>
      <c r="BB71" t="n">
        <v>22681379.6890015</v>
      </c>
      <c r="BC71" t="n">
        <v>18962509.1065484</v>
      </c>
      <c r="BD71" t="n">
        <v>15286135.7227594</v>
      </c>
      <c r="BE71" t="n">
        <v>527897.866268336</v>
      </c>
      <c r="BF71" t="n">
        <v>4621686.96512387</v>
      </c>
      <c r="BG71" t="n">
        <v>6535738.28837064</v>
      </c>
      <c r="BH71" t="n">
        <v>9135797.36390909</v>
      </c>
      <c r="BI71" t="n">
        <v>1230644.37248543</v>
      </c>
      <c r="BJ71" t="n">
        <v>4593492.54894291</v>
      </c>
      <c r="BK71" t="n">
        <v>75082583.8265871</v>
      </c>
      <c r="BL71" t="n">
        <v>3459692.40569309</v>
      </c>
      <c r="BM71" t="n">
        <v>886014.687569891</v>
      </c>
      <c r="BN71" t="n">
        <v>23649830.6902312</v>
      </c>
      <c r="BO71" t="n">
        <v>9294063.30489511</v>
      </c>
      <c r="BP71" t="n">
        <v>0</v>
      </c>
      <c r="BQ71" t="n">
        <v>159538.965900613</v>
      </c>
      <c r="BR71" t="n">
        <v>266496.676206338</v>
      </c>
      <c r="BS71" t="n">
        <v>14663108.7243038</v>
      </c>
      <c r="BT71" t="n">
        <v>167905.779797402</v>
      </c>
      <c r="BU71" t="n">
        <v>497932673.049778</v>
      </c>
      <c r="BV71" t="n">
        <v>0</v>
      </c>
      <c r="BW71" t="n">
        <v>0</v>
      </c>
      <c r="BX71" t="n">
        <v>20403538.0656243</v>
      </c>
      <c r="BY71" t="n">
        <v>0</v>
      </c>
      <c r="BZ71" t="n">
        <v>0</v>
      </c>
      <c r="CA71" t="n">
        <v>7217570.85784413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130980.178312198</v>
      </c>
      <c r="C72" t="n">
        <v>0</v>
      </c>
      <c r="D72" t="n">
        <v>0</v>
      </c>
      <c r="E72" t="n">
        <v>0</v>
      </c>
      <c r="F72" t="n">
        <v>387202.436949156</v>
      </c>
      <c r="G72" t="n">
        <v>218397.694586879</v>
      </c>
      <c r="H72" t="n">
        <v>266528.020833232</v>
      </c>
      <c r="I72" t="n">
        <v>11020.3981295784</v>
      </c>
      <c r="J72" t="n">
        <v>74461.2542198168</v>
      </c>
      <c r="K72" t="n">
        <v>16552.1235387187</v>
      </c>
      <c r="L72" t="n">
        <v>117790.751831118</v>
      </c>
      <c r="M72" t="n">
        <v>88344.394826423</v>
      </c>
      <c r="N72" t="n">
        <v>1639.35207249533</v>
      </c>
      <c r="O72" t="n">
        <v>1845.63196140879</v>
      </c>
      <c r="P72" t="n">
        <v>17459.1534448193</v>
      </c>
      <c r="Q72" t="n">
        <v>10072.3385145976</v>
      </c>
      <c r="R72" t="n">
        <v>6736.25273346501</v>
      </c>
      <c r="S72" t="n">
        <v>8242.28617628207</v>
      </c>
      <c r="T72" t="n">
        <v>52792.1197072662</v>
      </c>
      <c r="U72" t="n">
        <v>0</v>
      </c>
      <c r="V72" t="n">
        <v>0</v>
      </c>
      <c r="W72" t="n">
        <v>36238.7821531276</v>
      </c>
      <c r="X72" t="n">
        <v>11544.0807308088</v>
      </c>
      <c r="Y72" t="n">
        <v>31128.0840417294</v>
      </c>
      <c r="Z72" t="n">
        <v>10234.1322145791</v>
      </c>
      <c r="AA72" t="n">
        <v>95894.7425713103</v>
      </c>
      <c r="AB72" t="n">
        <v>1309534.49625148</v>
      </c>
      <c r="AC72" t="n">
        <v>28215.8073296981</v>
      </c>
      <c r="AD72" t="n">
        <v>75295.0179007051</v>
      </c>
      <c r="AE72" t="n">
        <v>10203.8016964466</v>
      </c>
      <c r="AF72" t="n">
        <v>895956.022679459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12628.960735629</v>
      </c>
      <c r="AN72" t="n">
        <v>3360.71781716325</v>
      </c>
      <c r="AO72" t="n">
        <v>62581.7657629117</v>
      </c>
      <c r="AP72" t="n">
        <v>6571.66837797681</v>
      </c>
      <c r="AQ72" t="n">
        <v>89685.9221972992</v>
      </c>
      <c r="AR72" t="n">
        <v>74119.9117120238</v>
      </c>
      <c r="AS72" t="n">
        <v>826447.116548331</v>
      </c>
      <c r="AT72" t="n">
        <v>157052.772050944</v>
      </c>
      <c r="AU72" t="n">
        <v>56300.5413998038</v>
      </c>
      <c r="AV72" t="n">
        <v>5128.39646520456</v>
      </c>
      <c r="AW72" t="n">
        <v>0</v>
      </c>
      <c r="AX72" t="n">
        <v>0</v>
      </c>
      <c r="AY72" t="n">
        <v>203878.078715975</v>
      </c>
      <c r="AZ72" t="n">
        <v>166886.007843545</v>
      </c>
      <c r="BA72" t="n">
        <v>269747.849123857</v>
      </c>
      <c r="BB72" t="n">
        <v>856544.966741875</v>
      </c>
      <c r="BC72" t="n">
        <v>1864132.79691513</v>
      </c>
      <c r="BD72" t="n">
        <v>1655147.94195132</v>
      </c>
      <c r="BE72" t="n">
        <v>66980.3380368764</v>
      </c>
      <c r="BF72" t="n">
        <v>80524.9834726798</v>
      </c>
      <c r="BG72" t="n">
        <v>974067.495496399</v>
      </c>
      <c r="BH72" t="n">
        <v>44357.7983981826</v>
      </c>
      <c r="BI72" t="n">
        <v>83622.273190768</v>
      </c>
      <c r="BJ72" t="n">
        <v>163727.314240572</v>
      </c>
      <c r="BK72" t="n">
        <v>240775.76680322</v>
      </c>
      <c r="BL72" t="n">
        <v>596731.956889674</v>
      </c>
      <c r="BM72" t="n">
        <v>532735.675132486</v>
      </c>
      <c r="BN72" t="n">
        <v>2874268.33091174</v>
      </c>
      <c r="BO72" t="n">
        <v>136921.399830266</v>
      </c>
      <c r="BP72" t="n">
        <v>17444.5585689239</v>
      </c>
      <c r="BQ72" t="n">
        <v>9015.56833054542</v>
      </c>
      <c r="BR72" t="n">
        <v>4129.28981784137</v>
      </c>
      <c r="BS72" t="n">
        <v>3137845.26300411</v>
      </c>
      <c r="BT72" t="n">
        <v>282279.248607205</v>
      </c>
      <c r="BU72" t="n">
        <v>579667379.273152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141846.364675011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10941.1706566705</v>
      </c>
      <c r="C73" t="n">
        <v>0</v>
      </c>
      <c r="D73" t="n">
        <v>63052.9784517541</v>
      </c>
      <c r="E73" t="n">
        <v>53559.7614113612</v>
      </c>
      <c r="F73" t="n">
        <v>10308284.0211796</v>
      </c>
      <c r="G73" t="n">
        <v>8577013.75675039</v>
      </c>
      <c r="H73" t="n">
        <v>1933479.88190616</v>
      </c>
      <c r="I73" t="n">
        <v>296422.639963063</v>
      </c>
      <c r="J73" t="n">
        <v>1707382.83389337</v>
      </c>
      <c r="K73" t="n">
        <v>489976.22802309</v>
      </c>
      <c r="L73" t="n">
        <v>3347369.98654467</v>
      </c>
      <c r="M73" t="n">
        <v>2777596.00139336</v>
      </c>
      <c r="N73" t="n">
        <v>57514.8165891933</v>
      </c>
      <c r="O73" t="n">
        <v>80939.8919949532</v>
      </c>
      <c r="P73" t="n">
        <v>640098.747642581</v>
      </c>
      <c r="Q73" t="n">
        <v>273866.884245558</v>
      </c>
      <c r="R73" t="n">
        <v>181977.042736738</v>
      </c>
      <c r="S73" t="n">
        <v>267483.456869158</v>
      </c>
      <c r="T73" t="n">
        <v>1519606.45847834</v>
      </c>
      <c r="U73" t="n">
        <v>20682.6837032341</v>
      </c>
      <c r="V73" t="n">
        <v>7404.39914436244</v>
      </c>
      <c r="W73" t="n">
        <v>1071605.83824907</v>
      </c>
      <c r="X73" t="n">
        <v>440449.504750089</v>
      </c>
      <c r="Y73" t="n">
        <v>882775.72800286</v>
      </c>
      <c r="Z73" t="n">
        <v>332940.030554333</v>
      </c>
      <c r="AA73" t="n">
        <v>2938866.34192708</v>
      </c>
      <c r="AB73" t="n">
        <v>16407053.6221637</v>
      </c>
      <c r="AC73" t="n">
        <v>261621.646556535</v>
      </c>
      <c r="AD73" t="n">
        <v>247121.226106889</v>
      </c>
      <c r="AE73" t="n">
        <v>438536.35612462</v>
      </c>
      <c r="AF73" t="n">
        <v>1284117.32232599</v>
      </c>
      <c r="AG73" t="n">
        <v>0</v>
      </c>
      <c r="AH73" t="n">
        <v>184605.000144094</v>
      </c>
      <c r="AI73" t="n">
        <v>0</v>
      </c>
      <c r="AJ73" t="n">
        <v>0</v>
      </c>
      <c r="AK73" t="n">
        <v>0</v>
      </c>
      <c r="AL73" t="n">
        <v>954028.524014715</v>
      </c>
      <c r="AM73" t="n">
        <v>1736845.48952292</v>
      </c>
      <c r="AN73" t="n">
        <v>88430.2427031257</v>
      </c>
      <c r="AO73" t="n">
        <v>2012643.04562679</v>
      </c>
      <c r="AP73" t="n">
        <v>252895.023346451</v>
      </c>
      <c r="AQ73" t="n">
        <v>2939757.39548037</v>
      </c>
      <c r="AR73" t="n">
        <v>2387652.3210493</v>
      </c>
      <c r="AS73" t="n">
        <v>26478531.1507956</v>
      </c>
      <c r="AT73" t="n">
        <v>5088158.34617059</v>
      </c>
      <c r="AU73" t="n">
        <v>1774530.96464674</v>
      </c>
      <c r="AV73" t="n">
        <v>168928.644330621</v>
      </c>
      <c r="AW73" t="n">
        <v>27292.8304597382</v>
      </c>
      <c r="AX73" t="n">
        <v>36786379.085622</v>
      </c>
      <c r="AY73" t="n">
        <v>7196329.16031566</v>
      </c>
      <c r="AZ73" t="n">
        <v>4197308.26228677</v>
      </c>
      <c r="BA73" t="n">
        <v>8825170.2100824</v>
      </c>
      <c r="BB73" t="n">
        <v>26407948.6301229</v>
      </c>
      <c r="BC73" t="n">
        <v>3704504.73121375</v>
      </c>
      <c r="BD73" t="n">
        <v>34915553.008597</v>
      </c>
      <c r="BE73" t="n">
        <v>2500996.43617991</v>
      </c>
      <c r="BF73" t="n">
        <v>2085609.29610508</v>
      </c>
      <c r="BG73" t="n">
        <v>20580619.204508</v>
      </c>
      <c r="BH73" t="n">
        <v>1539569.24051039</v>
      </c>
      <c r="BI73" t="n">
        <v>1552887.00725086</v>
      </c>
      <c r="BJ73" t="n">
        <v>1873699.40841934</v>
      </c>
      <c r="BK73" t="n">
        <v>377208.529205162</v>
      </c>
      <c r="BL73" t="n">
        <v>1067635.60696952</v>
      </c>
      <c r="BM73" t="n">
        <v>1490469.10972492</v>
      </c>
      <c r="BN73" t="n">
        <v>15965377.4851651</v>
      </c>
      <c r="BO73" t="n">
        <v>3692171.31534555</v>
      </c>
      <c r="BP73" t="n">
        <v>15127159.6346812</v>
      </c>
      <c r="BQ73" t="n">
        <v>8200104.35955945</v>
      </c>
      <c r="BR73" t="n">
        <v>376665.82505593</v>
      </c>
      <c r="BS73" t="n">
        <v>27941698.6629288</v>
      </c>
      <c r="BT73" t="n">
        <v>844151.106563784</v>
      </c>
      <c r="BU73" t="n">
        <v>941020767.649985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7353327.08163748</v>
      </c>
      <c r="C74" t="n">
        <v>26855.837473908</v>
      </c>
      <c r="D74" t="n">
        <v>1401769.15796089</v>
      </c>
      <c r="E74" t="n">
        <v>335844.009306462</v>
      </c>
      <c r="F74" t="n">
        <v>34436955.4071118</v>
      </c>
      <c r="G74" t="n">
        <v>28586745.919915</v>
      </c>
      <c r="H74" t="n">
        <v>4014428.53260214</v>
      </c>
      <c r="I74" t="n">
        <v>716299.152789128</v>
      </c>
      <c r="J74" t="n">
        <v>3653783.79250138</v>
      </c>
      <c r="K74" t="n">
        <v>1241362.94926483</v>
      </c>
      <c r="L74" t="n">
        <v>6713822.35686197</v>
      </c>
      <c r="M74" t="n">
        <v>6156695.03644063</v>
      </c>
      <c r="N74" t="n">
        <v>103275.327290914</v>
      </c>
      <c r="O74" t="n">
        <v>260224.397400341</v>
      </c>
      <c r="P74" t="n">
        <v>1251774.59738844</v>
      </c>
      <c r="Q74" t="n">
        <v>626979.679473636</v>
      </c>
      <c r="R74" t="n">
        <v>355660.874365472</v>
      </c>
      <c r="S74" t="n">
        <v>519244.655716463</v>
      </c>
      <c r="T74" t="n">
        <v>3923267.97103913</v>
      </c>
      <c r="U74" t="n">
        <v>72820.4829873316</v>
      </c>
      <c r="V74" t="n">
        <v>37987.3167782883</v>
      </c>
      <c r="W74" t="n">
        <v>2717807.25815284</v>
      </c>
      <c r="X74" t="n">
        <v>679632.395455832</v>
      </c>
      <c r="Y74" t="n">
        <v>3252763.41943218</v>
      </c>
      <c r="Z74" t="n">
        <v>675427.52547839</v>
      </c>
      <c r="AA74" t="n">
        <v>6091909.29339247</v>
      </c>
      <c r="AB74" t="n">
        <v>67391260.8961195</v>
      </c>
      <c r="AC74" t="n">
        <v>9649446.07902527</v>
      </c>
      <c r="AD74" t="n">
        <v>5676061.02320056</v>
      </c>
      <c r="AE74" t="n">
        <v>14922503.2117904</v>
      </c>
      <c r="AF74" t="n">
        <v>29743499.6578453</v>
      </c>
      <c r="AG74" t="n">
        <v>62310883.6748998</v>
      </c>
      <c r="AH74" t="n">
        <v>59193.2620274542</v>
      </c>
      <c r="AI74" t="n">
        <v>244.86113795992</v>
      </c>
      <c r="AJ74" t="n">
        <v>12644574.7429125</v>
      </c>
      <c r="AK74" t="n">
        <v>192005.300353357</v>
      </c>
      <c r="AL74" t="n">
        <v>8534035.82718651</v>
      </c>
      <c r="AM74" t="n">
        <v>11350486.4144209</v>
      </c>
      <c r="AN74" t="n">
        <v>2742243.42374267</v>
      </c>
      <c r="AO74" t="n">
        <v>2996859.41212346</v>
      </c>
      <c r="AP74" t="n">
        <v>581570.952622947</v>
      </c>
      <c r="AQ74" t="n">
        <v>4596872.61373809</v>
      </c>
      <c r="AR74" t="n">
        <v>3530190.05496649</v>
      </c>
      <c r="AS74" t="n">
        <v>64500783.0139348</v>
      </c>
      <c r="AT74" t="n">
        <v>8603226.1763968</v>
      </c>
      <c r="AU74" t="n">
        <v>17183737.014905</v>
      </c>
      <c r="AV74" t="n">
        <v>671794.871794872</v>
      </c>
      <c r="AW74" t="n">
        <v>37339.2943388104</v>
      </c>
      <c r="AX74" t="n">
        <v>175217505.636978</v>
      </c>
      <c r="AY74" t="n">
        <v>28696146.4601203</v>
      </c>
      <c r="AZ74" t="n">
        <v>12897721.108013</v>
      </c>
      <c r="BA74" t="n">
        <v>19603649.8492323</v>
      </c>
      <c r="BB74" t="n">
        <v>110144744.929318</v>
      </c>
      <c r="BC74" t="n">
        <v>30793528.805519</v>
      </c>
      <c r="BD74" t="n">
        <v>114191192.147239</v>
      </c>
      <c r="BE74" t="n">
        <v>3860794.00785547</v>
      </c>
      <c r="BF74" t="n">
        <v>7436441.60293623</v>
      </c>
      <c r="BG74" t="n">
        <v>225382743.739541</v>
      </c>
      <c r="BH74" t="n">
        <v>186837581.051942</v>
      </c>
      <c r="BI74" t="n">
        <v>65447846.2624836</v>
      </c>
      <c r="BJ74" t="n">
        <v>28721377.2259435</v>
      </c>
      <c r="BK74" t="n">
        <v>2457638.30074942</v>
      </c>
      <c r="BL74" t="n">
        <v>9884935.87421201</v>
      </c>
      <c r="BM74" t="n">
        <v>39347022.7495497</v>
      </c>
      <c r="BN74" t="n">
        <v>68241097.7963287</v>
      </c>
      <c r="BO74" t="n">
        <v>16802494.6428272</v>
      </c>
      <c r="BP74" t="n">
        <v>9245271.09385581</v>
      </c>
      <c r="BQ74" t="n">
        <v>4449016.97512027</v>
      </c>
      <c r="BR74" t="n">
        <v>3753384.40296248</v>
      </c>
      <c r="BS74" t="n">
        <v>163355998.813748</v>
      </c>
      <c r="BT74" t="n">
        <v>4822762.64976661</v>
      </c>
      <c r="BU74" t="n">
        <v>8298868424.86772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28721773.8684991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7723417.00221204</v>
      </c>
      <c r="C75" t="n">
        <v>176479.703852868</v>
      </c>
      <c r="D75" t="n">
        <v>9237790.60235108</v>
      </c>
      <c r="E75" t="n">
        <v>1387087.93805621</v>
      </c>
      <c r="F75" t="n">
        <v>43836101.099601</v>
      </c>
      <c r="G75" t="n">
        <v>14969495.1754968</v>
      </c>
      <c r="H75" t="n">
        <v>54147124.8097443</v>
      </c>
      <c r="I75" t="n">
        <v>2124215.45661616</v>
      </c>
      <c r="J75" t="n">
        <v>17055403.4136089</v>
      </c>
      <c r="K75" t="n">
        <v>7589457.20036884</v>
      </c>
      <c r="L75" t="n">
        <v>31287527.3226459</v>
      </c>
      <c r="M75" t="n">
        <v>21831605.6337535</v>
      </c>
      <c r="N75" t="n">
        <v>1479408.32469909</v>
      </c>
      <c r="O75" t="n">
        <v>981010.905010115</v>
      </c>
      <c r="P75" t="n">
        <v>4930682.07592836</v>
      </c>
      <c r="Q75" t="n">
        <v>3787345.24086531</v>
      </c>
      <c r="R75" t="n">
        <v>653151.308477785</v>
      </c>
      <c r="S75" t="n">
        <v>1465358.90634493</v>
      </c>
      <c r="T75" t="n">
        <v>16392077.0131548</v>
      </c>
      <c r="U75" t="n">
        <v>275471.524590922</v>
      </c>
      <c r="V75" t="n">
        <v>55473.0661171544</v>
      </c>
      <c r="W75" t="n">
        <v>19382996.8028817</v>
      </c>
      <c r="X75" t="n">
        <v>1614081.60061505</v>
      </c>
      <c r="Y75" t="n">
        <v>20136475.8498456</v>
      </c>
      <c r="Z75" t="n">
        <v>6518473.89789419</v>
      </c>
      <c r="AA75" t="n">
        <v>16836589.2451869</v>
      </c>
      <c r="AB75" t="n">
        <v>160967939.532825</v>
      </c>
      <c r="AC75" t="n">
        <v>26451777.3315062</v>
      </c>
      <c r="AD75" t="n">
        <v>16847113.6531032</v>
      </c>
      <c r="AE75" t="n">
        <v>34121242.804815</v>
      </c>
      <c r="AF75" t="n">
        <v>56220623.265991</v>
      </c>
      <c r="AG75" t="n">
        <v>3917048.66001392</v>
      </c>
      <c r="AH75" t="n">
        <v>2343490.20806699</v>
      </c>
      <c r="AI75" t="n">
        <v>5658.4189289795</v>
      </c>
      <c r="AJ75" t="n">
        <v>92535155.544074</v>
      </c>
      <c r="AK75" t="n">
        <v>2619905.73345237</v>
      </c>
      <c r="AL75" t="n">
        <v>96766052.3789694</v>
      </c>
      <c r="AM75" t="n">
        <v>18773391.6297736</v>
      </c>
      <c r="AN75" t="n">
        <v>8921816.28899367</v>
      </c>
      <c r="AO75" t="n">
        <v>8427732.54331237</v>
      </c>
      <c r="AP75" t="n">
        <v>388649.409344804</v>
      </c>
      <c r="AQ75" t="n">
        <v>28610001.2310695</v>
      </c>
      <c r="AR75" t="n">
        <v>3210462.61294349</v>
      </c>
      <c r="AS75" t="n">
        <v>29827090.364066</v>
      </c>
      <c r="AT75" t="n">
        <v>10327303.9161444</v>
      </c>
      <c r="AU75" t="n">
        <v>34110393.6646395</v>
      </c>
      <c r="AV75" t="n">
        <v>125367.109235546</v>
      </c>
      <c r="AW75" t="n">
        <v>178729617.560803</v>
      </c>
      <c r="AX75" t="n">
        <v>28601006.9113058</v>
      </c>
      <c r="AY75" t="n">
        <v>67178548.8565484</v>
      </c>
      <c r="AZ75" t="n">
        <v>6086291.82092658</v>
      </c>
      <c r="BA75" t="n">
        <v>7330083.16041021</v>
      </c>
      <c r="BB75" t="n">
        <v>56119461.7654907</v>
      </c>
      <c r="BC75" t="n">
        <v>47531818.679635</v>
      </c>
      <c r="BD75" t="n">
        <v>147076632.989955</v>
      </c>
      <c r="BE75" t="n">
        <v>32444333.686025</v>
      </c>
      <c r="BF75" t="n">
        <v>12132174.8570184</v>
      </c>
      <c r="BG75" t="n">
        <v>51749355.6514054</v>
      </c>
      <c r="BH75" t="n">
        <v>112493054.297749</v>
      </c>
      <c r="BI75" t="n">
        <v>13036237.7505303</v>
      </c>
      <c r="BJ75" t="n">
        <v>6474212.71217389</v>
      </c>
      <c r="BK75" t="n">
        <v>3768014.71171982</v>
      </c>
      <c r="BL75" t="n">
        <v>10873132.4214286</v>
      </c>
      <c r="BM75" t="n">
        <v>9357167.72449201</v>
      </c>
      <c r="BN75" t="n">
        <v>101800191.708899</v>
      </c>
      <c r="BO75" t="n">
        <v>62306739.0764464</v>
      </c>
      <c r="BP75" t="n">
        <v>38940374.9439455</v>
      </c>
      <c r="BQ75" t="n">
        <v>131228597.592478</v>
      </c>
      <c r="BR75" t="n">
        <v>8453775.8404945</v>
      </c>
      <c r="BS75" t="n">
        <v>343026675.006756</v>
      </c>
      <c r="BT75" t="n">
        <v>24135197.7484608</v>
      </c>
      <c r="BU75" t="n">
        <v>5663418453.36502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751802.682944301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11716119493.3567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3757264063.48901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36833.0048452264</v>
      </c>
      <c r="C78" t="n">
        <v>1101.39545241762</v>
      </c>
      <c r="D78" t="n">
        <v>0</v>
      </c>
      <c r="E78" t="n">
        <v>5008.52090765558</v>
      </c>
      <c r="F78" t="n">
        <v>0</v>
      </c>
      <c r="G78" t="n">
        <v>607577.048979517</v>
      </c>
      <c r="H78" t="n">
        <v>10930.2790545428</v>
      </c>
      <c r="I78" t="n">
        <v>0</v>
      </c>
      <c r="J78" t="n">
        <v>0</v>
      </c>
      <c r="K78" t="n">
        <v>34618.820796219</v>
      </c>
      <c r="L78" t="n">
        <v>353598.69238009</v>
      </c>
      <c r="M78" t="n">
        <v>892928.183173694</v>
      </c>
      <c r="N78" t="n">
        <v>26219.5489628058</v>
      </c>
      <c r="O78" t="n">
        <v>128974.266988227</v>
      </c>
      <c r="P78" t="n">
        <v>0</v>
      </c>
      <c r="Q78" t="n">
        <v>0</v>
      </c>
      <c r="R78" t="n">
        <v>0</v>
      </c>
      <c r="S78" t="n">
        <v>9126.40692396248</v>
      </c>
      <c r="T78" t="n">
        <v>0</v>
      </c>
      <c r="U78" t="n">
        <v>682.621679087405</v>
      </c>
      <c r="V78" t="n">
        <v>0</v>
      </c>
      <c r="W78" t="n">
        <v>0</v>
      </c>
      <c r="X78" t="n">
        <v>34086.3286582168</v>
      </c>
      <c r="Y78" t="n">
        <v>137868.331990517</v>
      </c>
      <c r="Z78" t="n">
        <v>27929.15489748</v>
      </c>
      <c r="AA78" t="n">
        <v>0</v>
      </c>
      <c r="AB78" t="n">
        <v>25800430.7505045</v>
      </c>
      <c r="AC78" t="n">
        <v>1563112.65835268</v>
      </c>
      <c r="AD78" t="n">
        <v>710003.702602433</v>
      </c>
      <c r="AE78" t="n">
        <v>800925.864586002</v>
      </c>
      <c r="AF78" t="n">
        <v>5944722.27757183</v>
      </c>
      <c r="AG78" t="n">
        <v>3778.86355732045</v>
      </c>
      <c r="AH78" t="n">
        <v>0</v>
      </c>
      <c r="AI78" t="n">
        <v>5811.73191304814</v>
      </c>
      <c r="AJ78" t="n">
        <v>7011734.15230995</v>
      </c>
      <c r="AK78" t="n">
        <v>68328.1780491286</v>
      </c>
      <c r="AL78" t="n">
        <v>2882293.18616483</v>
      </c>
      <c r="AM78" t="n">
        <v>1126147.8910092</v>
      </c>
      <c r="AN78" t="n">
        <v>1015476.88255078</v>
      </c>
      <c r="AO78" t="n">
        <v>452839.369286325</v>
      </c>
      <c r="AP78" t="n">
        <v>72765.8789127445</v>
      </c>
      <c r="AQ78" t="n">
        <v>182849.533862422</v>
      </c>
      <c r="AR78" t="n">
        <v>342730.161121179</v>
      </c>
      <c r="AS78" t="n">
        <v>1544174.79517999</v>
      </c>
      <c r="AT78" t="n">
        <v>1214879.58598806</v>
      </c>
      <c r="AU78" t="n">
        <v>77757.045662261</v>
      </c>
      <c r="AV78" t="n">
        <v>0</v>
      </c>
      <c r="AW78" t="n">
        <v>0</v>
      </c>
      <c r="AX78" t="n">
        <v>425199.964154826</v>
      </c>
      <c r="AY78" t="n">
        <v>2032404.12130816</v>
      </c>
      <c r="AZ78" t="n">
        <v>288473.471075345</v>
      </c>
      <c r="BA78" t="n">
        <v>226569.699256486</v>
      </c>
      <c r="BB78" t="n">
        <v>2325327.64136479</v>
      </c>
      <c r="BC78" t="n">
        <v>248115.411641971</v>
      </c>
      <c r="BD78" t="n">
        <v>1872296.04225015</v>
      </c>
      <c r="BE78" t="n">
        <v>156570.726284045</v>
      </c>
      <c r="BF78" t="n">
        <v>408710.53650902</v>
      </c>
      <c r="BG78" t="n">
        <v>1650268.91267549</v>
      </c>
      <c r="BH78" t="n">
        <v>5069072.91264459</v>
      </c>
      <c r="BI78" t="n">
        <v>376044.695422493</v>
      </c>
      <c r="BJ78" t="n">
        <v>666327.800295008</v>
      </c>
      <c r="BK78" t="n">
        <v>112528.419504923</v>
      </c>
      <c r="BL78" t="n">
        <v>95937.6439335555</v>
      </c>
      <c r="BM78" t="n">
        <v>571127.453311413</v>
      </c>
      <c r="BN78" t="n">
        <v>10732391.6107471</v>
      </c>
      <c r="BO78" t="n">
        <v>813279.554233413</v>
      </c>
      <c r="BP78" t="n">
        <v>1430.79810179478</v>
      </c>
      <c r="BQ78" t="n">
        <v>221836.362375915</v>
      </c>
      <c r="BR78" t="n">
        <v>166632.165830624</v>
      </c>
      <c r="BS78" t="n">
        <v>4814766.737717</v>
      </c>
      <c r="BT78" t="n">
        <v>136268.821455818</v>
      </c>
      <c r="BU78" t="n">
        <v>9546810.92249587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10509011.8009284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17365378663.4233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8249776.53535433</v>
      </c>
      <c r="H80" t="n">
        <v>0</v>
      </c>
      <c r="I80" t="n">
        <v>369169.563360551</v>
      </c>
      <c r="J80" t="n">
        <v>2776237.46679144</v>
      </c>
      <c r="K80" t="n">
        <v>1179294.80180159</v>
      </c>
      <c r="L80" t="n">
        <v>4699675.64980338</v>
      </c>
      <c r="M80" t="n">
        <v>4688873.70324949</v>
      </c>
      <c r="N80" t="n">
        <v>154912.990936371</v>
      </c>
      <c r="O80" t="n">
        <v>243614.32948117</v>
      </c>
      <c r="P80" t="n">
        <v>806582.794969956</v>
      </c>
      <c r="Q80" t="n">
        <v>1193527.58261246</v>
      </c>
      <c r="R80" t="n">
        <v>189955.239717923</v>
      </c>
      <c r="S80" t="n">
        <v>287439.005843042</v>
      </c>
      <c r="T80" t="n">
        <v>7328232.65049143</v>
      </c>
      <c r="U80" t="n">
        <v>112351.602323312</v>
      </c>
      <c r="V80" t="n">
        <v>12662.4389260961</v>
      </c>
      <c r="W80" t="n">
        <v>3494323.61762508</v>
      </c>
      <c r="X80" t="n">
        <v>225101.175564989</v>
      </c>
      <c r="Y80" t="n">
        <v>6303201.84148342</v>
      </c>
      <c r="Z80" t="n">
        <v>3728806.50429392</v>
      </c>
      <c r="AA80" t="n">
        <v>3299784.20058759</v>
      </c>
      <c r="AB80" t="n">
        <v>12028368.0806175</v>
      </c>
      <c r="AC80" t="n">
        <v>5622797.52725157</v>
      </c>
      <c r="AD80" t="n">
        <v>2156757.46196068</v>
      </c>
      <c r="AE80" t="n">
        <v>2387600.51388647</v>
      </c>
      <c r="AF80" t="n">
        <v>6842361.52334127</v>
      </c>
      <c r="AG80" t="n">
        <v>61427.8582130867</v>
      </c>
      <c r="AH80" t="n">
        <v>0</v>
      </c>
      <c r="AI80" t="n">
        <v>0</v>
      </c>
      <c r="AJ80" t="n">
        <v>5464028.67128967</v>
      </c>
      <c r="AK80" t="n">
        <v>8127.20848056537</v>
      </c>
      <c r="AL80" t="n">
        <v>15311064.2781876</v>
      </c>
      <c r="AM80" t="n">
        <v>750132.279724747</v>
      </c>
      <c r="AN80" t="n">
        <v>1673575.03066648</v>
      </c>
      <c r="AO80" t="n">
        <v>382429.855375383</v>
      </c>
      <c r="AP80" t="n">
        <v>87482.0712631975</v>
      </c>
      <c r="AQ80" t="n">
        <v>584217.924154005</v>
      </c>
      <c r="AR80" t="n">
        <v>145827.891841152</v>
      </c>
      <c r="AS80" t="n">
        <v>2746322.40176519</v>
      </c>
      <c r="AT80" t="n">
        <v>542302.619789987</v>
      </c>
      <c r="AU80" t="n">
        <v>403169.479740955</v>
      </c>
      <c r="AV80" t="n">
        <v>0</v>
      </c>
      <c r="AW80" t="n">
        <v>0</v>
      </c>
      <c r="AX80" t="n">
        <v>13757337.3628143</v>
      </c>
      <c r="AY80" t="n">
        <v>11066860.6307895</v>
      </c>
      <c r="AZ80" t="n">
        <v>2916224.18065699</v>
      </c>
      <c r="BA80" t="n">
        <v>693611.44717954</v>
      </c>
      <c r="BB80" t="n">
        <v>7332882.60602336</v>
      </c>
      <c r="BC80" t="n">
        <v>3422977.35106588</v>
      </c>
      <c r="BD80" t="n">
        <v>13578860.3680982</v>
      </c>
      <c r="BE80" t="n">
        <v>6817387.18859238</v>
      </c>
      <c r="BF80" t="n">
        <v>596809.963038194</v>
      </c>
      <c r="BG80" t="n">
        <v>6923686.41736731</v>
      </c>
      <c r="BH80" t="n">
        <v>8782516.40087471</v>
      </c>
      <c r="BI80" t="n">
        <v>4705739.93745587</v>
      </c>
      <c r="BJ80" t="n">
        <v>1863303.24565703</v>
      </c>
      <c r="BK80" t="n">
        <v>526961.262267897</v>
      </c>
      <c r="BL80" t="n">
        <v>1868580.95169087</v>
      </c>
      <c r="BM80" t="n">
        <v>3630918.44956148</v>
      </c>
      <c r="BN80" t="n">
        <v>16305675.2389929</v>
      </c>
      <c r="BO80" t="n">
        <v>12943365.6856344</v>
      </c>
      <c r="BP80" t="n">
        <v>12123515.8683581</v>
      </c>
      <c r="BQ80" t="n">
        <v>11589080.6920306</v>
      </c>
      <c r="BR80" t="n">
        <v>2997752.55946178</v>
      </c>
      <c r="BS80" t="n">
        <v>91463648.1211543</v>
      </c>
      <c r="BT80" t="n">
        <v>15968344.5594279</v>
      </c>
      <c r="BU80" t="n">
        <v>234241219.053401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-336793.606792556</v>
      </c>
      <c r="C81" t="n">
        <v>832530.961691148</v>
      </c>
      <c r="D81" t="n">
        <v>0</v>
      </c>
      <c r="E81" t="n">
        <v>0</v>
      </c>
      <c r="F81" t="n">
        <v>77619804.2509504</v>
      </c>
      <c r="G81" t="n">
        <v>64340234.5026338</v>
      </c>
      <c r="H81" t="n">
        <v>23070471.0276098</v>
      </c>
      <c r="I81" t="n">
        <v>0</v>
      </c>
      <c r="J81" t="n">
        <v>-31910.7754803614</v>
      </c>
      <c r="K81" t="n">
        <v>129058299.020318</v>
      </c>
      <c r="L81" t="n">
        <v>9063660.18176366</v>
      </c>
      <c r="M81" t="n">
        <v>122318.444432595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290529.747841355</v>
      </c>
      <c r="T81" t="n">
        <v>-7198.65682759473</v>
      </c>
      <c r="U81" t="n">
        <v>-2080.58522820948</v>
      </c>
      <c r="V81" t="n">
        <v>0</v>
      </c>
      <c r="W81" t="n">
        <v>-729925.377903905</v>
      </c>
      <c r="X81" t="n">
        <v>0</v>
      </c>
      <c r="Y81" t="n">
        <v>0</v>
      </c>
      <c r="Z81" t="n">
        <v>-2791.02283255532</v>
      </c>
      <c r="AA81" t="n">
        <v>-16921.9702594235</v>
      </c>
      <c r="AB81" t="n">
        <v>0</v>
      </c>
      <c r="AC81" t="n">
        <v>-157196.490009184</v>
      </c>
      <c r="AD81" t="n">
        <v>0</v>
      </c>
      <c r="AE81" t="n">
        <v>0</v>
      </c>
      <c r="AF81" t="n">
        <v>1907721.61431448</v>
      </c>
      <c r="AG81" t="n">
        <v>-1965691.46281877</v>
      </c>
      <c r="AH81" t="n">
        <v>0</v>
      </c>
      <c r="AI81" t="n">
        <v>-2358.39938140344</v>
      </c>
      <c r="AJ81" t="n">
        <v>4232329.16265363</v>
      </c>
      <c r="AK81" t="n">
        <v>4063.60424028269</v>
      </c>
      <c r="AL81" t="n">
        <v>29367123.2876712</v>
      </c>
      <c r="AM81" t="n">
        <v>11562645.0389895</v>
      </c>
      <c r="AN81" t="n">
        <v>0</v>
      </c>
      <c r="AO81" t="n">
        <v>0</v>
      </c>
      <c r="AP81" t="n">
        <v>155249.872945956</v>
      </c>
      <c r="AQ81" t="n">
        <v>7687.0779493948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90915.210559137</v>
      </c>
      <c r="AZ81" t="n">
        <v>0</v>
      </c>
      <c r="BA81" t="n">
        <v>0</v>
      </c>
      <c r="BB81" t="n">
        <v>0</v>
      </c>
      <c r="BC81" t="n">
        <v>1479309.97923971</v>
      </c>
      <c r="BD81" t="n">
        <v>0</v>
      </c>
      <c r="BE81" t="n">
        <v>0</v>
      </c>
      <c r="BF81" t="n">
        <v>1160463.81701871</v>
      </c>
      <c r="BG81" t="n">
        <v>0</v>
      </c>
      <c r="BH81" t="n">
        <v>0</v>
      </c>
      <c r="BI81" t="n">
        <v>0</v>
      </c>
      <c r="BJ81" t="n">
        <v>0</v>
      </c>
      <c r="BK81" t="n">
        <v>-645073.269327943</v>
      </c>
      <c r="BL81" t="n">
        <v>3701501.96155558</v>
      </c>
      <c r="BM81" t="n">
        <v>0</v>
      </c>
      <c r="BN81" t="n">
        <v>0</v>
      </c>
      <c r="BO81" t="n">
        <v>259020150.503072</v>
      </c>
      <c r="BP81" t="n">
        <v>-680312.401245993</v>
      </c>
      <c r="BQ81" t="n">
        <v>0</v>
      </c>
      <c r="BR81" t="n">
        <v>0</v>
      </c>
      <c r="BS81" t="n">
        <v>0</v>
      </c>
      <c r="BT81" t="n">
        <v>0</v>
      </c>
      <c r="BU81" t="n">
        <v>792535529.49837</v>
      </c>
      <c r="BV81" t="n">
        <v>-41645751.091349</v>
      </c>
      <c r="BW81" t="n">
        <v>-1813430525.9231</v>
      </c>
      <c r="BX81" t="n">
        <v>0</v>
      </c>
      <c r="BY81" t="n">
        <v>-10170360.1685539</v>
      </c>
      <c r="BZ81" t="n">
        <v>34146483.1027049</v>
      </c>
      <c r="CA81" t="n">
        <v>347599342.525113</v>
      </c>
      <c r="CB81" t="n">
        <v>0</v>
      </c>
      <c r="CC81" t="n">
        <v>0</v>
      </c>
      <c r="CD81" t="n">
        <v>-55141.6763870891</v>
      </c>
      <c r="CE81" t="n">
        <v>0</v>
      </c>
      <c r="CF81" t="n">
        <v>0</v>
      </c>
      <c r="CG81" t="n">
        <v>0</v>
      </c>
      <c r="CH81" t="n">
        <v>-7623336.76051506</v>
      </c>
      <c r="CI81" t="n">
        <v>454918.830193485</v>
      </c>
      <c r="CJ81" t="n">
        <v>0</v>
      </c>
      <c r="CK81" t="n">
        <v>0</v>
      </c>
      <c r="CL81" t="n">
        <v>49279916.7973329</v>
      </c>
      <c r="CM81" t="n">
        <v>-204674319.91945</v>
      </c>
      <c r="CN81" t="n">
        <v>0</v>
      </c>
    </row>
    <row r="82">
      <c r="A82" t="s">
        <v>193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-2180477916.13718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2802018334.94071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225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702644527.485841</v>
      </c>
      <c r="C10" t="n">
        <v>883895.731614029</v>
      </c>
      <c r="D10" t="n">
        <v>0</v>
      </c>
      <c r="E10" t="n">
        <v>95668.2296105467</v>
      </c>
      <c r="F10" t="n">
        <v>611714.79414508</v>
      </c>
      <c r="G10" t="n">
        <v>0</v>
      </c>
      <c r="H10" t="n">
        <v>5619438.96330959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409403.718550479</v>
      </c>
      <c r="T10" t="n">
        <v>731886762.508324</v>
      </c>
      <c r="U10" t="n">
        <v>1496986.65705134</v>
      </c>
      <c r="V10" t="n">
        <v>0</v>
      </c>
      <c r="W10" t="n">
        <v>0</v>
      </c>
      <c r="X10" t="n">
        <v>0</v>
      </c>
      <c r="Y10" t="n">
        <v>0</v>
      </c>
      <c r="Z10" t="n">
        <v>17401870.2664743</v>
      </c>
      <c r="AA10" t="n">
        <v>0</v>
      </c>
      <c r="AB10" t="n">
        <v>2747200.69309833</v>
      </c>
      <c r="AC10" t="n">
        <v>3696817.81322299</v>
      </c>
      <c r="AD10" t="n">
        <v>2871610.42727477</v>
      </c>
      <c r="AE10" t="n">
        <v>972420.046991306</v>
      </c>
      <c r="AF10" t="n">
        <v>1589612.19776586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131050.553269109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2255.69197069546</v>
      </c>
      <c r="AT10" t="n">
        <v>0</v>
      </c>
      <c r="AU10" t="n">
        <v>0</v>
      </c>
      <c r="AV10" t="n">
        <v>0</v>
      </c>
      <c r="AW10" t="n">
        <v>0</v>
      </c>
      <c r="AX10" t="n">
        <v>9701.12824292485</v>
      </c>
      <c r="AY10" t="n">
        <v>0</v>
      </c>
      <c r="AZ10" t="n">
        <v>2801.30093664179</v>
      </c>
      <c r="BA10" t="n">
        <v>0</v>
      </c>
      <c r="BB10" t="n">
        <v>3044287.9411561</v>
      </c>
      <c r="BC10" t="n">
        <v>68992.569771228</v>
      </c>
      <c r="BD10" t="n">
        <v>8476267.99970337</v>
      </c>
      <c r="BE10" t="n">
        <v>0</v>
      </c>
      <c r="BF10" t="n">
        <v>467666.228810292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2055953.73435632</v>
      </c>
      <c r="BM10" t="n">
        <v>112150.922538554</v>
      </c>
      <c r="BN10" t="n">
        <v>36673124.781343</v>
      </c>
      <c r="BO10" t="n">
        <v>75692.3573359356</v>
      </c>
      <c r="BP10" t="n">
        <v>86556.6125112731</v>
      </c>
      <c r="BQ10" t="n">
        <v>-1257217.75066104</v>
      </c>
      <c r="BR10" t="n">
        <v>0</v>
      </c>
      <c r="BS10" t="n">
        <v>24907191.2807719</v>
      </c>
      <c r="BT10" t="n">
        <v>0</v>
      </c>
      <c r="BU10" t="n">
        <v>430666144.490391</v>
      </c>
      <c r="BV10" t="n">
        <v>0</v>
      </c>
      <c r="BW10" t="n">
        <v>0</v>
      </c>
      <c r="BX10" t="n">
        <v>0</v>
      </c>
      <c r="BY10" t="n">
        <v>0</v>
      </c>
      <c r="BZ10" t="n">
        <v>-252143391.79683</v>
      </c>
      <c r="CA10" t="n">
        <v>166236866.840206</v>
      </c>
      <c r="CB10" t="n">
        <v>-390457253.109244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305779299.669198</v>
      </c>
      <c r="C11" t="n">
        <v>21720538.091362</v>
      </c>
      <c r="D11" t="n">
        <v>0</v>
      </c>
      <c r="E11" t="n">
        <v>588752.699120928</v>
      </c>
      <c r="F11" t="n">
        <v>0</v>
      </c>
      <c r="G11" t="n">
        <v>0</v>
      </c>
      <c r="H11" t="n">
        <v>0</v>
      </c>
      <c r="I11" t="n">
        <v>41666631.3321416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283069.638933554</v>
      </c>
      <c r="S11" t="n">
        <v>614375.539698057</v>
      </c>
      <c r="T11" t="n">
        <v>53919959.8666344</v>
      </c>
      <c r="U11" t="n">
        <v>0</v>
      </c>
      <c r="V11" t="n">
        <v>285563.144480905</v>
      </c>
      <c r="W11" t="n">
        <v>28215039.3311139</v>
      </c>
      <c r="X11" t="n">
        <v>79409.4773370238</v>
      </c>
      <c r="Y11" t="n">
        <v>0</v>
      </c>
      <c r="Z11" t="n">
        <v>779112.515283432</v>
      </c>
      <c r="AA11" t="n">
        <v>24161286.9773864</v>
      </c>
      <c r="AB11" t="n">
        <v>0</v>
      </c>
      <c r="AC11" t="n">
        <v>0</v>
      </c>
      <c r="AD11" t="n">
        <v>4217326.43793528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7577.0937345934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1371504.53835748</v>
      </c>
      <c r="BC11" t="n">
        <v>97610.0495799466</v>
      </c>
      <c r="BD11" t="n">
        <v>19509.8568507158</v>
      </c>
      <c r="BE11" t="n">
        <v>0</v>
      </c>
      <c r="BF11" t="n">
        <v>221112.545847535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1412458.11397312</v>
      </c>
      <c r="BM11" t="n">
        <v>1583419.14096976</v>
      </c>
      <c r="BN11" t="n">
        <v>50103449.5862225</v>
      </c>
      <c r="BO11" t="n">
        <v>722935.491859999</v>
      </c>
      <c r="BP11" t="n">
        <v>0</v>
      </c>
      <c r="BQ11" t="n">
        <v>407003.559346335</v>
      </c>
      <c r="BR11" t="n">
        <v>169321.398149702</v>
      </c>
      <c r="BS11" t="n">
        <v>44014265.2596706</v>
      </c>
      <c r="BT11" t="n">
        <v>0</v>
      </c>
      <c r="BU11" t="n">
        <v>48224269.1861253</v>
      </c>
      <c r="BV11" t="n">
        <v>0</v>
      </c>
      <c r="BW11" t="n">
        <v>0</v>
      </c>
      <c r="BX11" t="n">
        <v>0</v>
      </c>
      <c r="BY11" t="n">
        <v>0</v>
      </c>
      <c r="BZ11" t="n">
        <v>8661934.65289946</v>
      </c>
      <c r="CA11" t="n">
        <v>491504.381219098</v>
      </c>
      <c r="CB11" t="n">
        <v>-163528712.200226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314375152.851178</v>
      </c>
      <c r="E12" t="n">
        <v>0</v>
      </c>
      <c r="F12" t="n">
        <v>230637.20969739</v>
      </c>
      <c r="G12" t="n">
        <v>28846732.5825645</v>
      </c>
      <c r="H12" t="n">
        <v>0</v>
      </c>
      <c r="I12" t="n">
        <v>6544.43161536369</v>
      </c>
      <c r="J12" t="n">
        <v>998.480400272744</v>
      </c>
      <c r="K12" t="n">
        <v>1165.25833904773</v>
      </c>
      <c r="L12" t="n">
        <v>0</v>
      </c>
      <c r="M12" t="n">
        <v>0</v>
      </c>
      <c r="N12" t="n">
        <v>0</v>
      </c>
      <c r="O12" t="n">
        <v>0</v>
      </c>
      <c r="P12" t="n">
        <v>327.763368797968</v>
      </c>
      <c r="Q12" t="n">
        <v>0</v>
      </c>
      <c r="R12" t="n">
        <v>0</v>
      </c>
      <c r="S12" t="n">
        <v>0</v>
      </c>
      <c r="T12" t="n">
        <v>450.488441126503</v>
      </c>
      <c r="U12" t="n">
        <v>0</v>
      </c>
      <c r="V12" t="n">
        <v>0</v>
      </c>
      <c r="W12" t="n">
        <v>15530.3271894448</v>
      </c>
      <c r="X12" t="n">
        <v>270.898500460252</v>
      </c>
      <c r="Y12" t="n">
        <v>2197570079.56515</v>
      </c>
      <c r="Z12" t="n">
        <v>1175588.06419737</v>
      </c>
      <c r="AA12" t="n">
        <v>0</v>
      </c>
      <c r="AB12" t="n">
        <v>9113.68816340125</v>
      </c>
      <c r="AC12" t="n">
        <v>13605.4653617669</v>
      </c>
      <c r="AD12" t="n">
        <v>0</v>
      </c>
      <c r="AE12" t="n">
        <v>957.78768115649</v>
      </c>
      <c r="AF12" t="n">
        <v>18549.3159972771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345246.196518539</v>
      </c>
      <c r="AM12" t="n">
        <v>0</v>
      </c>
      <c r="AN12" t="n">
        <v>270353.727293223</v>
      </c>
      <c r="AO12" t="n">
        <v>156035.560055158</v>
      </c>
      <c r="AP12" t="n">
        <v>0</v>
      </c>
      <c r="AQ12" t="n">
        <v>8168.13154663897</v>
      </c>
      <c r="AR12" t="n">
        <v>6588.55558334685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48497.4781654369</v>
      </c>
      <c r="AY12" t="n">
        <v>0</v>
      </c>
      <c r="AZ12" t="n">
        <v>0</v>
      </c>
      <c r="BA12" t="n">
        <v>190.376608887644</v>
      </c>
      <c r="BB12" t="n">
        <v>7197.9729595758</v>
      </c>
      <c r="BC12" t="n">
        <v>7463.94159848717</v>
      </c>
      <c r="BD12" t="n">
        <v>0</v>
      </c>
      <c r="BE12" t="n">
        <v>7625.2799592112</v>
      </c>
      <c r="BF12" t="n">
        <v>360028.820236392</v>
      </c>
      <c r="BG12" t="n">
        <v>582.366836916249</v>
      </c>
      <c r="BH12" t="n">
        <v>0</v>
      </c>
      <c r="BI12" t="n">
        <v>541.328888402998</v>
      </c>
      <c r="BJ12" t="n">
        <v>0</v>
      </c>
      <c r="BK12" t="n">
        <v>0</v>
      </c>
      <c r="BL12" t="n">
        <v>64643.285062179</v>
      </c>
      <c r="BM12" t="n">
        <v>283.318091806033</v>
      </c>
      <c r="BN12" t="n">
        <v>660.453865038827</v>
      </c>
      <c r="BO12" t="n">
        <v>20897.933541598</v>
      </c>
      <c r="BP12" t="n">
        <v>0</v>
      </c>
      <c r="BQ12" t="n">
        <v>0</v>
      </c>
      <c r="BR12" t="n">
        <v>1834962.48318705</v>
      </c>
      <c r="BS12" t="n">
        <v>0</v>
      </c>
      <c r="BT12" t="n">
        <v>15598086.5388993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504316652.299709</v>
      </c>
      <c r="CA12" t="n">
        <v>7898773639.08572</v>
      </c>
      <c r="CB12" t="n">
        <v>-2395698531.01074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14215570.4272105</v>
      </c>
      <c r="C13" t="n">
        <v>0</v>
      </c>
      <c r="D13" t="n">
        <v>4997131.18965968</v>
      </c>
      <c r="E13" t="n">
        <v>39815713.9197665</v>
      </c>
      <c r="F13" t="n">
        <v>6521461.12995919</v>
      </c>
      <c r="G13" t="n">
        <v>43039520.5008996</v>
      </c>
      <c r="H13" t="n">
        <v>79701341.8879863</v>
      </c>
      <c r="I13" t="n">
        <v>27379.9088416194</v>
      </c>
      <c r="J13" t="n">
        <v>94770826.4293722</v>
      </c>
      <c r="K13" t="n">
        <v>31433721.4873995</v>
      </c>
      <c r="L13" t="n">
        <v>5275220.65735707</v>
      </c>
      <c r="M13" t="n">
        <v>1379983.71180982</v>
      </c>
      <c r="N13" t="n">
        <v>11958.8553575552</v>
      </c>
      <c r="O13" t="n">
        <v>335542.183468246</v>
      </c>
      <c r="P13" t="n">
        <v>270275.406966035</v>
      </c>
      <c r="Q13" t="n">
        <v>392771.607493344</v>
      </c>
      <c r="R13" t="n">
        <v>32635.306640932</v>
      </c>
      <c r="S13" t="n">
        <v>216010.92157027</v>
      </c>
      <c r="T13" t="n">
        <v>5857685.28544064</v>
      </c>
      <c r="U13" t="n">
        <v>48604.7877116429</v>
      </c>
      <c r="V13" t="n">
        <v>0</v>
      </c>
      <c r="W13" t="n">
        <v>12775373.0917595</v>
      </c>
      <c r="X13" t="n">
        <v>0</v>
      </c>
      <c r="Y13" t="n">
        <v>30301425.840496</v>
      </c>
      <c r="Z13" t="n">
        <v>9984843.95117076</v>
      </c>
      <c r="AA13" t="n">
        <v>1253113.81189494</v>
      </c>
      <c r="AB13" t="n">
        <v>108973.811359139</v>
      </c>
      <c r="AC13" t="n">
        <v>0</v>
      </c>
      <c r="AD13" t="n">
        <v>0</v>
      </c>
      <c r="AE13" t="n">
        <v>0</v>
      </c>
      <c r="AF13" t="n">
        <v>13745.2787289328</v>
      </c>
      <c r="AG13" t="n">
        <v>0</v>
      </c>
      <c r="AH13" t="n">
        <v>1436624.27404545</v>
      </c>
      <c r="AI13" t="n">
        <v>0</v>
      </c>
      <c r="AJ13" t="n">
        <v>48833.6392544738</v>
      </c>
      <c r="AK13" t="n">
        <v>631.01885924847</v>
      </c>
      <c r="AL13" t="n">
        <v>0</v>
      </c>
      <c r="AM13" t="n">
        <v>4706.45147716378</v>
      </c>
      <c r="AN13" t="n">
        <v>12524.4314762143</v>
      </c>
      <c r="AO13" t="n">
        <v>73422.4626183873</v>
      </c>
      <c r="AP13" t="n">
        <v>12245.3616700626</v>
      </c>
      <c r="AQ13" t="n">
        <v>1284649.65425578</v>
      </c>
      <c r="AR13" t="n">
        <v>641169.978044129</v>
      </c>
      <c r="AS13" t="n">
        <v>0</v>
      </c>
      <c r="AT13" t="n">
        <v>0</v>
      </c>
      <c r="AU13" t="n">
        <v>0</v>
      </c>
      <c r="AV13" t="n">
        <v>0</v>
      </c>
      <c r="AW13" t="n">
        <v>23193.0055444375</v>
      </c>
      <c r="AX13" t="n">
        <v>0</v>
      </c>
      <c r="AY13" t="n">
        <v>0</v>
      </c>
      <c r="AZ13" t="n">
        <v>0</v>
      </c>
      <c r="BA13" t="n">
        <v>0</v>
      </c>
      <c r="BB13" t="n">
        <v>5037635.03107179</v>
      </c>
      <c r="BC13" t="n">
        <v>130247.348121829</v>
      </c>
      <c r="BD13" t="n">
        <v>5030036.03522768</v>
      </c>
      <c r="BE13" t="n">
        <v>212218.330592556</v>
      </c>
      <c r="BF13" t="n">
        <v>1151151.57367091</v>
      </c>
      <c r="BG13" t="n">
        <v>0</v>
      </c>
      <c r="BH13" t="n">
        <v>106269.938453725</v>
      </c>
      <c r="BI13" t="n">
        <v>159095.333765053</v>
      </c>
      <c r="BJ13" t="n">
        <v>651034.890656524</v>
      </c>
      <c r="BK13" t="n">
        <v>708388.193240967</v>
      </c>
      <c r="BL13" t="n">
        <v>2783440.35214816</v>
      </c>
      <c r="BM13" t="n">
        <v>380253.818286416</v>
      </c>
      <c r="BN13" t="n">
        <v>4437562.39043066</v>
      </c>
      <c r="BO13" t="n">
        <v>6703533.18165654</v>
      </c>
      <c r="BP13" t="n">
        <v>0</v>
      </c>
      <c r="BQ13" t="n">
        <v>18240143.0024835</v>
      </c>
      <c r="BR13" t="n">
        <v>0</v>
      </c>
      <c r="BS13" t="n">
        <v>21537886.2441711</v>
      </c>
      <c r="BT13" t="n">
        <v>23560628.7674254</v>
      </c>
      <c r="BU13" t="n">
        <v>1646165.4274027</v>
      </c>
      <c r="BV13" t="n">
        <v>0</v>
      </c>
      <c r="BW13" t="n">
        <v>356803.581331656</v>
      </c>
      <c r="BX13" t="n">
        <v>0</v>
      </c>
      <c r="BY13" t="n">
        <v>0</v>
      </c>
      <c r="BZ13" t="n">
        <v>6425424.34638142</v>
      </c>
      <c r="CA13" t="n">
        <v>24839364.0127778</v>
      </c>
      <c r="CB13" t="n">
        <v>-50423557.6761243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1854793003.70061</v>
      </c>
      <c r="E14" t="n">
        <v>9569676.86276256</v>
      </c>
      <c r="F14" t="n">
        <v>207864252.220391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141997.789530695</v>
      </c>
      <c r="BC14" t="n">
        <v>16079.3986463158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8928507245.00686</v>
      </c>
      <c r="BW14" t="n">
        <v>186345899.690294</v>
      </c>
      <c r="BX14" t="n">
        <v>0</v>
      </c>
      <c r="BY14" t="n">
        <v>0</v>
      </c>
      <c r="BZ14" t="n">
        <v>-456160.589497877</v>
      </c>
      <c r="CA14" t="n">
        <v>552520.042027863</v>
      </c>
      <c r="CB14" t="n">
        <v>-58767065.7771679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43664350.3518237</v>
      </c>
      <c r="C15" t="n">
        <v>71274.897599979</v>
      </c>
      <c r="D15" t="n">
        <v>192194973.323514</v>
      </c>
      <c r="E15" t="n">
        <v>10964302.9889602</v>
      </c>
      <c r="F15" t="n">
        <v>13527568.9202497</v>
      </c>
      <c r="G15" t="n">
        <v>101871142.022432</v>
      </c>
      <c r="H15" t="n">
        <v>19229955.4658083</v>
      </c>
      <c r="I15" t="n">
        <v>2407371.79222868</v>
      </c>
      <c r="J15" t="n">
        <v>15971422.1991847</v>
      </c>
      <c r="K15" t="n">
        <v>7910831.40786408</v>
      </c>
      <c r="L15" t="n">
        <v>21587990.402328</v>
      </c>
      <c r="M15" t="n">
        <v>13100564.2440456</v>
      </c>
      <c r="N15" t="n">
        <v>982377.252501423</v>
      </c>
      <c r="O15" t="n">
        <v>1126695.47678327</v>
      </c>
      <c r="P15" t="n">
        <v>4217429.66537083</v>
      </c>
      <c r="Q15" t="n">
        <v>5668696.57907094</v>
      </c>
      <c r="R15" t="n">
        <v>630210.581847109</v>
      </c>
      <c r="S15" t="n">
        <v>754341.006891533</v>
      </c>
      <c r="T15" t="n">
        <v>16689265.8673702</v>
      </c>
      <c r="U15" t="n">
        <v>483702.122355818</v>
      </c>
      <c r="V15" t="n">
        <v>44298.6593312766</v>
      </c>
      <c r="W15" t="n">
        <v>22630510.4705126</v>
      </c>
      <c r="X15" t="n">
        <v>1346875.77856362</v>
      </c>
      <c r="Y15" t="n">
        <v>26070112.8098371</v>
      </c>
      <c r="Z15" t="n">
        <v>9996279.50752873</v>
      </c>
      <c r="AA15" t="n">
        <v>21481983.4031363</v>
      </c>
      <c r="AB15" t="n">
        <v>31609506.3417356</v>
      </c>
      <c r="AC15" t="n">
        <v>13743417.1765535</v>
      </c>
      <c r="AD15" t="n">
        <v>17860001.2913336</v>
      </c>
      <c r="AE15" t="n">
        <v>31259888.9962258</v>
      </c>
      <c r="AF15" t="n">
        <v>36654194.9490266</v>
      </c>
      <c r="AG15" t="n">
        <v>2751640.50709703</v>
      </c>
      <c r="AH15" t="n">
        <v>352279.974043649</v>
      </c>
      <c r="AI15" t="n">
        <v>775.131431205728</v>
      </c>
      <c r="AJ15" t="n">
        <v>15056592.0956131</v>
      </c>
      <c r="AK15" t="n">
        <v>119893.046782432</v>
      </c>
      <c r="AL15" t="n">
        <v>57739293.3162631</v>
      </c>
      <c r="AM15" t="n">
        <v>2901800.57088784</v>
      </c>
      <c r="AN15" t="n">
        <v>6591274.40937175</v>
      </c>
      <c r="AO15" t="n">
        <v>1534561.12263816</v>
      </c>
      <c r="AP15" t="n">
        <v>142780.518941637</v>
      </c>
      <c r="AQ15" t="n">
        <v>12111087.5832525</v>
      </c>
      <c r="AR15" t="n">
        <v>1412843.9028504</v>
      </c>
      <c r="AS15" t="n">
        <v>4331220.07983557</v>
      </c>
      <c r="AT15" t="n">
        <v>815674.221747345</v>
      </c>
      <c r="AU15" t="n">
        <v>881096.584388127</v>
      </c>
      <c r="AV15" t="n">
        <v>301348.230668661</v>
      </c>
      <c r="AW15" t="n">
        <v>387708.237449053</v>
      </c>
      <c r="AX15" t="n">
        <v>39963156.465609</v>
      </c>
      <c r="AY15" t="n">
        <v>3029367.40323935</v>
      </c>
      <c r="AZ15" t="n">
        <v>1071154.94247321</v>
      </c>
      <c r="BA15" t="n">
        <v>672754.265984426</v>
      </c>
      <c r="BB15" t="n">
        <v>9260332.73267619</v>
      </c>
      <c r="BC15" t="n">
        <v>9197312.12727386</v>
      </c>
      <c r="BD15" t="n">
        <v>8344530.67099795</v>
      </c>
      <c r="BE15" t="n">
        <v>2709426.4347927</v>
      </c>
      <c r="BF15" t="n">
        <v>6777488.27154579</v>
      </c>
      <c r="BG15" t="n">
        <v>10167966.3974332</v>
      </c>
      <c r="BH15" t="n">
        <v>20247261.5142649</v>
      </c>
      <c r="BI15" t="n">
        <v>8377801.77610755</v>
      </c>
      <c r="BJ15" t="n">
        <v>2615963.46792103</v>
      </c>
      <c r="BK15" t="n">
        <v>1286287.94000237</v>
      </c>
      <c r="BL15" t="n">
        <v>6291078.74748918</v>
      </c>
      <c r="BM15" t="n">
        <v>7180452.27520897</v>
      </c>
      <c r="BN15" t="n">
        <v>54069641.2218719</v>
      </c>
      <c r="BO15" t="n">
        <v>18463018.144229</v>
      </c>
      <c r="BP15" t="n">
        <v>8989527.31980752</v>
      </c>
      <c r="BQ15" t="n">
        <v>4907530.46313579</v>
      </c>
      <c r="BR15" t="n">
        <v>9325403.14229026</v>
      </c>
      <c r="BS15" t="n">
        <v>79022343.4470224</v>
      </c>
      <c r="BT15" t="n">
        <v>7627591.57502916</v>
      </c>
      <c r="BU15" t="n">
        <v>636444910.430707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53217363.3787901</v>
      </c>
      <c r="CB15" t="n">
        <v>-21519712.1395545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28627456.5773673</v>
      </c>
      <c r="C16" t="n">
        <v>107423.349895632</v>
      </c>
      <c r="D16" t="n">
        <v>16174259.5149334</v>
      </c>
      <c r="E16" t="n">
        <v>35609642.0776761</v>
      </c>
      <c r="F16" t="n">
        <v>188856636.39932</v>
      </c>
      <c r="G16" t="n">
        <v>77376753.3388906</v>
      </c>
      <c r="H16" t="n">
        <v>2348690.5522693</v>
      </c>
      <c r="I16" t="n">
        <v>1735647.94714289</v>
      </c>
      <c r="J16" t="n">
        <v>14184339.7010206</v>
      </c>
      <c r="K16" t="n">
        <v>6541982.74262565</v>
      </c>
      <c r="L16" t="n">
        <v>24735134.9989652</v>
      </c>
      <c r="M16" t="n">
        <v>18837040.4426197</v>
      </c>
      <c r="N16" t="n">
        <v>1349956.06387409</v>
      </c>
      <c r="O16" t="n">
        <v>957847.250005509</v>
      </c>
      <c r="P16" t="n">
        <v>4357642.11308444</v>
      </c>
      <c r="Q16" t="n">
        <v>3331301.6704563</v>
      </c>
      <c r="R16" t="n">
        <v>545616.114083394</v>
      </c>
      <c r="S16" t="n">
        <v>1044670.79542955</v>
      </c>
      <c r="T16" t="n">
        <v>14829233.0648451</v>
      </c>
      <c r="U16" t="n">
        <v>243428.471700509</v>
      </c>
      <c r="V16" t="n">
        <v>37987.3167782883</v>
      </c>
      <c r="W16" t="n">
        <v>17067829.5811998</v>
      </c>
      <c r="X16" t="n">
        <v>1389566.87223772</v>
      </c>
      <c r="Y16" t="n">
        <v>142654686.614906</v>
      </c>
      <c r="Z16" t="n">
        <v>6009072.15849163</v>
      </c>
      <c r="AA16" t="n">
        <v>13926781.5235056</v>
      </c>
      <c r="AB16" t="n">
        <v>31370955.9435903</v>
      </c>
      <c r="AC16" t="n">
        <v>16602367.7525084</v>
      </c>
      <c r="AD16" t="n">
        <v>7446642.31798584</v>
      </c>
      <c r="AE16" t="n">
        <v>30732704.0505387</v>
      </c>
      <c r="AF16" t="n">
        <v>32041244.357753</v>
      </c>
      <c r="AG16" t="n">
        <v>2495506.73990665</v>
      </c>
      <c r="AH16" t="n">
        <v>48183315.2903477</v>
      </c>
      <c r="AI16" t="n">
        <v>824.79541207552</v>
      </c>
      <c r="AJ16" t="n">
        <v>6983998.27769159</v>
      </c>
      <c r="AK16" t="n">
        <v>579063.604240283</v>
      </c>
      <c r="AL16" t="n">
        <v>144200105.374078</v>
      </c>
      <c r="AM16" t="n">
        <v>9562292.29305688</v>
      </c>
      <c r="AN16" t="n">
        <v>9124008.45032029</v>
      </c>
      <c r="AO16" t="n">
        <v>980411.083780529</v>
      </c>
      <c r="AP16" t="n">
        <v>89946.3549607524</v>
      </c>
      <c r="AQ16" t="n">
        <v>18325993.8313572</v>
      </c>
      <c r="AR16" t="n">
        <v>1429402.10814594</v>
      </c>
      <c r="AS16" t="n">
        <v>30607637.1895812</v>
      </c>
      <c r="AT16" t="n">
        <v>4345782.53234419</v>
      </c>
      <c r="AU16" t="n">
        <v>4385830.15123607</v>
      </c>
      <c r="AV16" t="n">
        <v>55840.4558404558</v>
      </c>
      <c r="AW16" t="n">
        <v>655248606.704614</v>
      </c>
      <c r="AX16" t="n">
        <v>186972357.221084</v>
      </c>
      <c r="AY16" t="n">
        <v>7884828.2612197</v>
      </c>
      <c r="AZ16" t="n">
        <v>1220308.40177707</v>
      </c>
      <c r="BA16" t="n">
        <v>246414.593076942</v>
      </c>
      <c r="BB16" t="n">
        <v>14586982.1757837</v>
      </c>
      <c r="BC16" t="n">
        <v>5658526.51251781</v>
      </c>
      <c r="BD16" t="n">
        <v>9472035.5010225</v>
      </c>
      <c r="BE16" t="n">
        <v>1054900.96497166</v>
      </c>
      <c r="BF16" t="n">
        <v>9539486.23459462</v>
      </c>
      <c r="BG16" t="n">
        <v>7044664.80906862</v>
      </c>
      <c r="BH16" t="n">
        <v>12185266.2618197</v>
      </c>
      <c r="BI16" t="n">
        <v>5795672.34944013</v>
      </c>
      <c r="BJ16" t="n">
        <v>4747914.96487502</v>
      </c>
      <c r="BK16" t="n">
        <v>1131149.60607506</v>
      </c>
      <c r="BL16" t="n">
        <v>4371908.86788742</v>
      </c>
      <c r="BM16" t="n">
        <v>13559352.5641355</v>
      </c>
      <c r="BN16" t="n">
        <v>25466404.1111261</v>
      </c>
      <c r="BO16" t="n">
        <v>37072473.9674887</v>
      </c>
      <c r="BP16" t="n">
        <v>87245704.4828676</v>
      </c>
      <c r="BQ16" t="n">
        <v>7288815.04434597</v>
      </c>
      <c r="BR16" t="n">
        <v>8795059.16205729</v>
      </c>
      <c r="BS16" t="n">
        <v>471729216.705417</v>
      </c>
      <c r="BT16" t="n">
        <v>467888625.232206</v>
      </c>
      <c r="BU16" t="n">
        <v>0</v>
      </c>
      <c r="BV16" t="n">
        <v>4662130451.70086</v>
      </c>
      <c r="BW16" t="n">
        <v>0</v>
      </c>
      <c r="BX16" t="n">
        <v>0</v>
      </c>
      <c r="BY16" t="n">
        <v>5812658557.18097</v>
      </c>
      <c r="BZ16" t="n">
        <v>0</v>
      </c>
      <c r="CA16" t="n">
        <v>920243.482392499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274731218.709802</v>
      </c>
      <c r="CI16" t="n">
        <v>0</v>
      </c>
      <c r="CJ16" t="n">
        <v>0</v>
      </c>
      <c r="CK16" t="n">
        <v>0</v>
      </c>
      <c r="CL16" t="n">
        <v>3714760303.21482</v>
      </c>
      <c r="CM16" t="n">
        <v>0</v>
      </c>
      <c r="CN16" t="n">
        <v>0</v>
      </c>
    </row>
    <row r="17">
      <c r="A17" t="s">
        <v>128</v>
      </c>
      <c r="B17" t="n">
        <v>5072604.26483094</v>
      </c>
      <c r="C17" t="n">
        <v>147625.873838949</v>
      </c>
      <c r="D17" t="n">
        <v>0</v>
      </c>
      <c r="E17" t="n">
        <v>767116.982069225</v>
      </c>
      <c r="F17" t="n">
        <v>10557541.5910938</v>
      </c>
      <c r="G17" t="n">
        <v>30624.5390399811</v>
      </c>
      <c r="H17" t="n">
        <v>188632380.201113</v>
      </c>
      <c r="I17" t="n">
        <v>73003030.3589681</v>
      </c>
      <c r="J17" t="n">
        <v>1408652.58014393</v>
      </c>
      <c r="K17" t="n">
        <v>1274285.42584118</v>
      </c>
      <c r="L17" t="n">
        <v>1833863.40440481</v>
      </c>
      <c r="M17" t="n">
        <v>9070823.90330721</v>
      </c>
      <c r="N17" t="n">
        <v>332698.146680129</v>
      </c>
      <c r="O17" t="n">
        <v>1689144.94583432</v>
      </c>
      <c r="P17" t="n">
        <v>8273791.18864042</v>
      </c>
      <c r="Q17" t="n">
        <v>811121.653011644</v>
      </c>
      <c r="R17" t="n">
        <v>14049492.250363</v>
      </c>
      <c r="S17" t="n">
        <v>1980131.87859667</v>
      </c>
      <c r="T17" t="n">
        <v>1383946.50288693</v>
      </c>
      <c r="U17" t="n">
        <v>79828.2983069081</v>
      </c>
      <c r="V17" t="n">
        <v>0</v>
      </c>
      <c r="W17" t="n">
        <v>33526447.5377054</v>
      </c>
      <c r="X17" t="n">
        <v>4328.86876086518</v>
      </c>
      <c r="Y17" t="n">
        <v>0</v>
      </c>
      <c r="Z17" t="n">
        <v>376276.693078046</v>
      </c>
      <c r="AA17" t="n">
        <v>17429205.9194762</v>
      </c>
      <c r="AB17" t="n">
        <v>24717114.7465552</v>
      </c>
      <c r="AC17" t="n">
        <v>820335.584893938</v>
      </c>
      <c r="AD17" t="n">
        <v>2077665.80115995</v>
      </c>
      <c r="AE17" t="n">
        <v>1123730.0626726</v>
      </c>
      <c r="AF17" t="n">
        <v>3967863.2982056</v>
      </c>
      <c r="AG17" t="n">
        <v>0</v>
      </c>
      <c r="AH17" t="n">
        <v>22878853.4593515</v>
      </c>
      <c r="AI17" t="n">
        <v>0</v>
      </c>
      <c r="AJ17" t="n">
        <v>1069512.24756141</v>
      </c>
      <c r="AK17" t="n">
        <v>0</v>
      </c>
      <c r="AL17" t="n">
        <v>836417.107095619</v>
      </c>
      <c r="AM17" t="n">
        <v>202584.122643274</v>
      </c>
      <c r="AN17" t="n">
        <v>701254.298513805</v>
      </c>
      <c r="AO17" t="n">
        <v>148266.322342776</v>
      </c>
      <c r="AP17" t="n">
        <v>50598.7538948636</v>
      </c>
      <c r="AQ17" t="n">
        <v>2981583.14083761</v>
      </c>
      <c r="AR17" t="n">
        <v>870100.509525254</v>
      </c>
      <c r="AS17" t="n">
        <v>758385.956999894</v>
      </c>
      <c r="AT17" t="n">
        <v>9403.98159315023</v>
      </c>
      <c r="AU17" t="n">
        <v>0</v>
      </c>
      <c r="AV17" t="n">
        <v>0</v>
      </c>
      <c r="AW17" t="n">
        <v>91363.4805950409</v>
      </c>
      <c r="AX17" t="n">
        <v>16221992.237414</v>
      </c>
      <c r="AY17" t="n">
        <v>1913962.77890213</v>
      </c>
      <c r="AZ17" t="n">
        <v>50831.9867490626</v>
      </c>
      <c r="BA17" t="n">
        <v>66909.0168057977</v>
      </c>
      <c r="BB17" t="n">
        <v>2584278.55934649</v>
      </c>
      <c r="BC17" t="n">
        <v>15193.8160293901</v>
      </c>
      <c r="BD17" t="n">
        <v>5054781.56667866</v>
      </c>
      <c r="BE17" t="n">
        <v>125239.218706003</v>
      </c>
      <c r="BF17" t="n">
        <v>96078.6211147656</v>
      </c>
      <c r="BG17" t="n">
        <v>1962060.30425641</v>
      </c>
      <c r="BH17" t="n">
        <v>2594226.5762479</v>
      </c>
      <c r="BI17" t="n">
        <v>24500.3405445357</v>
      </c>
      <c r="BJ17" t="n">
        <v>2520068.17015686</v>
      </c>
      <c r="BK17" t="n">
        <v>17028.515256448</v>
      </c>
      <c r="BL17" t="n">
        <v>623534.293055181</v>
      </c>
      <c r="BM17" t="n">
        <v>2482894.13609159</v>
      </c>
      <c r="BN17" t="n">
        <v>4942369.36131363</v>
      </c>
      <c r="BO17" t="n">
        <v>1986985.67525058</v>
      </c>
      <c r="BP17" t="n">
        <v>133701.450214365</v>
      </c>
      <c r="BQ17" t="n">
        <v>288351.078668254</v>
      </c>
      <c r="BR17" t="n">
        <v>23736.2857944845</v>
      </c>
      <c r="BS17" t="n">
        <v>18554046.8868889</v>
      </c>
      <c r="BT17" t="n">
        <v>1329433.78779189</v>
      </c>
      <c r="BU17" t="n">
        <v>26847240.6716826</v>
      </c>
      <c r="BV17" t="n">
        <v>809584.366223622</v>
      </c>
      <c r="BW17" t="n">
        <v>0</v>
      </c>
      <c r="BX17" t="n">
        <v>0</v>
      </c>
      <c r="BY17" t="n">
        <v>32530928.5083486</v>
      </c>
      <c r="BZ17" t="n">
        <v>2576986.85586674</v>
      </c>
      <c r="CA17" t="n">
        <v>6932973.91550002</v>
      </c>
      <c r="CB17" t="n">
        <v>-159325330.510221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90466.8244767942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229600.793856581</v>
      </c>
      <c r="C18" t="n">
        <v>203800.393018906</v>
      </c>
      <c r="D18" t="n">
        <v>83406464.7310754</v>
      </c>
      <c r="E18" t="n">
        <v>3112125.0887521</v>
      </c>
      <c r="F18" t="n">
        <v>50961584.5839213</v>
      </c>
      <c r="G18" t="n">
        <v>505592.002365663</v>
      </c>
      <c r="H18" t="n">
        <v>399232573.128879</v>
      </c>
      <c r="I18" t="n">
        <v>3621262.2370276</v>
      </c>
      <c r="J18" t="n">
        <v>160463233.55715</v>
      </c>
      <c r="K18" t="n">
        <v>8886458.04338163</v>
      </c>
      <c r="L18" t="n">
        <v>19873672.8187873</v>
      </c>
      <c r="M18" t="n">
        <v>25041540.3016521</v>
      </c>
      <c r="N18" t="n">
        <v>550603.031376849</v>
      </c>
      <c r="O18" t="n">
        <v>6995354.29495363</v>
      </c>
      <c r="P18" t="n">
        <v>25387417.8135927</v>
      </c>
      <c r="Q18" t="n">
        <v>1609796.83634252</v>
      </c>
      <c r="R18" t="n">
        <v>999463.530067645</v>
      </c>
      <c r="S18" t="n">
        <v>1760132.32067166</v>
      </c>
      <c r="T18" t="n">
        <v>19817088.5524538</v>
      </c>
      <c r="U18" t="n">
        <v>44256.2515740081</v>
      </c>
      <c r="V18" t="n">
        <v>0</v>
      </c>
      <c r="W18" t="n">
        <v>4788600.26240003</v>
      </c>
      <c r="X18" t="n">
        <v>2795.77920331488</v>
      </c>
      <c r="Y18" t="n">
        <v>18543118.4857689</v>
      </c>
      <c r="Z18" t="n">
        <v>2924799.82275118</v>
      </c>
      <c r="AA18" t="n">
        <v>22674304.3788776</v>
      </c>
      <c r="AB18" t="n">
        <v>517725.869869117</v>
      </c>
      <c r="AC18" t="n">
        <v>1804499.22708835</v>
      </c>
      <c r="AD18" t="n">
        <v>260032.657159411</v>
      </c>
      <c r="AE18" t="n">
        <v>2968291.88717498</v>
      </c>
      <c r="AF18" t="n">
        <v>3432348.75065271</v>
      </c>
      <c r="AG18" t="n">
        <v>0</v>
      </c>
      <c r="AH18" t="n">
        <v>205124.144838687</v>
      </c>
      <c r="AI18" t="n">
        <v>0</v>
      </c>
      <c r="AJ18" t="n">
        <v>1137258.9014345</v>
      </c>
      <c r="AK18" t="n">
        <v>0</v>
      </c>
      <c r="AL18" t="n">
        <v>0</v>
      </c>
      <c r="AM18" t="n">
        <v>71667.5790103922</v>
      </c>
      <c r="AN18" t="n">
        <v>620032.180000596</v>
      </c>
      <c r="AO18" t="n">
        <v>8981.47253158647</v>
      </c>
      <c r="AP18" t="n">
        <v>795.772925131925</v>
      </c>
      <c r="AQ18" t="n">
        <v>14480657.0046499</v>
      </c>
      <c r="AR18" t="n">
        <v>779624.187485837</v>
      </c>
      <c r="AS18" t="n">
        <v>114955.547938871</v>
      </c>
      <c r="AT18" t="n">
        <v>54394.0858860848</v>
      </c>
      <c r="AU18" t="n">
        <v>156525.164496886</v>
      </c>
      <c r="AV18" t="n">
        <v>0</v>
      </c>
      <c r="AW18" t="n">
        <v>563989.13443399</v>
      </c>
      <c r="AX18" t="n">
        <v>201552.603291402</v>
      </c>
      <c r="AY18" t="n">
        <v>3778198.16437145</v>
      </c>
      <c r="AZ18" t="n">
        <v>0</v>
      </c>
      <c r="BA18" t="n">
        <v>370832.622088859</v>
      </c>
      <c r="BB18" t="n">
        <v>20149546.0764782</v>
      </c>
      <c r="BC18" t="n">
        <v>214490.15264792</v>
      </c>
      <c r="BD18" t="n">
        <v>6229211.8479807</v>
      </c>
      <c r="BE18" t="n">
        <v>1568909.89841733</v>
      </c>
      <c r="BF18" t="n">
        <v>265053.429172298</v>
      </c>
      <c r="BG18" t="n">
        <v>14487162.9089157</v>
      </c>
      <c r="BH18" t="n">
        <v>19375046.1631661</v>
      </c>
      <c r="BI18" t="n">
        <v>858006.336429171</v>
      </c>
      <c r="BJ18" t="n">
        <v>2353850.1703201</v>
      </c>
      <c r="BK18" t="n">
        <v>38424.7987549458</v>
      </c>
      <c r="BL18" t="n">
        <v>682153.194721711</v>
      </c>
      <c r="BM18" t="n">
        <v>322293.968144017</v>
      </c>
      <c r="BN18" t="n">
        <v>17740070.7224918</v>
      </c>
      <c r="BO18" t="n">
        <v>10319236.1138001</v>
      </c>
      <c r="BP18" t="n">
        <v>461178.909571759</v>
      </c>
      <c r="BQ18" t="n">
        <v>5300142.566218</v>
      </c>
      <c r="BR18" t="n">
        <v>0</v>
      </c>
      <c r="BS18" t="n">
        <v>17173283.6137533</v>
      </c>
      <c r="BT18" t="n">
        <v>17317978.3252351</v>
      </c>
      <c r="BU18" t="n">
        <v>95612258.5354314</v>
      </c>
      <c r="BV18" t="n">
        <v>0</v>
      </c>
      <c r="BW18" t="n">
        <v>0</v>
      </c>
      <c r="BX18" t="n">
        <v>0</v>
      </c>
      <c r="BY18" t="n">
        <v>0</v>
      </c>
      <c r="BZ18" t="n">
        <v>18056356.1663376</v>
      </c>
      <c r="CA18" t="n">
        <v>21326668.72385</v>
      </c>
      <c r="CB18" t="n">
        <v>-298746700.244126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1173757.93974046</v>
      </c>
      <c r="C19" t="n">
        <v>0</v>
      </c>
      <c r="D19" t="n">
        <v>197323586.507738</v>
      </c>
      <c r="E19" t="n">
        <v>2030838.41023118</v>
      </c>
      <c r="F19" t="n">
        <v>21014914.2598022</v>
      </c>
      <c r="G19" t="n">
        <v>13342.8581307736</v>
      </c>
      <c r="H19" t="n">
        <v>20148423.2200984</v>
      </c>
      <c r="I19" t="n">
        <v>692286.04320467</v>
      </c>
      <c r="J19" t="n">
        <v>9917932.89723718</v>
      </c>
      <c r="K19" t="n">
        <v>230117264.890966</v>
      </c>
      <c r="L19" t="n">
        <v>516938917.580258</v>
      </c>
      <c r="M19" t="n">
        <v>300370135.153624</v>
      </c>
      <c r="N19" t="n">
        <v>6418029.40191833</v>
      </c>
      <c r="O19" t="n">
        <v>36186853.1348211</v>
      </c>
      <c r="P19" t="n">
        <v>90891835.1463012</v>
      </c>
      <c r="Q19" t="n">
        <v>23550654.2810717</v>
      </c>
      <c r="R19" t="n">
        <v>5657132.82591817</v>
      </c>
      <c r="S19" t="n">
        <v>8452701.63933604</v>
      </c>
      <c r="T19" t="n">
        <v>7002944.06579778</v>
      </c>
      <c r="U19" t="n">
        <v>55574.1643106966</v>
      </c>
      <c r="V19" t="n">
        <v>0</v>
      </c>
      <c r="W19" t="n">
        <v>6803479.06711791</v>
      </c>
      <c r="X19" t="n">
        <v>25955.1273013571</v>
      </c>
      <c r="Y19" t="n">
        <v>132240.6552803</v>
      </c>
      <c r="Z19" t="n">
        <v>87171.3643263847</v>
      </c>
      <c r="AA19" t="n">
        <v>11367847.4307892</v>
      </c>
      <c r="AB19" t="n">
        <v>1940181.33055427</v>
      </c>
      <c r="AC19" t="n">
        <v>36250.8538595962</v>
      </c>
      <c r="AD19" t="n">
        <v>0</v>
      </c>
      <c r="AE19" t="n">
        <v>0</v>
      </c>
      <c r="AF19" t="n">
        <v>2943484.33999895</v>
      </c>
      <c r="AG19" t="n">
        <v>0</v>
      </c>
      <c r="AH19" t="n">
        <v>4299910.94581987</v>
      </c>
      <c r="AI19" t="n">
        <v>0</v>
      </c>
      <c r="AJ19" t="n">
        <v>0</v>
      </c>
      <c r="AK19" t="n">
        <v>0</v>
      </c>
      <c r="AL19" t="n">
        <v>0</v>
      </c>
      <c r="AM19" t="n">
        <v>397172.219310133</v>
      </c>
      <c r="AN19" t="n">
        <v>0</v>
      </c>
      <c r="AO19" t="n">
        <v>45174.4684667582</v>
      </c>
      <c r="AP19" t="n">
        <v>6158.13540628118</v>
      </c>
      <c r="AQ19" t="n">
        <v>1316880.6518961</v>
      </c>
      <c r="AR19" t="n">
        <v>481611.080120946</v>
      </c>
      <c r="AS19" t="n">
        <v>0</v>
      </c>
      <c r="AT19" t="n">
        <v>0</v>
      </c>
      <c r="AU19" t="n">
        <v>0</v>
      </c>
      <c r="AV19" t="n">
        <v>0</v>
      </c>
      <c r="AW19" t="n">
        <v>2328.83098668142</v>
      </c>
      <c r="AX19" t="n">
        <v>5369296.48143879</v>
      </c>
      <c r="AY19" t="n">
        <v>384090.313817351</v>
      </c>
      <c r="AZ19" t="n">
        <v>0</v>
      </c>
      <c r="BA19" t="n">
        <v>0</v>
      </c>
      <c r="BB19" t="n">
        <v>5132889.44489079</v>
      </c>
      <c r="BC19" t="n">
        <v>169068.692793102</v>
      </c>
      <c r="BD19" t="n">
        <v>2885522.97984858</v>
      </c>
      <c r="BE19" t="n">
        <v>1039769.06727797</v>
      </c>
      <c r="BF19" t="n">
        <v>434327.07926539</v>
      </c>
      <c r="BG19" t="n">
        <v>848664.962804567</v>
      </c>
      <c r="BH19" t="n">
        <v>106825.750487324</v>
      </c>
      <c r="BI19" t="n">
        <v>62673.7082894046</v>
      </c>
      <c r="BJ19" t="n">
        <v>1082913.02940868</v>
      </c>
      <c r="BK19" t="n">
        <v>55618.0856841613</v>
      </c>
      <c r="BL19" t="n">
        <v>1074316.67664974</v>
      </c>
      <c r="BM19" t="n">
        <v>80315.181143923</v>
      </c>
      <c r="BN19" t="n">
        <v>503377.94059613</v>
      </c>
      <c r="BO19" t="n">
        <v>4214895.82870567</v>
      </c>
      <c r="BP19" t="n">
        <v>1922434.72124165</v>
      </c>
      <c r="BQ19" t="n">
        <v>3307181.77222408</v>
      </c>
      <c r="BR19" t="n">
        <v>0</v>
      </c>
      <c r="BS19" t="n">
        <v>524333.63780517</v>
      </c>
      <c r="BT19" t="n">
        <v>2800073.92186177</v>
      </c>
      <c r="BU19" t="n">
        <v>3451809.52322116</v>
      </c>
      <c r="BV19" t="n">
        <v>0</v>
      </c>
      <c r="BW19" t="n">
        <v>0</v>
      </c>
      <c r="BX19" t="n">
        <v>0</v>
      </c>
      <c r="BY19" t="n">
        <v>0</v>
      </c>
      <c r="BZ19" t="n">
        <v>11073334.9430294</v>
      </c>
      <c r="CA19" t="n">
        <v>98311050.0658713</v>
      </c>
      <c r="CB19" t="n">
        <v>-846838202.4859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20799671.0430784</v>
      </c>
      <c r="C20" t="n">
        <v>356127.074844489</v>
      </c>
      <c r="D20" t="n">
        <v>502560850.312185</v>
      </c>
      <c r="E20" t="n">
        <v>5372893.83716989</v>
      </c>
      <c r="F20" t="n">
        <v>40298134.7799855</v>
      </c>
      <c r="G20" t="n">
        <v>6405626.61406556</v>
      </c>
      <c r="H20" t="n">
        <v>362196205.55249</v>
      </c>
      <c r="I20" t="n">
        <v>8369621.17433587</v>
      </c>
      <c r="J20" t="n">
        <v>13975514.8879148</v>
      </c>
      <c r="K20" t="n">
        <v>12167578.3715878</v>
      </c>
      <c r="L20" t="n">
        <v>329850165.462009</v>
      </c>
      <c r="M20" t="n">
        <v>253986517.484265</v>
      </c>
      <c r="N20" t="n">
        <v>8457815.94354583</v>
      </c>
      <c r="O20" t="n">
        <v>23936900.2249255</v>
      </c>
      <c r="P20" t="n">
        <v>67600857.7802287</v>
      </c>
      <c r="Q20" t="n">
        <v>44357337.9077216</v>
      </c>
      <c r="R20" t="n">
        <v>8498213.73954242</v>
      </c>
      <c r="S20" t="n">
        <v>6667014.42210228</v>
      </c>
      <c r="T20" t="n">
        <v>57933239.3609448</v>
      </c>
      <c r="U20" t="n">
        <v>475705.388319492</v>
      </c>
      <c r="V20" t="n">
        <v>107160.363422291</v>
      </c>
      <c r="W20" t="n">
        <v>44445978.2401453</v>
      </c>
      <c r="X20" t="n">
        <v>1464322.53442435</v>
      </c>
      <c r="Y20" t="n">
        <v>13714022.182329</v>
      </c>
      <c r="Z20" t="n">
        <v>13402317.3427683</v>
      </c>
      <c r="AA20" t="n">
        <v>63379391.0224817</v>
      </c>
      <c r="AB20" t="n">
        <v>10018284.4778617</v>
      </c>
      <c r="AC20" t="n">
        <v>2112132.1134681</v>
      </c>
      <c r="AD20" t="n">
        <v>824833.20648625</v>
      </c>
      <c r="AE20" t="n">
        <v>1126400.3869588</v>
      </c>
      <c r="AF20" t="n">
        <v>9440404.37464648</v>
      </c>
      <c r="AG20" t="n">
        <v>1186664.26915202</v>
      </c>
      <c r="AH20" t="n">
        <v>4353248.39787108</v>
      </c>
      <c r="AI20" t="n">
        <v>9655.51924461907</v>
      </c>
      <c r="AJ20" t="n">
        <v>11555556.3255343</v>
      </c>
      <c r="AK20" t="n">
        <v>220494.767203178</v>
      </c>
      <c r="AL20" t="n">
        <v>111079758.997376</v>
      </c>
      <c r="AM20" t="n">
        <v>1600145.87913458</v>
      </c>
      <c r="AN20" t="n">
        <v>4519133.56812278</v>
      </c>
      <c r="AO20" t="n">
        <v>2143475.65038827</v>
      </c>
      <c r="AP20" t="n">
        <v>25298.4418777176</v>
      </c>
      <c r="AQ20" t="n">
        <v>46825076.326097</v>
      </c>
      <c r="AR20" t="n">
        <v>1436002.24691694</v>
      </c>
      <c r="AS20" t="n">
        <v>1131076.34921828</v>
      </c>
      <c r="AT20" t="n">
        <v>251183.017056911</v>
      </c>
      <c r="AU20" t="n">
        <v>0</v>
      </c>
      <c r="AV20" t="n">
        <v>16748.5020427817</v>
      </c>
      <c r="AW20" t="n">
        <v>81134.1647732134</v>
      </c>
      <c r="AX20" t="n">
        <v>4955405.45734015</v>
      </c>
      <c r="AY20" t="n">
        <v>7085104.00220128</v>
      </c>
      <c r="AZ20" t="n">
        <v>122097.770596249</v>
      </c>
      <c r="BA20" t="n">
        <v>3963892.5570633</v>
      </c>
      <c r="BB20" t="n">
        <v>17869684.3129327</v>
      </c>
      <c r="BC20" t="n">
        <v>2038174.46562773</v>
      </c>
      <c r="BD20" t="n">
        <v>13434052.9686597</v>
      </c>
      <c r="BE20" t="n">
        <v>12959077.0464682</v>
      </c>
      <c r="BF20" t="n">
        <v>1101616.51843588</v>
      </c>
      <c r="BG20" t="n">
        <v>1656683.08748345</v>
      </c>
      <c r="BH20" t="n">
        <v>7774450.07043753</v>
      </c>
      <c r="BI20" t="n">
        <v>118159.606275307</v>
      </c>
      <c r="BJ20" t="n">
        <v>10555830.7855462</v>
      </c>
      <c r="BK20" t="n">
        <v>98926.7011456457</v>
      </c>
      <c r="BL20" t="n">
        <v>2121168.57464032</v>
      </c>
      <c r="BM20" t="n">
        <v>3837025.22351738</v>
      </c>
      <c r="BN20" t="n">
        <v>18452469.6255993</v>
      </c>
      <c r="BO20" t="n">
        <v>22982042.4189171</v>
      </c>
      <c r="BP20" t="n">
        <v>39199104.2376628</v>
      </c>
      <c r="BQ20" t="n">
        <v>9400029.65373659</v>
      </c>
      <c r="BR20" t="n">
        <v>1642658.68620804</v>
      </c>
      <c r="BS20" t="n">
        <v>27034985.7303077</v>
      </c>
      <c r="BT20" t="n">
        <v>22281973.0773768</v>
      </c>
      <c r="BU20" t="n">
        <v>118619572.387917</v>
      </c>
      <c r="BV20" t="n">
        <v>0</v>
      </c>
      <c r="BW20" t="n">
        <v>148641764.644743</v>
      </c>
      <c r="BX20" t="n">
        <v>0</v>
      </c>
      <c r="BY20" t="n">
        <v>0</v>
      </c>
      <c r="BZ20" t="n">
        <v>68168559.1762781</v>
      </c>
      <c r="CA20" t="n">
        <v>376308679.500742</v>
      </c>
      <c r="CB20" t="n">
        <v>-986279773.361639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348108.418208287</v>
      </c>
      <c r="CJ20" t="n">
        <v>0</v>
      </c>
      <c r="CK20" t="n">
        <v>0</v>
      </c>
      <c r="CL20" t="n">
        <v>0</v>
      </c>
      <c r="CM20" t="n">
        <v>1821652.94893751</v>
      </c>
      <c r="CN20" t="n">
        <v>0</v>
      </c>
    </row>
    <row r="21">
      <c r="A21" t="s">
        <v>132</v>
      </c>
      <c r="B21" t="n">
        <v>33129968.014182</v>
      </c>
      <c r="C21" t="n">
        <v>121498.021126476</v>
      </c>
      <c r="D21" t="n">
        <v>543795182.243242</v>
      </c>
      <c r="E21" t="n">
        <v>24770682.2753535</v>
      </c>
      <c r="F21" t="n">
        <v>251958593.457136</v>
      </c>
      <c r="G21" t="n">
        <v>14238908.2619415</v>
      </c>
      <c r="H21" t="n">
        <v>164479566.224117</v>
      </c>
      <c r="I21" t="n">
        <v>1519784.96286248</v>
      </c>
      <c r="J21" t="n">
        <v>1133811.3581474</v>
      </c>
      <c r="K21" t="n">
        <v>2902998.82787376</v>
      </c>
      <c r="L21" t="n">
        <v>53615790.8240992</v>
      </c>
      <c r="M21" t="n">
        <v>451849524.24872</v>
      </c>
      <c r="N21" t="n">
        <v>733219.824808741</v>
      </c>
      <c r="O21" t="n">
        <v>7516753.68705453</v>
      </c>
      <c r="P21" t="n">
        <v>110196258.4253</v>
      </c>
      <c r="Q21" t="n">
        <v>15381925.6686044</v>
      </c>
      <c r="R21" t="n">
        <v>263603.195575252</v>
      </c>
      <c r="S21" t="n">
        <v>1603148.65133506</v>
      </c>
      <c r="T21" t="n">
        <v>20209249.7161835</v>
      </c>
      <c r="U21" t="n">
        <v>35770.7924388511</v>
      </c>
      <c r="V21" t="n">
        <v>2450.44271638166</v>
      </c>
      <c r="W21" t="n">
        <v>13668379.3478714</v>
      </c>
      <c r="X21" t="n">
        <v>3614160.83039665</v>
      </c>
      <c r="Y21" t="n">
        <v>790193.650588314</v>
      </c>
      <c r="Z21" t="n">
        <v>7335198.08407809</v>
      </c>
      <c r="AA21" t="n">
        <v>19089659.2816528</v>
      </c>
      <c r="AB21" t="n">
        <v>12768533.6284609</v>
      </c>
      <c r="AC21" t="n">
        <v>1483319.83247844</v>
      </c>
      <c r="AD21" t="n">
        <v>524106.902909119</v>
      </c>
      <c r="AE21" t="n">
        <v>1021397.96769545</v>
      </c>
      <c r="AF21" t="n">
        <v>3897858.04499397</v>
      </c>
      <c r="AG21" t="n">
        <v>28481.7047114693</v>
      </c>
      <c r="AH21" t="n">
        <v>563874.562813595</v>
      </c>
      <c r="AI21" t="n">
        <v>668.8826261299</v>
      </c>
      <c r="AJ21" t="n">
        <v>3526687.71145027</v>
      </c>
      <c r="AK21" t="n">
        <v>32638.7321053685</v>
      </c>
      <c r="AL21" t="n">
        <v>7934453.47223767</v>
      </c>
      <c r="AM21" t="n">
        <v>33488047.5506377</v>
      </c>
      <c r="AN21" t="n">
        <v>9434241.6284247</v>
      </c>
      <c r="AO21" t="n">
        <v>261740.355231357</v>
      </c>
      <c r="AP21" t="n">
        <v>20586.090308002</v>
      </c>
      <c r="AQ21" t="n">
        <v>5318130.64632671</v>
      </c>
      <c r="AR21" t="n">
        <v>527541.460223856</v>
      </c>
      <c r="AS21" t="n">
        <v>18691.5626405284</v>
      </c>
      <c r="AT21" t="n">
        <v>55403.1499858981</v>
      </c>
      <c r="AU21" t="n">
        <v>2602110.66634225</v>
      </c>
      <c r="AV21" t="n">
        <v>0</v>
      </c>
      <c r="AW21" t="n">
        <v>157466.234035608</v>
      </c>
      <c r="AX21" t="n">
        <v>230390.891701962</v>
      </c>
      <c r="AY21" t="n">
        <v>3345716.23328042</v>
      </c>
      <c r="AZ21" t="n">
        <v>60957.9955292195</v>
      </c>
      <c r="BA21" t="n">
        <v>4957101.39473863</v>
      </c>
      <c r="BB21" t="n">
        <v>10958649.4677409</v>
      </c>
      <c r="BC21" t="n">
        <v>1430063.24604137</v>
      </c>
      <c r="BD21" t="n">
        <v>27864269.7581165</v>
      </c>
      <c r="BE21" t="n">
        <v>25680781.0842031</v>
      </c>
      <c r="BF21" t="n">
        <v>5624707.30596171</v>
      </c>
      <c r="BG21" t="n">
        <v>5743175.69424093</v>
      </c>
      <c r="BH21" t="n">
        <v>4575736.26571437</v>
      </c>
      <c r="BI21" t="n">
        <v>693339.812911836</v>
      </c>
      <c r="BJ21" t="n">
        <v>758927.053539985</v>
      </c>
      <c r="BK21" t="n">
        <v>66232.2175729345</v>
      </c>
      <c r="BL21" t="n">
        <v>762611.488049226</v>
      </c>
      <c r="BM21" t="n">
        <v>183273.767042663</v>
      </c>
      <c r="BN21" t="n">
        <v>3790569.12921358</v>
      </c>
      <c r="BO21" t="n">
        <v>36422810.7485396</v>
      </c>
      <c r="BP21" t="n">
        <v>8767743.04517411</v>
      </c>
      <c r="BQ21" t="n">
        <v>2027504.38968811</v>
      </c>
      <c r="BR21" t="n">
        <v>522636.306603784</v>
      </c>
      <c r="BS21" t="n">
        <v>38781311.80893</v>
      </c>
      <c r="BT21" t="n">
        <v>14640677.5120356</v>
      </c>
      <c r="BU21" t="n">
        <v>75254559.3329179</v>
      </c>
      <c r="BV21" t="n">
        <v>0</v>
      </c>
      <c r="BW21" t="n">
        <v>2945909197.46342</v>
      </c>
      <c r="BX21" t="n">
        <v>0</v>
      </c>
      <c r="BY21" t="n">
        <v>0</v>
      </c>
      <c r="BZ21" t="n">
        <v>68995938.2873711</v>
      </c>
      <c r="CA21" t="n">
        <v>894892011.45385</v>
      </c>
      <c r="CB21" t="n">
        <v>-3201310515.55338</v>
      </c>
      <c r="CC21" t="n">
        <v>0</v>
      </c>
      <c r="CD21" t="n">
        <v>0</v>
      </c>
      <c r="CE21" t="n">
        <v>3242195.44496811</v>
      </c>
      <c r="CF21" t="n">
        <v>0</v>
      </c>
      <c r="CG21" t="n">
        <v>0</v>
      </c>
      <c r="CH21" t="n">
        <v>0</v>
      </c>
      <c r="CI21" t="n">
        <v>882199.260954478</v>
      </c>
      <c r="CJ21" t="n">
        <v>0</v>
      </c>
      <c r="CK21" t="n">
        <v>0</v>
      </c>
      <c r="CL21" t="n">
        <v>0</v>
      </c>
      <c r="CM21" t="n">
        <v>79284109.8418018</v>
      </c>
      <c r="CN21" t="n">
        <v>0</v>
      </c>
    </row>
    <row r="22">
      <c r="A22" t="s">
        <v>133</v>
      </c>
      <c r="B22" t="n">
        <v>178465.922194121</v>
      </c>
      <c r="C22" t="n">
        <v>0</v>
      </c>
      <c r="D22" t="n">
        <v>4704319.72034422</v>
      </c>
      <c r="E22" t="n">
        <v>212772.030869199</v>
      </c>
      <c r="F22" t="n">
        <v>8944518.09197022</v>
      </c>
      <c r="G22" t="n">
        <v>560105.14753026</v>
      </c>
      <c r="H22" t="n">
        <v>33020700.7099648</v>
      </c>
      <c r="I22" t="n">
        <v>2731008.60700112</v>
      </c>
      <c r="J22" t="n">
        <v>3684091.17511383</v>
      </c>
      <c r="K22" t="n">
        <v>2920737.01263798</v>
      </c>
      <c r="L22" t="n">
        <v>45711393.5437775</v>
      </c>
      <c r="M22" t="n">
        <v>59950549.9067185</v>
      </c>
      <c r="N22" t="n">
        <v>47504345.0842831</v>
      </c>
      <c r="O22" t="n">
        <v>6260672.36958778</v>
      </c>
      <c r="P22" t="n">
        <v>55538902.2358382</v>
      </c>
      <c r="Q22" t="n">
        <v>51154386.8399605</v>
      </c>
      <c r="R22" t="n">
        <v>1444444.32536206</v>
      </c>
      <c r="S22" t="n">
        <v>2435596.60496873</v>
      </c>
      <c r="T22" t="n">
        <v>11509382.1172528</v>
      </c>
      <c r="U22" t="n">
        <v>275078.599255897</v>
      </c>
      <c r="V22" t="n">
        <v>28753.2063452545</v>
      </c>
      <c r="W22" t="n">
        <v>155164.189136459</v>
      </c>
      <c r="X22" t="n">
        <v>1453314.11047955</v>
      </c>
      <c r="Y22" t="n">
        <v>3751303.81386974</v>
      </c>
      <c r="Z22" t="n">
        <v>6268227.82392285</v>
      </c>
      <c r="AA22" t="n">
        <v>14922645.4854195</v>
      </c>
      <c r="AB22" t="n">
        <v>193210551.546585</v>
      </c>
      <c r="AC22" t="n">
        <v>5995513.01344561</v>
      </c>
      <c r="AD22" t="n">
        <v>1942717.4070295</v>
      </c>
      <c r="AE22" t="n">
        <v>5615456.72292257</v>
      </c>
      <c r="AF22" t="n">
        <v>8943624.17007493</v>
      </c>
      <c r="AG22" t="n">
        <v>29310.8266200033</v>
      </c>
      <c r="AH22" t="n">
        <v>512809.988761691</v>
      </c>
      <c r="AI22" t="n">
        <v>3.51082867127092</v>
      </c>
      <c r="AJ22" t="n">
        <v>2196502.66348615</v>
      </c>
      <c r="AK22" t="n">
        <v>2031.80212014134</v>
      </c>
      <c r="AL22" t="n">
        <v>1255005.2687039</v>
      </c>
      <c r="AM22" t="n">
        <v>349225.908928094</v>
      </c>
      <c r="AN22" t="n">
        <v>1048471.06713923</v>
      </c>
      <c r="AO22" t="n">
        <v>10591662.3173969</v>
      </c>
      <c r="AP22" t="n">
        <v>420584.982556387</v>
      </c>
      <c r="AQ22" t="n">
        <v>84236678.6256932</v>
      </c>
      <c r="AR22" t="n">
        <v>7967791.62690851</v>
      </c>
      <c r="AS22" t="n">
        <v>2222101.62190905</v>
      </c>
      <c r="AT22" t="n">
        <v>1701591.16537987</v>
      </c>
      <c r="AU22" t="n">
        <v>196606.911243732</v>
      </c>
      <c r="AV22" t="n">
        <v>584497.903167967</v>
      </c>
      <c r="AW22" t="n">
        <v>2543.01831868514</v>
      </c>
      <c r="AX22" t="n">
        <v>1851156.54687476</v>
      </c>
      <c r="AY22" t="n">
        <v>795582.674136857</v>
      </c>
      <c r="AZ22" t="n">
        <v>5146062.85324276</v>
      </c>
      <c r="BA22" t="n">
        <v>9697167.537949</v>
      </c>
      <c r="BB22" t="n">
        <v>36794970.2943536</v>
      </c>
      <c r="BC22" t="n">
        <v>25728788.9449782</v>
      </c>
      <c r="BD22" t="n">
        <v>44086351.3690518</v>
      </c>
      <c r="BE22" t="n">
        <v>4481851.47534442</v>
      </c>
      <c r="BF22" t="n">
        <v>2204896.14677017</v>
      </c>
      <c r="BG22" t="n">
        <v>37205375.4942267</v>
      </c>
      <c r="BH22" t="n">
        <v>4744477.71532777</v>
      </c>
      <c r="BI22" t="n">
        <v>746909.618944284</v>
      </c>
      <c r="BJ22" t="n">
        <v>3260099.5474265</v>
      </c>
      <c r="BK22" t="n">
        <v>87550.1743077097</v>
      </c>
      <c r="BL22" t="n">
        <v>731988.32022099</v>
      </c>
      <c r="BM22" t="n">
        <v>743609.266889324</v>
      </c>
      <c r="BN22" t="n">
        <v>1244299.90060179</v>
      </c>
      <c r="BO22" t="n">
        <v>21595693.9024236</v>
      </c>
      <c r="BP22" t="n">
        <v>61670028.4291235</v>
      </c>
      <c r="BQ22" t="n">
        <v>25573571.930911</v>
      </c>
      <c r="BR22" t="n">
        <v>0</v>
      </c>
      <c r="BS22" t="n">
        <v>16619594.8271078</v>
      </c>
      <c r="BT22" t="n">
        <v>8094168.2043034</v>
      </c>
      <c r="BU22" t="n">
        <v>761582770.119654</v>
      </c>
      <c r="BV22" t="n">
        <v>0</v>
      </c>
      <c r="BW22" t="n">
        <v>407419650.368929</v>
      </c>
      <c r="BX22" t="n">
        <v>0</v>
      </c>
      <c r="BY22" t="n">
        <v>1974978.1007909</v>
      </c>
      <c r="BZ22" t="n">
        <v>5283784.78926568</v>
      </c>
      <c r="CA22" t="n">
        <v>405177920.267007</v>
      </c>
      <c r="CB22" t="n">
        <v>-1973026356.72569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14392566.5653094</v>
      </c>
      <c r="CJ22" t="n">
        <v>0</v>
      </c>
      <c r="CK22" t="n">
        <v>0</v>
      </c>
      <c r="CL22" t="n">
        <v>0</v>
      </c>
      <c r="CM22" t="n">
        <v>82524570.871163</v>
      </c>
      <c r="CN22" t="n">
        <v>0</v>
      </c>
    </row>
    <row r="23">
      <c r="A23" t="s">
        <v>134</v>
      </c>
      <c r="B23" t="n">
        <v>33884508.8995082</v>
      </c>
      <c r="C23" t="n">
        <v>162015.962680739</v>
      </c>
      <c r="D23" t="n">
        <v>9296822.37447848</v>
      </c>
      <c r="E23" t="n">
        <v>492041.111455162</v>
      </c>
      <c r="F23" t="n">
        <v>32622002.5642844</v>
      </c>
      <c r="G23" t="n">
        <v>166270.909606223</v>
      </c>
      <c r="H23" t="n">
        <v>197290622.692422</v>
      </c>
      <c r="I23" t="n">
        <v>1742165.55194041</v>
      </c>
      <c r="J23" t="n">
        <v>1139779.27348229</v>
      </c>
      <c r="K23" t="n">
        <v>5940623.48723066</v>
      </c>
      <c r="L23" t="n">
        <v>33976416.8322826</v>
      </c>
      <c r="M23" t="n">
        <v>200337109.233698</v>
      </c>
      <c r="N23" t="n">
        <v>4618165.38265637</v>
      </c>
      <c r="O23" t="n">
        <v>36933023.1838816</v>
      </c>
      <c r="P23" t="n">
        <v>19637571.683982</v>
      </c>
      <c r="Q23" t="n">
        <v>7071552.67770362</v>
      </c>
      <c r="R23" t="n">
        <v>353025.395800152</v>
      </c>
      <c r="S23" t="n">
        <v>1803063.60263412</v>
      </c>
      <c r="T23" t="n">
        <v>8882527.09452032</v>
      </c>
      <c r="U23" t="n">
        <v>72820.4829873316</v>
      </c>
      <c r="V23" t="n">
        <v>6331.21946304806</v>
      </c>
      <c r="W23" t="n">
        <v>5881270.05850223</v>
      </c>
      <c r="X23" t="n">
        <v>233758.913086719</v>
      </c>
      <c r="Y23" t="n">
        <v>2576789.30544781</v>
      </c>
      <c r="Z23" t="n">
        <v>2005052.58035131</v>
      </c>
      <c r="AA23" t="n">
        <v>11240391.591895</v>
      </c>
      <c r="AB23" t="n">
        <v>4956127.12314165</v>
      </c>
      <c r="AC23" t="n">
        <v>2637818.47679021</v>
      </c>
      <c r="AD23" t="n">
        <v>492342.239827346</v>
      </c>
      <c r="AE23" t="n">
        <v>10018134.4388</v>
      </c>
      <c r="AF23" t="n">
        <v>1869844.97012297</v>
      </c>
      <c r="AG23" t="n">
        <v>10349.920010764</v>
      </c>
      <c r="AH23" t="n">
        <v>1514389.48374318</v>
      </c>
      <c r="AI23" t="n">
        <v>76.2227921997676</v>
      </c>
      <c r="AJ23" t="n">
        <v>560649.428390801</v>
      </c>
      <c r="AK23" t="n">
        <v>117412.275984412</v>
      </c>
      <c r="AL23" t="n">
        <v>420164.746202458</v>
      </c>
      <c r="AM23" t="n">
        <v>437874.489301252</v>
      </c>
      <c r="AN23" t="n">
        <v>748737.117696387</v>
      </c>
      <c r="AO23" t="n">
        <v>14210.6527856619</v>
      </c>
      <c r="AP23" t="n">
        <v>0</v>
      </c>
      <c r="AQ23" t="n">
        <v>21183918.581856</v>
      </c>
      <c r="AR23" t="n">
        <v>212327.724059541</v>
      </c>
      <c r="AS23" t="n">
        <v>568789.736959429</v>
      </c>
      <c r="AT23" t="n">
        <v>145206.916380923</v>
      </c>
      <c r="AU23" t="n">
        <v>176477.354187786</v>
      </c>
      <c r="AV23" t="n">
        <v>0</v>
      </c>
      <c r="AW23" t="n">
        <v>19077.920879392</v>
      </c>
      <c r="AX23" t="n">
        <v>5628676.88717088</v>
      </c>
      <c r="AY23" t="n">
        <v>1033997.70430773</v>
      </c>
      <c r="AZ23" t="n">
        <v>0</v>
      </c>
      <c r="BA23" t="n">
        <v>6404425.18860662</v>
      </c>
      <c r="BB23" t="n">
        <v>23288726.574712</v>
      </c>
      <c r="BC23" t="n">
        <v>244034.797340956</v>
      </c>
      <c r="BD23" t="n">
        <v>14595833.1016268</v>
      </c>
      <c r="BE23" t="n">
        <v>6464626.01557803</v>
      </c>
      <c r="BF23" t="n">
        <v>1338664.72073496</v>
      </c>
      <c r="BG23" t="n">
        <v>72024.5883056655</v>
      </c>
      <c r="BH23" t="n">
        <v>6851284.49660817</v>
      </c>
      <c r="BI23" t="n">
        <v>7245544.83680572</v>
      </c>
      <c r="BJ23" t="n">
        <v>1871982.21501259</v>
      </c>
      <c r="BK23" t="n">
        <v>186452.235016163</v>
      </c>
      <c r="BL23" t="n">
        <v>2098165.31321424</v>
      </c>
      <c r="BM23" t="n">
        <v>3023130.97858964</v>
      </c>
      <c r="BN23" t="n">
        <v>3588009.58869306</v>
      </c>
      <c r="BO23" t="n">
        <v>22684385.9969359</v>
      </c>
      <c r="BP23" t="n">
        <v>11492339.6919173</v>
      </c>
      <c r="BQ23" t="n">
        <v>29011178.2462902</v>
      </c>
      <c r="BR23" t="n">
        <v>706082.214418684</v>
      </c>
      <c r="BS23" t="n">
        <v>11352904.1652187</v>
      </c>
      <c r="BT23" t="n">
        <v>17452939.9170847</v>
      </c>
      <c r="BU23" t="n">
        <v>329554321.2744</v>
      </c>
      <c r="BV23" t="n">
        <v>0</v>
      </c>
      <c r="BW23" t="n">
        <v>135967113.871355</v>
      </c>
      <c r="BX23" t="n">
        <v>0</v>
      </c>
      <c r="BY23" t="n">
        <v>48138629.6888046</v>
      </c>
      <c r="BZ23" t="n">
        <v>9677568.4658954</v>
      </c>
      <c r="CA23" t="n">
        <v>189574183.197044</v>
      </c>
      <c r="CB23" t="n">
        <v>-1080200850.02503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8105163.73702066</v>
      </c>
      <c r="CJ23" t="n">
        <v>0</v>
      </c>
      <c r="CK23" t="n">
        <v>0</v>
      </c>
      <c r="CL23" t="n">
        <v>0</v>
      </c>
      <c r="CM23" t="n">
        <v>8937697.43445401</v>
      </c>
      <c r="CN23" t="n">
        <v>0</v>
      </c>
    </row>
    <row r="24">
      <c r="A24" t="s">
        <v>135</v>
      </c>
      <c r="B24" t="n">
        <v>13659202.3451355</v>
      </c>
      <c r="C24" t="n">
        <v>175518.06204926</v>
      </c>
      <c r="D24" t="n">
        <v>54372846.8247843</v>
      </c>
      <c r="E24" t="n">
        <v>4806528.17840907</v>
      </c>
      <c r="F24" t="n">
        <v>27555931.4421144</v>
      </c>
      <c r="G24" t="n">
        <v>287785.859837501</v>
      </c>
      <c r="H24" t="n">
        <v>9957467.98952557</v>
      </c>
      <c r="I24" t="n">
        <v>6274818.52230388</v>
      </c>
      <c r="J24" t="n">
        <v>4840725.56276451</v>
      </c>
      <c r="K24" t="n">
        <v>2641499.2979978</v>
      </c>
      <c r="L24" t="n">
        <v>15615636.7629852</v>
      </c>
      <c r="M24" t="n">
        <v>140043516.025064</v>
      </c>
      <c r="N24" t="n">
        <v>1674273.84283987</v>
      </c>
      <c r="O24" t="n">
        <v>2486100.41657235</v>
      </c>
      <c r="P24" t="n">
        <v>497726234.335834</v>
      </c>
      <c r="Q24" t="n">
        <v>11388052.1195562</v>
      </c>
      <c r="R24" t="n">
        <v>1139841.01773264</v>
      </c>
      <c r="S24" t="n">
        <v>1642090.16200084</v>
      </c>
      <c r="T24" t="n">
        <v>23525146.3734223</v>
      </c>
      <c r="U24" t="n">
        <v>82066.2370064489</v>
      </c>
      <c r="V24" t="n">
        <v>1909.27504183851</v>
      </c>
      <c r="W24" t="n">
        <v>12893908.8653414</v>
      </c>
      <c r="X24" t="n">
        <v>337645.717662373</v>
      </c>
      <c r="Y24" t="n">
        <v>2242821.81914445</v>
      </c>
      <c r="Z24" t="n">
        <v>2616697.81748465</v>
      </c>
      <c r="AA24" t="n">
        <v>7221807.94889039</v>
      </c>
      <c r="AB24" t="n">
        <v>39196534.634509</v>
      </c>
      <c r="AC24" t="n">
        <v>32522296.1788118</v>
      </c>
      <c r="AD24" t="n">
        <v>8074027.48339661</v>
      </c>
      <c r="AE24" t="n">
        <v>3504070.9757643</v>
      </c>
      <c r="AF24" t="n">
        <v>22677659.7477204</v>
      </c>
      <c r="AG24" t="n">
        <v>0</v>
      </c>
      <c r="AH24" t="n">
        <v>869403.114407059</v>
      </c>
      <c r="AI24" t="n">
        <v>0</v>
      </c>
      <c r="AJ24" t="n">
        <v>48261628.4931852</v>
      </c>
      <c r="AK24" t="n">
        <v>289361.449619095</v>
      </c>
      <c r="AL24" t="n">
        <v>163347.109995446</v>
      </c>
      <c r="AM24" t="n">
        <v>516794.647202257</v>
      </c>
      <c r="AN24" t="n">
        <v>11066999.2522955</v>
      </c>
      <c r="AO24" t="n">
        <v>777866.494586861</v>
      </c>
      <c r="AP24" t="n">
        <v>97493.4833604294</v>
      </c>
      <c r="AQ24" t="n">
        <v>5972490.11163402</v>
      </c>
      <c r="AR24" t="n">
        <v>321923.172548175</v>
      </c>
      <c r="AS24" t="n">
        <v>522621.069367388</v>
      </c>
      <c r="AT24" t="n">
        <v>37586.2742898101</v>
      </c>
      <c r="AU24" t="n">
        <v>0</v>
      </c>
      <c r="AV24" t="n">
        <v>0</v>
      </c>
      <c r="AW24" t="n">
        <v>0</v>
      </c>
      <c r="AX24" t="n">
        <v>0</v>
      </c>
      <c r="AY24" t="n">
        <v>10009635.9184452</v>
      </c>
      <c r="AZ24" t="n">
        <v>0</v>
      </c>
      <c r="BA24" t="n">
        <v>159057.630008601</v>
      </c>
      <c r="BB24" t="n">
        <v>11660765.2009701</v>
      </c>
      <c r="BC24" t="n">
        <v>2578557.38469941</v>
      </c>
      <c r="BD24" t="n">
        <v>71810833.0029432</v>
      </c>
      <c r="BE24" t="n">
        <v>6084815.48839878</v>
      </c>
      <c r="BF24" t="n">
        <v>1547705.63740624</v>
      </c>
      <c r="BG24" t="n">
        <v>3865167.85323841</v>
      </c>
      <c r="BH24" t="n">
        <v>12508477.7626173</v>
      </c>
      <c r="BI24" t="n">
        <v>763954.560059435</v>
      </c>
      <c r="BJ24" t="n">
        <v>10623551.4583617</v>
      </c>
      <c r="BK24" t="n">
        <v>156179.605978919</v>
      </c>
      <c r="BL24" t="n">
        <v>483605.825727602</v>
      </c>
      <c r="BM24" t="n">
        <v>476149.068687729</v>
      </c>
      <c r="BN24" t="n">
        <v>7926113.13336265</v>
      </c>
      <c r="BO24" t="n">
        <v>63442091.1928353</v>
      </c>
      <c r="BP24" t="n">
        <v>48735426.5787998</v>
      </c>
      <c r="BQ24" t="n">
        <v>990361.545333096</v>
      </c>
      <c r="BR24" t="n">
        <v>24987509.2692996</v>
      </c>
      <c r="BS24" t="n">
        <v>53960342.9055043</v>
      </c>
      <c r="BT24" t="n">
        <v>5963977.66317519</v>
      </c>
      <c r="BU24" t="n">
        <v>1640819167.56539</v>
      </c>
      <c r="BV24" t="n">
        <v>0</v>
      </c>
      <c r="BW24" t="n">
        <v>1000013429.97049</v>
      </c>
      <c r="BX24" t="n">
        <v>0</v>
      </c>
      <c r="BY24" t="n">
        <v>0</v>
      </c>
      <c r="BZ24" t="n">
        <v>38676024.8170089</v>
      </c>
      <c r="CA24" t="n">
        <v>232835481.291224</v>
      </c>
      <c r="CB24" t="n">
        <v>-3008370640.59533</v>
      </c>
      <c r="CC24" t="n">
        <v>0</v>
      </c>
      <c r="CD24" t="n">
        <v>0</v>
      </c>
      <c r="CE24" t="n">
        <v>57132854.5824612</v>
      </c>
      <c r="CF24" t="n">
        <v>0</v>
      </c>
      <c r="CG24" t="n">
        <v>0</v>
      </c>
      <c r="CH24" t="n">
        <v>0</v>
      </c>
      <c r="CI24" t="n">
        <v>82420642.9939168</v>
      </c>
      <c r="CJ24" t="n">
        <v>0</v>
      </c>
      <c r="CK24" t="n">
        <v>0</v>
      </c>
      <c r="CL24" t="n">
        <v>0</v>
      </c>
      <c r="CM24" t="n">
        <v>210977025.378697</v>
      </c>
      <c r="CN24" t="n">
        <v>0</v>
      </c>
    </row>
    <row r="25">
      <c r="A25" t="s">
        <v>136</v>
      </c>
      <c r="B25" t="n">
        <v>0</v>
      </c>
      <c r="C25" t="n">
        <v>15215.8683567392</v>
      </c>
      <c r="D25" t="n">
        <v>0</v>
      </c>
      <c r="E25" t="n">
        <v>30531.2735733147</v>
      </c>
      <c r="F25" t="n">
        <v>0</v>
      </c>
      <c r="G25" t="n">
        <v>0</v>
      </c>
      <c r="H25" t="n">
        <v>79252.6650545479</v>
      </c>
      <c r="I25" t="n">
        <v>17170.0601632119</v>
      </c>
      <c r="J25" t="n">
        <v>0</v>
      </c>
      <c r="K25" t="n">
        <v>0</v>
      </c>
      <c r="L25" t="n">
        <v>390399.181597122</v>
      </c>
      <c r="M25" t="n">
        <v>1068416.22338381</v>
      </c>
      <c r="N25" t="n">
        <v>0</v>
      </c>
      <c r="O25" t="n">
        <v>0</v>
      </c>
      <c r="P25" t="n">
        <v>943655.325801024</v>
      </c>
      <c r="Q25" t="n">
        <v>359230601.478193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196487.374338352</v>
      </c>
      <c r="AD25" t="n">
        <v>0</v>
      </c>
      <c r="AE25" t="n">
        <v>0</v>
      </c>
      <c r="AF25" t="n">
        <v>0</v>
      </c>
      <c r="AG25" t="n">
        <v>3145369.89468977</v>
      </c>
      <c r="AH25" t="n">
        <v>7680631.1684793</v>
      </c>
      <c r="AI25" t="n">
        <v>3935.61919400425</v>
      </c>
      <c r="AJ25" t="n">
        <v>29695.7944300091</v>
      </c>
      <c r="AK25" t="n">
        <v>30506.0041732767</v>
      </c>
      <c r="AL25" t="n">
        <v>0</v>
      </c>
      <c r="AM25" t="n">
        <v>13392804.8947647</v>
      </c>
      <c r="AN25" t="n">
        <v>0</v>
      </c>
      <c r="AO25" t="n">
        <v>0</v>
      </c>
      <c r="AP25" t="n">
        <v>0</v>
      </c>
      <c r="AQ25" t="n">
        <v>6532.96883254651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2450770.50872433</v>
      </c>
      <c r="BC25" t="n">
        <v>92082.7859875374</v>
      </c>
      <c r="BD25" t="n">
        <v>190678.279455571</v>
      </c>
      <c r="BE25" t="n">
        <v>184996.620038743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42428.5282491129</v>
      </c>
      <c r="BM25" t="n">
        <v>0</v>
      </c>
      <c r="BN25" t="n">
        <v>0</v>
      </c>
      <c r="BO25" t="n">
        <v>664494.728964195</v>
      </c>
      <c r="BP25" t="n">
        <v>148005557.326823</v>
      </c>
      <c r="BQ25" t="n">
        <v>12647665.4084823</v>
      </c>
      <c r="BR25" t="n">
        <v>3509.20276629644</v>
      </c>
      <c r="BS25" t="n">
        <v>0</v>
      </c>
      <c r="BT25" t="n">
        <v>232510.016425871</v>
      </c>
      <c r="BU25" t="n">
        <v>163763850.395463</v>
      </c>
      <c r="BV25" t="n">
        <v>0</v>
      </c>
      <c r="BW25" t="n">
        <v>154615621.500223</v>
      </c>
      <c r="BX25" t="n">
        <v>0</v>
      </c>
      <c r="BY25" t="n">
        <v>0</v>
      </c>
      <c r="BZ25" t="n">
        <v>135701976.219941</v>
      </c>
      <c r="CA25" t="n">
        <v>780513871.352681</v>
      </c>
      <c r="CB25" t="n">
        <v>-498007385.916674</v>
      </c>
      <c r="CC25" t="n">
        <v>0</v>
      </c>
      <c r="CD25" t="n">
        <v>0</v>
      </c>
      <c r="CE25" t="n">
        <v>30187691.2942671</v>
      </c>
      <c r="CF25" t="n">
        <v>0</v>
      </c>
      <c r="CG25" t="n">
        <v>0</v>
      </c>
      <c r="CH25" t="n">
        <v>0</v>
      </c>
      <c r="CI25" t="n">
        <v>3167518.72521152</v>
      </c>
      <c r="CJ25" t="n">
        <v>0</v>
      </c>
      <c r="CK25" t="n">
        <v>0</v>
      </c>
      <c r="CL25" t="n">
        <v>0</v>
      </c>
      <c r="CM25" t="n">
        <v>900062.182833728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79605582.8905016</v>
      </c>
      <c r="I26" t="n">
        <v>1551642.39441706</v>
      </c>
      <c r="J26" t="n">
        <v>0</v>
      </c>
      <c r="K26" t="n">
        <v>0</v>
      </c>
      <c r="L26" t="n">
        <v>0</v>
      </c>
      <c r="M26" t="n">
        <v>2826726.61164293</v>
      </c>
      <c r="N26" t="n">
        <v>71778.8983343996</v>
      </c>
      <c r="O26" t="n">
        <v>0</v>
      </c>
      <c r="P26" t="n">
        <v>64684.0298986635</v>
      </c>
      <c r="Q26" t="n">
        <v>919819.042555223</v>
      </c>
      <c r="R26" t="n">
        <v>11364343.2164757</v>
      </c>
      <c r="S26" t="n">
        <v>150948.277457019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2982817.8322101</v>
      </c>
      <c r="AB26" t="n">
        <v>5387547.42508483</v>
      </c>
      <c r="AC26" t="n">
        <v>953128.739848967</v>
      </c>
      <c r="AD26" t="n">
        <v>0</v>
      </c>
      <c r="AE26" t="n">
        <v>103101.37723339</v>
      </c>
      <c r="AF26" t="n">
        <v>10364559.0102568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3903.32987004086</v>
      </c>
      <c r="AP26" t="n">
        <v>0</v>
      </c>
      <c r="AQ26" t="n">
        <v>409950.14610224</v>
      </c>
      <c r="AR26" t="n">
        <v>282062.027203943</v>
      </c>
      <c r="AS26" t="n">
        <v>0</v>
      </c>
      <c r="AT26" t="n">
        <v>0</v>
      </c>
      <c r="AU26" t="n">
        <v>0</v>
      </c>
      <c r="AV26" t="n">
        <v>0</v>
      </c>
      <c r="AW26" t="n">
        <v>16564181.2230284</v>
      </c>
      <c r="AX26" t="n">
        <v>192220.946539165</v>
      </c>
      <c r="AY26" t="n">
        <v>0</v>
      </c>
      <c r="AZ26" t="n">
        <v>35130.2423055952</v>
      </c>
      <c r="BA26" t="n">
        <v>5123.28853134718</v>
      </c>
      <c r="BB26" t="n">
        <v>2682756.09326808</v>
      </c>
      <c r="BC26" t="n">
        <v>30258.62931907</v>
      </c>
      <c r="BD26" t="n">
        <v>16428.2573383209</v>
      </c>
      <c r="BE26" t="n">
        <v>0</v>
      </c>
      <c r="BF26" t="n">
        <v>0</v>
      </c>
      <c r="BG26" t="n">
        <v>1647802.9650252</v>
      </c>
      <c r="BH26" t="n">
        <v>712328.963825965</v>
      </c>
      <c r="BI26" t="n">
        <v>4855.96086243064</v>
      </c>
      <c r="BJ26" t="n">
        <v>752766.427244204</v>
      </c>
      <c r="BK26" t="n">
        <v>1360755.81850482</v>
      </c>
      <c r="BL26" t="n">
        <v>2137328.27958283</v>
      </c>
      <c r="BM26" t="n">
        <v>5082.9785548205</v>
      </c>
      <c r="BN26" t="n">
        <v>1534462.30358879</v>
      </c>
      <c r="BO26" t="n">
        <v>2790209.32836053</v>
      </c>
      <c r="BP26" t="n">
        <v>0</v>
      </c>
      <c r="BQ26" t="n">
        <v>0</v>
      </c>
      <c r="BR26" t="n">
        <v>862729.377177493</v>
      </c>
      <c r="BS26" t="n">
        <v>76032.2644585792</v>
      </c>
      <c r="BT26" t="n">
        <v>6096995.68960925</v>
      </c>
      <c r="BU26" t="n">
        <v>407825264.767784</v>
      </c>
      <c r="BV26" t="n">
        <v>0</v>
      </c>
      <c r="BW26" t="n">
        <v>102197870.483976</v>
      </c>
      <c r="BX26" t="n">
        <v>0</v>
      </c>
      <c r="BY26" t="n">
        <v>4679688.27161763</v>
      </c>
      <c r="BZ26" t="n">
        <v>2470401.70307673</v>
      </c>
      <c r="CA26" t="n">
        <v>4345959.54666495</v>
      </c>
      <c r="CB26" t="n">
        <v>-380306016.700314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240225.192244013</v>
      </c>
      <c r="CJ26" t="n">
        <v>0</v>
      </c>
      <c r="CK26" t="n">
        <v>0</v>
      </c>
      <c r="CL26" t="n">
        <v>0</v>
      </c>
      <c r="CM26" t="n">
        <v>12309196.0963216</v>
      </c>
      <c r="CN26" t="n">
        <v>0</v>
      </c>
    </row>
    <row r="27">
      <c r="A27" t="s">
        <v>138</v>
      </c>
      <c r="B27" t="n">
        <v>869177.410460655</v>
      </c>
      <c r="C27" t="n">
        <v>0</v>
      </c>
      <c r="D27" t="n">
        <v>2378207.94331375</v>
      </c>
      <c r="E27" t="n">
        <v>206305.363635088</v>
      </c>
      <c r="F27" t="n">
        <v>1221662.85356157</v>
      </c>
      <c r="G27" t="n">
        <v>0</v>
      </c>
      <c r="H27" t="n">
        <v>5310202.78156325</v>
      </c>
      <c r="I27" t="n">
        <v>66425.6619687623</v>
      </c>
      <c r="J27" t="n">
        <v>525736.536559436</v>
      </c>
      <c r="K27" t="n">
        <v>67029.1881138277</v>
      </c>
      <c r="L27" t="n">
        <v>598144.638892157</v>
      </c>
      <c r="M27" t="n">
        <v>26603609.6816353</v>
      </c>
      <c r="N27" t="n">
        <v>963.833152654876</v>
      </c>
      <c r="O27" t="n">
        <v>1725322.45678641</v>
      </c>
      <c r="P27" t="n">
        <v>7596445.12052418</v>
      </c>
      <c r="Q27" t="n">
        <v>88105.8792731861</v>
      </c>
      <c r="R27" t="n">
        <v>12673.5411007456</v>
      </c>
      <c r="S27" t="n">
        <v>10233595.0804497</v>
      </c>
      <c r="T27" t="n">
        <v>189051.811925338</v>
      </c>
      <c r="U27" t="n">
        <v>10319.4069999996</v>
      </c>
      <c r="V27" t="n">
        <v>362538.892510733</v>
      </c>
      <c r="W27" t="n">
        <v>0</v>
      </c>
      <c r="X27" t="n">
        <v>7722.45574927263</v>
      </c>
      <c r="Y27" t="n">
        <v>12200.8688194226</v>
      </c>
      <c r="Z27" t="n">
        <v>648436.594013743</v>
      </c>
      <c r="AA27" t="n">
        <v>1102844.75874679</v>
      </c>
      <c r="AB27" t="n">
        <v>3705340.7190465</v>
      </c>
      <c r="AC27" t="n">
        <v>4347194.49888725</v>
      </c>
      <c r="AD27" t="n">
        <v>506534.121784124</v>
      </c>
      <c r="AE27" t="n">
        <v>41994.2351994408</v>
      </c>
      <c r="AF27" t="n">
        <v>7017652.30193133</v>
      </c>
      <c r="AG27" t="n">
        <v>0</v>
      </c>
      <c r="AH27" t="n">
        <v>7734.02532757827</v>
      </c>
      <c r="AI27" t="n">
        <v>0</v>
      </c>
      <c r="AJ27" t="n">
        <v>59853.8648681096</v>
      </c>
      <c r="AK27" t="n">
        <v>11848.9790081558</v>
      </c>
      <c r="AL27" t="n">
        <v>49192.6388339519</v>
      </c>
      <c r="AM27" t="n">
        <v>483762.03318274</v>
      </c>
      <c r="AN27" t="n">
        <v>806601.629096246</v>
      </c>
      <c r="AO27" t="n">
        <v>12404.2385225283</v>
      </c>
      <c r="AP27" t="n">
        <v>1715.10642646166</v>
      </c>
      <c r="AQ27" t="n">
        <v>569932.788312626</v>
      </c>
      <c r="AR27" t="n">
        <v>77779.8671510558</v>
      </c>
      <c r="AS27" t="n">
        <v>208936.207433187</v>
      </c>
      <c r="AT27" t="n">
        <v>33096.6602055296</v>
      </c>
      <c r="AU27" t="n">
        <v>61847.448199739</v>
      </c>
      <c r="AV27" t="n">
        <v>0</v>
      </c>
      <c r="AW27" t="n">
        <v>0</v>
      </c>
      <c r="AX27" t="n">
        <v>832882.44585825</v>
      </c>
      <c r="AY27" t="n">
        <v>294886.484737042</v>
      </c>
      <c r="AZ27" t="n">
        <v>43303.524276494</v>
      </c>
      <c r="BA27" t="n">
        <v>43951.4190799756</v>
      </c>
      <c r="BB27" t="n">
        <v>7332130.78434356</v>
      </c>
      <c r="BC27" t="n">
        <v>51369.8749099431</v>
      </c>
      <c r="BD27" t="n">
        <v>13061053.4209422</v>
      </c>
      <c r="BE27" t="n">
        <v>945478.601168413</v>
      </c>
      <c r="BF27" t="n">
        <v>975222.370605084</v>
      </c>
      <c r="BG27" t="n">
        <v>92562400.8658763</v>
      </c>
      <c r="BH27" t="n">
        <v>152149463.564941</v>
      </c>
      <c r="BI27" t="n">
        <v>3248482.85827174</v>
      </c>
      <c r="BJ27" t="n">
        <v>7874909.34734805</v>
      </c>
      <c r="BK27" t="n">
        <v>209905.96526474</v>
      </c>
      <c r="BL27" t="n">
        <v>1321615.45441729</v>
      </c>
      <c r="BM27" t="n">
        <v>131180.302824927</v>
      </c>
      <c r="BN27" t="n">
        <v>6572721.53996063</v>
      </c>
      <c r="BO27" t="n">
        <v>7810170.95763117</v>
      </c>
      <c r="BP27" t="n">
        <v>6963938.80242045</v>
      </c>
      <c r="BQ27" t="n">
        <v>3784385.55224436</v>
      </c>
      <c r="BR27" t="n">
        <v>0</v>
      </c>
      <c r="BS27" t="n">
        <v>49341464.9683092</v>
      </c>
      <c r="BT27" t="n">
        <v>182577.218854167</v>
      </c>
      <c r="BU27" t="n">
        <v>706290114.993538</v>
      </c>
      <c r="BV27" t="n">
        <v>0</v>
      </c>
      <c r="BW27" t="n">
        <v>125285117.64671</v>
      </c>
      <c r="BX27" t="n">
        <v>0</v>
      </c>
      <c r="BY27" t="n">
        <v>0</v>
      </c>
      <c r="BZ27" t="n">
        <v>8451815.94179488</v>
      </c>
      <c r="CA27" t="n">
        <v>58695543.4970987</v>
      </c>
      <c r="CB27" t="n">
        <v>-908462619.307793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76549.7555449713</v>
      </c>
      <c r="CJ27" t="n">
        <v>0</v>
      </c>
      <c r="CK27" t="n">
        <v>0</v>
      </c>
      <c r="CL27" t="n">
        <v>0</v>
      </c>
      <c r="CM27" t="n">
        <v>5512066.09403532</v>
      </c>
      <c r="CN27" t="n">
        <v>0</v>
      </c>
    </row>
    <row r="28">
      <c r="A28" t="s">
        <v>139</v>
      </c>
      <c r="B28" t="n">
        <v>239170280.105329</v>
      </c>
      <c r="C28" t="n">
        <v>329396.883671356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54660.6330206445</v>
      </c>
      <c r="J28" t="n">
        <v>3714253.99133623</v>
      </c>
      <c r="K28" t="n">
        <v>13841.618652325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9983.30667791699</v>
      </c>
      <c r="T28" t="n">
        <v>620188191.354674</v>
      </c>
      <c r="U28" t="n">
        <v>10207.662167314</v>
      </c>
      <c r="V28" t="n">
        <v>484238.696375032</v>
      </c>
      <c r="W28" t="n">
        <v>2950195.82971151</v>
      </c>
      <c r="X28" t="n">
        <v>496666.11494443</v>
      </c>
      <c r="Y28" t="n">
        <v>4361739.35779641</v>
      </c>
      <c r="Z28" t="n">
        <v>7644637.52465371</v>
      </c>
      <c r="AA28" t="n">
        <v>1902738.53285222</v>
      </c>
      <c r="AB28" t="n">
        <v>8771671.0223501</v>
      </c>
      <c r="AC28" t="n">
        <v>5393.21314770557</v>
      </c>
      <c r="AD28" t="n">
        <v>8556422.47035673</v>
      </c>
      <c r="AE28" t="n">
        <v>6235992.98248006</v>
      </c>
      <c r="AF28" t="n">
        <v>7181016.46841809</v>
      </c>
      <c r="AG28" t="n">
        <v>2429908.84965372</v>
      </c>
      <c r="AH28" t="n">
        <v>17600.6662194733</v>
      </c>
      <c r="AI28" t="n">
        <v>2693.79507027979</v>
      </c>
      <c r="AJ28" t="n">
        <v>236227.447347998</v>
      </c>
      <c r="AK28" t="n">
        <v>0</v>
      </c>
      <c r="AL28" t="n">
        <v>0</v>
      </c>
      <c r="AM28" t="n">
        <v>27854.0144265039</v>
      </c>
      <c r="AN28" t="n">
        <v>0</v>
      </c>
      <c r="AO28" t="n">
        <v>113048.43870969</v>
      </c>
      <c r="AP28" t="n">
        <v>9608.4598269883</v>
      </c>
      <c r="AQ28" t="n">
        <v>0</v>
      </c>
      <c r="AR28" t="n">
        <v>137274.028035603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14384954.6603335</v>
      </c>
      <c r="BC28" t="n">
        <v>223335.772121617</v>
      </c>
      <c r="BD28" t="n">
        <v>0</v>
      </c>
      <c r="BE28" t="n">
        <v>0</v>
      </c>
      <c r="BF28" t="n">
        <v>12839493.7709182</v>
      </c>
      <c r="BG28" t="n">
        <v>30059.1096898877</v>
      </c>
      <c r="BH28" t="n">
        <v>30031886.2896875</v>
      </c>
      <c r="BI28" t="n">
        <v>20347557.7109673</v>
      </c>
      <c r="BJ28" t="n">
        <v>63319201.2537008</v>
      </c>
      <c r="BK28" t="n">
        <v>2239284.91627433</v>
      </c>
      <c r="BL28" t="n">
        <v>19933852.8151528</v>
      </c>
      <c r="BM28" t="n">
        <v>16022954.1196935</v>
      </c>
      <c r="BN28" t="n">
        <v>390264443.515944</v>
      </c>
      <c r="BO28" t="n">
        <v>6913535.65324734</v>
      </c>
      <c r="BP28" t="n">
        <v>15877514.1642718</v>
      </c>
      <c r="BQ28" t="n">
        <v>298457.52441868</v>
      </c>
      <c r="BR28" t="n">
        <v>5149881.92185669</v>
      </c>
      <c r="BS28" t="n">
        <v>368123979.158069</v>
      </c>
      <c r="BT28" t="n">
        <v>0</v>
      </c>
      <c r="BU28" t="n">
        <v>2804758066.94634</v>
      </c>
      <c r="BV28" t="n">
        <v>0</v>
      </c>
      <c r="BW28" t="n">
        <v>0</v>
      </c>
      <c r="BX28" t="n">
        <v>0</v>
      </c>
      <c r="BY28" t="n">
        <v>0</v>
      </c>
      <c r="BZ28" t="n">
        <v>56163715.9582868</v>
      </c>
      <c r="CA28" t="n">
        <v>306145669.981441</v>
      </c>
      <c r="CB28" t="n">
        <v>-919952943.693585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756450.738875487</v>
      </c>
      <c r="C29" t="n">
        <v>78609.4423706344</v>
      </c>
      <c r="D29" t="n">
        <v>0</v>
      </c>
      <c r="E29" t="n">
        <v>10177.0911911049</v>
      </c>
      <c r="F29" t="n">
        <v>0</v>
      </c>
      <c r="G29" t="n">
        <v>0</v>
      </c>
      <c r="H29" t="n">
        <v>4461741.60946213</v>
      </c>
      <c r="I29" t="n">
        <v>986918.826069384</v>
      </c>
      <c r="J29" t="n">
        <v>1722148.42034518</v>
      </c>
      <c r="K29" t="n">
        <v>0</v>
      </c>
      <c r="L29" t="n">
        <v>1787.89182859515</v>
      </c>
      <c r="M29" t="n">
        <v>2651973.68413912</v>
      </c>
      <c r="N29" t="n">
        <v>497.659473098059</v>
      </c>
      <c r="O29" t="n">
        <v>0</v>
      </c>
      <c r="P29" t="n">
        <v>3888486.04612061</v>
      </c>
      <c r="Q29" t="n">
        <v>3292652.52155408</v>
      </c>
      <c r="R29" t="n">
        <v>6522632.34501962</v>
      </c>
      <c r="S29" t="n">
        <v>949686.420345191</v>
      </c>
      <c r="T29" t="n">
        <v>774115.639083877</v>
      </c>
      <c r="U29" t="n">
        <v>5973390.90056661</v>
      </c>
      <c r="V29" t="n">
        <v>3715123.78189724</v>
      </c>
      <c r="W29" t="n">
        <v>14735852.314651</v>
      </c>
      <c r="X29" t="n">
        <v>208174.668487546</v>
      </c>
      <c r="Y29" t="n">
        <v>272639.327343919</v>
      </c>
      <c r="Z29" t="n">
        <v>1977.04438550176</v>
      </c>
      <c r="AA29" t="n">
        <v>26325413.5803741</v>
      </c>
      <c r="AB29" t="n">
        <v>10055597.4965592</v>
      </c>
      <c r="AC29" t="n">
        <v>177207.92283135</v>
      </c>
      <c r="AD29" t="n">
        <v>417231.221338986</v>
      </c>
      <c r="AE29" t="n">
        <v>45990101.8383249</v>
      </c>
      <c r="AF29" t="n">
        <v>4001510.56257764</v>
      </c>
      <c r="AG29" t="n">
        <v>0</v>
      </c>
      <c r="AH29" t="n">
        <v>0</v>
      </c>
      <c r="AI29" t="n">
        <v>76.9437350627688</v>
      </c>
      <c r="AJ29" t="n">
        <v>52725.663004318</v>
      </c>
      <c r="AK29" t="n">
        <v>0</v>
      </c>
      <c r="AL29" t="n">
        <v>138200.43382782</v>
      </c>
      <c r="AM29" t="n">
        <v>90610.7405351764</v>
      </c>
      <c r="AN29" t="n">
        <v>42367.5409825232</v>
      </c>
      <c r="AO29" t="n">
        <v>703.629582227219</v>
      </c>
      <c r="AP29" t="n">
        <v>191510.893503817</v>
      </c>
      <c r="AQ29" t="n">
        <v>3889.43286400109</v>
      </c>
      <c r="AR29" t="n">
        <v>730.540366533504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123893.55305095</v>
      </c>
      <c r="AY29" t="n">
        <v>790444.248112389</v>
      </c>
      <c r="AZ29" t="n">
        <v>0</v>
      </c>
      <c r="BA29" t="n">
        <v>0</v>
      </c>
      <c r="BB29" t="n">
        <v>1177639.09507057</v>
      </c>
      <c r="BC29" t="n">
        <v>27956.4950923091</v>
      </c>
      <c r="BD29" t="n">
        <v>1167979.42583577</v>
      </c>
      <c r="BE29" t="n">
        <v>1084417.62918745</v>
      </c>
      <c r="BF29" t="n">
        <v>56585.9590841601</v>
      </c>
      <c r="BG29" t="n">
        <v>580962.965584804</v>
      </c>
      <c r="BH29" t="n">
        <v>3499441.5382162</v>
      </c>
      <c r="BI29" t="n">
        <v>17287133.7322714</v>
      </c>
      <c r="BJ29" t="n">
        <v>9503865.93298831</v>
      </c>
      <c r="BK29" t="n">
        <v>0</v>
      </c>
      <c r="BL29" t="n">
        <v>824096.008902162</v>
      </c>
      <c r="BM29" t="n">
        <v>7105431.86896695</v>
      </c>
      <c r="BN29" t="n">
        <v>3090077.87706444</v>
      </c>
      <c r="BO29" t="n">
        <v>4090383.05413164</v>
      </c>
      <c r="BP29" t="n">
        <v>4589231.96259266</v>
      </c>
      <c r="BQ29" t="n">
        <v>2520408.63144799</v>
      </c>
      <c r="BR29" t="n">
        <v>5014.12778742066</v>
      </c>
      <c r="BS29" t="n">
        <v>22774040.465117</v>
      </c>
      <c r="BT29" t="n">
        <v>154863.812948418</v>
      </c>
      <c r="BU29" t="n">
        <v>149998334.464237</v>
      </c>
      <c r="BV29" t="n">
        <v>0</v>
      </c>
      <c r="BW29" t="n">
        <v>1027624.29325302</v>
      </c>
      <c r="BX29" t="n">
        <v>0</v>
      </c>
      <c r="BY29" t="n">
        <v>2297322.21647674</v>
      </c>
      <c r="BZ29" t="n">
        <v>1136171.64920736</v>
      </c>
      <c r="CA29" t="n">
        <v>16094243.6368847</v>
      </c>
      <c r="CB29" t="n">
        <v>-340487270.829462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47099.7491900992</v>
      </c>
      <c r="CJ29" t="n">
        <v>0</v>
      </c>
      <c r="CK29" t="n">
        <v>0</v>
      </c>
      <c r="CL29" t="n">
        <v>0</v>
      </c>
      <c r="CM29" t="n">
        <v>26253.2502497815</v>
      </c>
      <c r="CN29" t="n">
        <v>0</v>
      </c>
    </row>
    <row r="30">
      <c r="A30" t="s">
        <v>141</v>
      </c>
      <c r="B30" t="n">
        <v>732003.664785065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5670886.86238078</v>
      </c>
      <c r="Q30" t="n">
        <v>0</v>
      </c>
      <c r="R30" t="n">
        <v>0</v>
      </c>
      <c r="S30" t="n">
        <v>328113.578366456</v>
      </c>
      <c r="T30" t="n">
        <v>87125.7176675053</v>
      </c>
      <c r="U30" t="n">
        <v>840079.791089621</v>
      </c>
      <c r="V30" t="n">
        <v>5622434.13434168</v>
      </c>
      <c r="W30" t="n">
        <v>0</v>
      </c>
      <c r="X30" t="n">
        <v>8869471.21708501</v>
      </c>
      <c r="Y30" t="n">
        <v>0</v>
      </c>
      <c r="Z30" t="n">
        <v>0</v>
      </c>
      <c r="AA30" t="n">
        <v>1743.84229848055</v>
      </c>
      <c r="AB30" t="n">
        <v>1890489.86776652</v>
      </c>
      <c r="AC30" t="n">
        <v>978577.989721646</v>
      </c>
      <c r="AD30" t="n">
        <v>29145.3711075767</v>
      </c>
      <c r="AE30" t="n">
        <v>411540.130503097</v>
      </c>
      <c r="AF30" t="n">
        <v>1496822.63487267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398486.040025363</v>
      </c>
      <c r="AP30" t="n">
        <v>20588.9310567577</v>
      </c>
      <c r="AQ30" t="n">
        <v>7979333.17090323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404953.214018186</v>
      </c>
      <c r="AZ30" t="n">
        <v>0</v>
      </c>
      <c r="BA30" t="n">
        <v>0</v>
      </c>
      <c r="BB30" t="n">
        <v>9992.30369165027</v>
      </c>
      <c r="BC30" t="n">
        <v>10735.3577871738</v>
      </c>
      <c r="BD30" t="n">
        <v>1366358.90406383</v>
      </c>
      <c r="BE30" t="n">
        <v>59901.2181049551</v>
      </c>
      <c r="BF30" t="n">
        <v>238383.815655993</v>
      </c>
      <c r="BG30" t="n">
        <v>573705.88301542</v>
      </c>
      <c r="BH30" t="n">
        <v>981542.618204677</v>
      </c>
      <c r="BI30" t="n">
        <v>0</v>
      </c>
      <c r="BJ30" t="n">
        <v>4017388.31700658</v>
      </c>
      <c r="BK30" t="n">
        <v>247961.77100214</v>
      </c>
      <c r="BL30" t="n">
        <v>374020.92251067</v>
      </c>
      <c r="BM30" t="n">
        <v>115982.544812758</v>
      </c>
      <c r="BN30" t="n">
        <v>5158206.78539654</v>
      </c>
      <c r="BO30" t="n">
        <v>12319316.6164526</v>
      </c>
      <c r="BP30" t="n">
        <v>3761658.07530042</v>
      </c>
      <c r="BQ30" t="n">
        <v>905049.969178627</v>
      </c>
      <c r="BR30" t="n">
        <v>304480.903453813</v>
      </c>
      <c r="BS30" t="n">
        <v>29107662.6446235</v>
      </c>
      <c r="BT30" t="n">
        <v>25763.9637185073</v>
      </c>
      <c r="BU30" t="n">
        <v>1534496691.56275</v>
      </c>
      <c r="BV30" t="n">
        <v>0</v>
      </c>
      <c r="BW30" t="n">
        <v>0</v>
      </c>
      <c r="BX30" t="n">
        <v>0</v>
      </c>
      <c r="BY30" t="n">
        <v>0</v>
      </c>
      <c r="BZ30" t="n">
        <v>-2167033.81303224</v>
      </c>
      <c r="CA30" t="n">
        <v>5960880.34574858</v>
      </c>
      <c r="CB30" t="n">
        <v>-1612228039.07853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5311329.42282771</v>
      </c>
      <c r="C31" t="n">
        <v>0</v>
      </c>
      <c r="D31" t="n">
        <v>4328319.13729423</v>
      </c>
      <c r="E31" t="n">
        <v>815137.524485626</v>
      </c>
      <c r="F31" t="n">
        <v>2909559.70883839</v>
      </c>
      <c r="G31" t="n">
        <v>143352.290514729</v>
      </c>
      <c r="H31" t="n">
        <v>12035688.6781486</v>
      </c>
      <c r="I31" t="n">
        <v>2645402.69922363</v>
      </c>
      <c r="J31" t="n">
        <v>11578443.7408755</v>
      </c>
      <c r="K31" t="n">
        <v>3801014.63335998</v>
      </c>
      <c r="L31" t="n">
        <v>16460952.3192819</v>
      </c>
      <c r="M31" t="n">
        <v>18362611.3154964</v>
      </c>
      <c r="N31" t="n">
        <v>727527.673976411</v>
      </c>
      <c r="O31" t="n">
        <v>3147259.30640392</v>
      </c>
      <c r="P31" t="n">
        <v>11718027.9626578</v>
      </c>
      <c r="Q31" t="n">
        <v>1693906.68650894</v>
      </c>
      <c r="R31" t="n">
        <v>2444690.97714308</v>
      </c>
      <c r="S31" t="n">
        <v>2991723.42307609</v>
      </c>
      <c r="T31" t="n">
        <v>92206405.8402661</v>
      </c>
      <c r="U31" t="n">
        <v>379114.323618191</v>
      </c>
      <c r="V31" t="n">
        <v>42700.3207793135</v>
      </c>
      <c r="W31" t="n">
        <v>380761998.774641</v>
      </c>
      <c r="X31" t="n">
        <v>19668531.8237436</v>
      </c>
      <c r="Y31" t="n">
        <v>3117851.22476406</v>
      </c>
      <c r="Z31" t="n">
        <v>8466558.05630704</v>
      </c>
      <c r="AA31" t="n">
        <v>37238538.2515547</v>
      </c>
      <c r="AB31" t="n">
        <v>29805582.3730301</v>
      </c>
      <c r="AC31" t="n">
        <v>1005918.19770578</v>
      </c>
      <c r="AD31" t="n">
        <v>4441072.21414435</v>
      </c>
      <c r="AE31" t="n">
        <v>3092444.41243056</v>
      </c>
      <c r="AF31" t="n">
        <v>6050453.19876999</v>
      </c>
      <c r="AG31" t="n">
        <v>157860.791005521</v>
      </c>
      <c r="AH31" t="n">
        <v>953546.112409542</v>
      </c>
      <c r="AI31" t="n">
        <v>22.7786563822906</v>
      </c>
      <c r="AJ31" t="n">
        <v>1277452.39126024</v>
      </c>
      <c r="AK31" t="n">
        <v>926246.851385604</v>
      </c>
      <c r="AL31" t="n">
        <v>4885914.00227061</v>
      </c>
      <c r="AM31" t="n">
        <v>6585935.77953108</v>
      </c>
      <c r="AN31" t="n">
        <v>1159441.22759582</v>
      </c>
      <c r="AO31" t="n">
        <v>5956700.39306893</v>
      </c>
      <c r="AP31" t="n">
        <v>42639.2418881611</v>
      </c>
      <c r="AQ31" t="n">
        <v>1161504.08597814</v>
      </c>
      <c r="AR31" t="n">
        <v>181862.466798338</v>
      </c>
      <c r="AS31" t="n">
        <v>2399282.29362546</v>
      </c>
      <c r="AT31" t="n">
        <v>444334.512391391</v>
      </c>
      <c r="AU31" t="n">
        <v>2836466.92997103</v>
      </c>
      <c r="AV31" t="n">
        <v>503.564057545252</v>
      </c>
      <c r="AW31" t="n">
        <v>0</v>
      </c>
      <c r="AX31" t="n">
        <v>2031074.69352499</v>
      </c>
      <c r="AY31" t="n">
        <v>3248255.20418187</v>
      </c>
      <c r="AZ31" t="n">
        <v>1071463.52929388</v>
      </c>
      <c r="BA31" t="n">
        <v>788085.510243911</v>
      </c>
      <c r="BB31" t="n">
        <v>8011610.04797317</v>
      </c>
      <c r="BC31" t="n">
        <v>3756789.28358206</v>
      </c>
      <c r="BD31" t="n">
        <v>24591599.4118089</v>
      </c>
      <c r="BE31" t="n">
        <v>1286918.0273985</v>
      </c>
      <c r="BF31" t="n">
        <v>648933.189153234</v>
      </c>
      <c r="BG31" t="n">
        <v>5961888.60059188</v>
      </c>
      <c r="BH31" t="n">
        <v>7550424.8899309</v>
      </c>
      <c r="BI31" t="n">
        <v>3552346.54282846</v>
      </c>
      <c r="BJ31" t="n">
        <v>4781792.49992518</v>
      </c>
      <c r="BK31" t="n">
        <v>168194.062256951</v>
      </c>
      <c r="BL31" t="n">
        <v>591476.362623285</v>
      </c>
      <c r="BM31" t="n">
        <v>7401232.09900957</v>
      </c>
      <c r="BN31" t="n">
        <v>25961491.1579327</v>
      </c>
      <c r="BO31" t="n">
        <v>4556372.72542067</v>
      </c>
      <c r="BP31" t="n">
        <v>1848500.70477455</v>
      </c>
      <c r="BQ31" t="n">
        <v>13177966.7082949</v>
      </c>
      <c r="BR31" t="n">
        <v>1056999.56985738</v>
      </c>
      <c r="BS31" t="n">
        <v>76562352.6268955</v>
      </c>
      <c r="BT31" t="n">
        <v>145358.982886159</v>
      </c>
      <c r="BU31" t="n">
        <v>115055548.088322</v>
      </c>
      <c r="BV31" t="n">
        <v>0</v>
      </c>
      <c r="BW31" t="n">
        <v>0</v>
      </c>
      <c r="BX31" t="n">
        <v>0</v>
      </c>
      <c r="BY31" t="n">
        <v>0</v>
      </c>
      <c r="BZ31" t="n">
        <v>12214250.1360619</v>
      </c>
      <c r="CA31" t="n">
        <v>29103033.5299389</v>
      </c>
      <c r="CB31" t="n">
        <v>-273185361.821352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146918.153196069</v>
      </c>
      <c r="C32" t="n">
        <v>0</v>
      </c>
      <c r="D32" t="n">
        <v>455902.488150382</v>
      </c>
      <c r="E32" t="n">
        <v>12294.034742251</v>
      </c>
      <c r="F32" t="n">
        <v>0</v>
      </c>
      <c r="G32" t="n">
        <v>69902.9818431782</v>
      </c>
      <c r="H32" t="n">
        <v>230572.384289454</v>
      </c>
      <c r="I32" t="n">
        <v>13312.2618314952</v>
      </c>
      <c r="J32" t="n">
        <v>0</v>
      </c>
      <c r="K32" t="n">
        <v>0</v>
      </c>
      <c r="L32" t="n">
        <v>131379.751030261</v>
      </c>
      <c r="M32" t="n">
        <v>49253.995312753</v>
      </c>
      <c r="N32" t="n">
        <v>0</v>
      </c>
      <c r="O32" t="n">
        <v>6688.37975523936</v>
      </c>
      <c r="P32" t="n">
        <v>12654.0340529011</v>
      </c>
      <c r="Q32" t="n">
        <v>0</v>
      </c>
      <c r="R32" t="n">
        <v>0</v>
      </c>
      <c r="S32" t="n">
        <v>0</v>
      </c>
      <c r="T32" t="n">
        <v>231798.669981209</v>
      </c>
      <c r="U32" t="n">
        <v>0</v>
      </c>
      <c r="V32" t="n">
        <v>3824.09033081868</v>
      </c>
      <c r="W32" t="n">
        <v>0</v>
      </c>
      <c r="X32" t="n">
        <v>2799987.42343565</v>
      </c>
      <c r="Y32" t="n">
        <v>18800.8273477931</v>
      </c>
      <c r="Z32" t="n">
        <v>241481.231076644</v>
      </c>
      <c r="AA32" t="n">
        <v>0</v>
      </c>
      <c r="AB32" t="n">
        <v>48649748.7127604</v>
      </c>
      <c r="AC32" t="n">
        <v>1416666.95985334</v>
      </c>
      <c r="AD32" t="n">
        <v>718585.149574132</v>
      </c>
      <c r="AE32" t="n">
        <v>1568054.64102648</v>
      </c>
      <c r="AF32" t="n">
        <v>27125080.8846569</v>
      </c>
      <c r="AG32" t="n">
        <v>37102.754059717</v>
      </c>
      <c r="AH32" t="n">
        <v>119176.820142338</v>
      </c>
      <c r="AI32" t="n">
        <v>0</v>
      </c>
      <c r="AJ32" t="n">
        <v>1848980.27471741</v>
      </c>
      <c r="AK32" t="n">
        <v>68724.2818983897</v>
      </c>
      <c r="AL32" t="n">
        <v>857424.955636805</v>
      </c>
      <c r="AM32" t="n">
        <v>985394.455354281</v>
      </c>
      <c r="AN32" t="n">
        <v>93236.9218059792</v>
      </c>
      <c r="AO32" t="n">
        <v>14334012.9956033</v>
      </c>
      <c r="AP32" t="n">
        <v>576415.692107171</v>
      </c>
      <c r="AQ32" t="n">
        <v>2480021.69636766</v>
      </c>
      <c r="AR32" t="n">
        <v>3620813.47122669</v>
      </c>
      <c r="AS32" t="n">
        <v>3308332.00170511</v>
      </c>
      <c r="AT32" t="n">
        <v>1935588.76539839</v>
      </c>
      <c r="AU32" t="n">
        <v>12765956.3707861</v>
      </c>
      <c r="AV32" t="n">
        <v>0</v>
      </c>
      <c r="AW32" t="n">
        <v>0</v>
      </c>
      <c r="AX32" t="n">
        <v>369343.979412882</v>
      </c>
      <c r="AY32" t="n">
        <v>1981704.39339489</v>
      </c>
      <c r="AZ32" t="n">
        <v>2410123.90113127</v>
      </c>
      <c r="BA32" t="n">
        <v>582297.795369442</v>
      </c>
      <c r="BB32" t="n">
        <v>20301157.5997606</v>
      </c>
      <c r="BC32" t="n">
        <v>3803412.05085581</v>
      </c>
      <c r="BD32" t="n">
        <v>19581743.6307464</v>
      </c>
      <c r="BE32" t="n">
        <v>72193.1164712283</v>
      </c>
      <c r="BF32" t="n">
        <v>1958462.98266629</v>
      </c>
      <c r="BG32" t="n">
        <v>9191606.87713572</v>
      </c>
      <c r="BH32" t="n">
        <v>21227447.3746783</v>
      </c>
      <c r="BI32" t="n">
        <v>665175.902737163</v>
      </c>
      <c r="BJ32" t="n">
        <v>8452514.93302603</v>
      </c>
      <c r="BK32" t="n">
        <v>1939452.02587386</v>
      </c>
      <c r="BL32" t="n">
        <v>875815.780649957</v>
      </c>
      <c r="BM32" t="n">
        <v>2798551.0359698</v>
      </c>
      <c r="BN32" t="n">
        <v>6237324.94745081</v>
      </c>
      <c r="BO32" t="n">
        <v>7139105.37974864</v>
      </c>
      <c r="BP32" t="n">
        <v>3268457.27540355</v>
      </c>
      <c r="BQ32" t="n">
        <v>11417645.5490741</v>
      </c>
      <c r="BR32" t="n">
        <v>426477.424243575</v>
      </c>
      <c r="BS32" t="n">
        <v>64137501.2001591</v>
      </c>
      <c r="BT32" t="n">
        <v>1933541.23157787</v>
      </c>
      <c r="BU32" t="n">
        <v>18760786.6045646</v>
      </c>
      <c r="BV32" t="n">
        <v>0</v>
      </c>
      <c r="BW32" t="n">
        <v>0</v>
      </c>
      <c r="BX32" t="n">
        <v>0</v>
      </c>
      <c r="BY32" t="n">
        <v>0</v>
      </c>
      <c r="BZ32" t="n">
        <v>570039.636093591</v>
      </c>
      <c r="CA32" t="n">
        <v>2588639.34798475</v>
      </c>
      <c r="CB32" t="n">
        <v>-24169596.7949965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117675048.654439</v>
      </c>
      <c r="C33" t="n">
        <v>803239.063517363</v>
      </c>
      <c r="D33" t="n">
        <v>354763047.925355</v>
      </c>
      <c r="E33" t="n">
        <v>23578850.5812337</v>
      </c>
      <c r="F33" t="n">
        <v>131735408.403952</v>
      </c>
      <c r="G33" t="n">
        <v>152553190.329652</v>
      </c>
      <c r="H33" t="n">
        <v>212908150.744865</v>
      </c>
      <c r="I33" t="n">
        <v>3063830.49325243</v>
      </c>
      <c r="J33" t="n">
        <v>6020678.55367355</v>
      </c>
      <c r="K33" t="n">
        <v>5815591.91530233</v>
      </c>
      <c r="L33" t="n">
        <v>15629653.0169437</v>
      </c>
      <c r="M33" t="n">
        <v>12214475.5277703</v>
      </c>
      <c r="N33" t="n">
        <v>272036.466298365</v>
      </c>
      <c r="O33" t="n">
        <v>2135267.01721873</v>
      </c>
      <c r="P33" t="n">
        <v>1498018.88621157</v>
      </c>
      <c r="Q33" t="n">
        <v>869938.69875423</v>
      </c>
      <c r="R33" t="n">
        <v>648646.488799889</v>
      </c>
      <c r="S33" t="n">
        <v>1808648.44550032</v>
      </c>
      <c r="T33" t="n">
        <v>13479494.8042664</v>
      </c>
      <c r="U33" t="n">
        <v>100151.206713018</v>
      </c>
      <c r="V33" t="n">
        <v>14905.0332972073</v>
      </c>
      <c r="W33" t="n">
        <v>17046414.1265829</v>
      </c>
      <c r="X33" t="n">
        <v>1355768.2236745</v>
      </c>
      <c r="Y33" t="n">
        <v>229791377.186152</v>
      </c>
      <c r="Z33" t="n">
        <v>19743763.7556913</v>
      </c>
      <c r="AA33" t="n">
        <v>8336319.29471924</v>
      </c>
      <c r="AB33" t="n">
        <v>23173201.8787759</v>
      </c>
      <c r="AC33" t="n">
        <v>6541205.72400448</v>
      </c>
      <c r="AD33" t="n">
        <v>2177892.89684571</v>
      </c>
      <c r="AE33" t="n">
        <v>2624632.08529699</v>
      </c>
      <c r="AF33" t="n">
        <v>9695622.25807569</v>
      </c>
      <c r="AG33" t="n">
        <v>156345310.310229</v>
      </c>
      <c r="AH33" t="n">
        <v>70810426.3052116</v>
      </c>
      <c r="AI33" t="n">
        <v>39090.5522764897</v>
      </c>
      <c r="AJ33" t="n">
        <v>150414399.238945</v>
      </c>
      <c r="AK33" t="n">
        <v>1650222.92450385</v>
      </c>
      <c r="AL33" t="n">
        <v>18937164.9317328</v>
      </c>
      <c r="AM33" t="n">
        <v>54840540.2736316</v>
      </c>
      <c r="AN33" t="n">
        <v>26107560.4987845</v>
      </c>
      <c r="AO33" t="n">
        <v>1817221.6235933</v>
      </c>
      <c r="AP33" t="n">
        <v>83825.5768016652</v>
      </c>
      <c r="AQ33" t="n">
        <v>3049977.29063843</v>
      </c>
      <c r="AR33" t="n">
        <v>629488.058080364</v>
      </c>
      <c r="AS33" t="n">
        <v>15284333.95559</v>
      </c>
      <c r="AT33" t="n">
        <v>5164391.47197558</v>
      </c>
      <c r="AU33" t="n">
        <v>276077.353884383</v>
      </c>
      <c r="AV33" t="n">
        <v>308899.02366809</v>
      </c>
      <c r="AW33" t="n">
        <v>163167.904266752</v>
      </c>
      <c r="AX33" t="n">
        <v>15983013.7748155</v>
      </c>
      <c r="AY33" t="n">
        <v>9061979.07764637</v>
      </c>
      <c r="AZ33" t="n">
        <v>230180.597105054</v>
      </c>
      <c r="BA33" t="n">
        <v>2396088.76528147</v>
      </c>
      <c r="BB33" t="n">
        <v>8142062.47352878</v>
      </c>
      <c r="BC33" t="n">
        <v>3913891.45385069</v>
      </c>
      <c r="BD33" t="n">
        <v>33831276.836398</v>
      </c>
      <c r="BE33" t="n">
        <v>7441570.12965696</v>
      </c>
      <c r="BF33" t="n">
        <v>4006324.50383087</v>
      </c>
      <c r="BG33" t="n">
        <v>5372193.15297869</v>
      </c>
      <c r="BH33" t="n">
        <v>8743399.82185604</v>
      </c>
      <c r="BI33" t="n">
        <v>4670177.40562112</v>
      </c>
      <c r="BJ33" t="n">
        <v>4556579.24791591</v>
      </c>
      <c r="BK33" t="n">
        <v>739441.309887513</v>
      </c>
      <c r="BL33" t="n">
        <v>3764935.63633146</v>
      </c>
      <c r="BM33" t="n">
        <v>2811325.47569242</v>
      </c>
      <c r="BN33" t="n">
        <v>26741963.0500298</v>
      </c>
      <c r="BO33" t="n">
        <v>15777110.1142751</v>
      </c>
      <c r="BP33" t="n">
        <v>85080069.7195909</v>
      </c>
      <c r="BQ33" t="n">
        <v>9442453.84106772</v>
      </c>
      <c r="BR33" t="n">
        <v>13866112.4924979</v>
      </c>
      <c r="BS33" t="n">
        <v>702377241.049148</v>
      </c>
      <c r="BT33" t="n">
        <v>115613118.301678</v>
      </c>
      <c r="BU33" t="n">
        <v>1818938410.75475</v>
      </c>
      <c r="BV33" t="n">
        <v>0</v>
      </c>
      <c r="BW33" t="n">
        <v>0</v>
      </c>
      <c r="BX33" t="n">
        <v>0</v>
      </c>
      <c r="BY33" t="n">
        <v>0</v>
      </c>
      <c r="BZ33" t="n">
        <v>68321817.6745458</v>
      </c>
      <c r="CA33" t="n">
        <v>74798370.4245121</v>
      </c>
      <c r="CB33" t="n">
        <v>-852655551.523727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172046218.358305</v>
      </c>
      <c r="C34" t="n">
        <v>2511320.97720733</v>
      </c>
      <c r="D34" t="n">
        <v>277312382.284491</v>
      </c>
      <c r="E34" t="n">
        <v>7810413.07406105</v>
      </c>
      <c r="F34" t="n">
        <v>62776590.6655252</v>
      </c>
      <c r="G34" t="n">
        <v>4733183.57487571</v>
      </c>
      <c r="H34" t="n">
        <v>41590043.996227</v>
      </c>
      <c r="I34" t="n">
        <v>6465249.57512357</v>
      </c>
      <c r="J34" t="n">
        <v>24815127.9186166</v>
      </c>
      <c r="K34" t="n">
        <v>3283528.95360181</v>
      </c>
      <c r="L34" t="n">
        <v>43130852.9881511</v>
      </c>
      <c r="M34" t="n">
        <v>18397271.9953487</v>
      </c>
      <c r="N34" t="n">
        <v>2229314.99794692</v>
      </c>
      <c r="O34" t="n">
        <v>4712707.86115431</v>
      </c>
      <c r="P34" t="n">
        <v>21247489.8232329</v>
      </c>
      <c r="Q34" t="n">
        <v>3282137.46634586</v>
      </c>
      <c r="R34" t="n">
        <v>2540060.0885217</v>
      </c>
      <c r="S34" t="n">
        <v>8406793.15185909</v>
      </c>
      <c r="T34" t="n">
        <v>26706635.3126374</v>
      </c>
      <c r="U34" t="n">
        <v>9879941.54571777</v>
      </c>
      <c r="V34" t="n">
        <v>194896.170651906</v>
      </c>
      <c r="W34" t="n">
        <v>55224691.1238117</v>
      </c>
      <c r="X34" t="n">
        <v>4174531.12025223</v>
      </c>
      <c r="Y34" t="n">
        <v>217384109.3732</v>
      </c>
      <c r="Z34" t="n">
        <v>296856386.242985</v>
      </c>
      <c r="AA34" t="n">
        <v>459187467.14798</v>
      </c>
      <c r="AB34" t="n">
        <v>6511697.38915938</v>
      </c>
      <c r="AC34" t="n">
        <v>673451.07541198</v>
      </c>
      <c r="AD34" t="n">
        <v>235787.032192386</v>
      </c>
      <c r="AE34" t="n">
        <v>323758.029207044</v>
      </c>
      <c r="AF34" t="n">
        <v>2115953.99125164</v>
      </c>
      <c r="AG34" t="n">
        <v>4225.26842764321</v>
      </c>
      <c r="AH34" t="n">
        <v>1681127.70228266</v>
      </c>
      <c r="AI34" t="n">
        <v>36.4122798847523</v>
      </c>
      <c r="AJ34" t="n">
        <v>1283153.65995973</v>
      </c>
      <c r="AK34" t="n">
        <v>8181.06439891966</v>
      </c>
      <c r="AL34" t="n">
        <v>229090.024390929</v>
      </c>
      <c r="AM34" t="n">
        <v>202538.300447767</v>
      </c>
      <c r="AN34" t="n">
        <v>1582267.16644083</v>
      </c>
      <c r="AO34" t="n">
        <v>832491.604015438</v>
      </c>
      <c r="AP34" t="n">
        <v>202202.99141644</v>
      </c>
      <c r="AQ34" t="n">
        <v>3355282.5246966</v>
      </c>
      <c r="AR34" t="n">
        <v>450194.272148227</v>
      </c>
      <c r="AS34" t="n">
        <v>119713.693275344</v>
      </c>
      <c r="AT34" t="n">
        <v>73019.078846838</v>
      </c>
      <c r="AU34" t="n">
        <v>160767.737266452</v>
      </c>
      <c r="AV34" t="n">
        <v>0</v>
      </c>
      <c r="AW34" t="n">
        <v>1003382.19713711</v>
      </c>
      <c r="AX34" t="n">
        <v>25105576.3901956</v>
      </c>
      <c r="AY34" t="n">
        <v>342325.732971609</v>
      </c>
      <c r="AZ34" t="n">
        <v>292472.373829309</v>
      </c>
      <c r="BA34" t="n">
        <v>342189.540778805</v>
      </c>
      <c r="BB34" t="n">
        <v>98035552.4179362</v>
      </c>
      <c r="BC34" t="n">
        <v>5640013.41792303</v>
      </c>
      <c r="BD34" t="n">
        <v>39079451.8584754</v>
      </c>
      <c r="BE34" t="n">
        <v>5583814.28848945</v>
      </c>
      <c r="BF34" t="n">
        <v>1433596.4070736</v>
      </c>
      <c r="BG34" t="n">
        <v>148874815.316755</v>
      </c>
      <c r="BH34" t="n">
        <v>44212832.0208859</v>
      </c>
      <c r="BI34" t="n">
        <v>9659011.21927644</v>
      </c>
      <c r="BJ34" t="n">
        <v>1716884.23725502</v>
      </c>
      <c r="BK34" t="n">
        <v>537786.368221392</v>
      </c>
      <c r="BL34" t="n">
        <v>2138076.61320773</v>
      </c>
      <c r="BM34" t="n">
        <v>168016.015731773</v>
      </c>
      <c r="BN34" t="n">
        <v>6787484.87305582</v>
      </c>
      <c r="BO34" t="n">
        <v>21893880.4667042</v>
      </c>
      <c r="BP34" t="n">
        <v>17884419.6093161</v>
      </c>
      <c r="BQ34" t="n">
        <v>14342570.6080105</v>
      </c>
      <c r="BR34" t="n">
        <v>583261.040813149</v>
      </c>
      <c r="BS34" t="n">
        <v>180441575.612912</v>
      </c>
      <c r="BT34" t="n">
        <v>6718250.60846807</v>
      </c>
      <c r="BU34" t="n">
        <v>1704217867.68419</v>
      </c>
      <c r="BV34" t="n">
        <v>0</v>
      </c>
      <c r="BW34" t="n">
        <v>5329721.34198276</v>
      </c>
      <c r="BX34" t="n">
        <v>0</v>
      </c>
      <c r="BY34" t="n">
        <v>0</v>
      </c>
      <c r="BZ34" t="n">
        <v>34073152.9180572</v>
      </c>
      <c r="CA34" t="n">
        <v>615815675.772004</v>
      </c>
      <c r="CB34" t="n">
        <v>-2468481118.94635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15208375.7856337</v>
      </c>
      <c r="C35" t="n">
        <v>93898.9049592915</v>
      </c>
      <c r="D35" t="n">
        <v>4099938.43562929</v>
      </c>
      <c r="E35" t="n">
        <v>7368582.5336195</v>
      </c>
      <c r="F35" t="n">
        <v>42664754.8495534</v>
      </c>
      <c r="G35" t="n">
        <v>141427.415886978</v>
      </c>
      <c r="H35" t="n">
        <v>107473751.471765</v>
      </c>
      <c r="I35" t="n">
        <v>2869508.81826318</v>
      </c>
      <c r="J35" t="n">
        <v>7225670.92608896</v>
      </c>
      <c r="K35" t="n">
        <v>1491481.94333757</v>
      </c>
      <c r="L35" t="n">
        <v>18592491.0672726</v>
      </c>
      <c r="M35" t="n">
        <v>92889182.8965879</v>
      </c>
      <c r="N35" t="n">
        <v>2830868.61080896</v>
      </c>
      <c r="O35" t="n">
        <v>4767036.19487415</v>
      </c>
      <c r="P35" t="n">
        <v>52000794.8339345</v>
      </c>
      <c r="Q35" t="n">
        <v>8952296.22901086</v>
      </c>
      <c r="R35" t="n">
        <v>4565264.889863</v>
      </c>
      <c r="S35" t="n">
        <v>6062384.98239633</v>
      </c>
      <c r="T35" t="n">
        <v>56082746.7690769</v>
      </c>
      <c r="U35" t="n">
        <v>316224.213182937</v>
      </c>
      <c r="V35" t="n">
        <v>176439.197645753</v>
      </c>
      <c r="W35" t="n">
        <v>17240835.3894101</v>
      </c>
      <c r="X35" t="n">
        <v>4739264.77673653</v>
      </c>
      <c r="Y35" t="n">
        <v>4573840.66486596</v>
      </c>
      <c r="Z35" t="n">
        <v>12025130.7016421</v>
      </c>
      <c r="AA35" t="n">
        <v>132858439.239606</v>
      </c>
      <c r="AB35" t="n">
        <v>60649931.4128037</v>
      </c>
      <c r="AC35" t="n">
        <v>5058578.64507379</v>
      </c>
      <c r="AD35" t="n">
        <v>4257088.4619191</v>
      </c>
      <c r="AE35" t="n">
        <v>2749915.69038302</v>
      </c>
      <c r="AF35" t="n">
        <v>13245606.2569965</v>
      </c>
      <c r="AG35" t="n">
        <v>3468077.69725099</v>
      </c>
      <c r="AH35" t="n">
        <v>30105.3177894218</v>
      </c>
      <c r="AI35" t="n">
        <v>0</v>
      </c>
      <c r="AJ35" t="n">
        <v>6495412.71121323</v>
      </c>
      <c r="AK35" t="n">
        <v>40139.6772482363</v>
      </c>
      <c r="AL35" t="n">
        <v>11929550.1619984</v>
      </c>
      <c r="AM35" t="n">
        <v>4732753.77035403</v>
      </c>
      <c r="AN35" t="n">
        <v>1711328.01538472</v>
      </c>
      <c r="AO35" t="n">
        <v>791355.942127692</v>
      </c>
      <c r="AP35" t="n">
        <v>49898.0818383775</v>
      </c>
      <c r="AQ35" t="n">
        <v>14666528.3002695</v>
      </c>
      <c r="AR35" t="n">
        <v>396825.304854668</v>
      </c>
      <c r="AS35" t="n">
        <v>102507.573182994</v>
      </c>
      <c r="AT35" t="n">
        <v>112771.631455331</v>
      </c>
      <c r="AU35" t="n">
        <v>2590536.48031564</v>
      </c>
      <c r="AV35" t="n">
        <v>0</v>
      </c>
      <c r="AW35" t="n">
        <v>32123.4576339214</v>
      </c>
      <c r="AX35" t="n">
        <v>1341863.87420332</v>
      </c>
      <c r="AY35" t="n">
        <v>7715180.46986975</v>
      </c>
      <c r="AZ35" t="n">
        <v>65134.9316695514</v>
      </c>
      <c r="BA35" t="n">
        <v>2144597.58422972</v>
      </c>
      <c r="BB35" t="n">
        <v>18082484.9375994</v>
      </c>
      <c r="BC35" t="n">
        <v>315982.737462867</v>
      </c>
      <c r="BD35" t="n">
        <v>9076821.11698666</v>
      </c>
      <c r="BE35" t="n">
        <v>1245230.36291839</v>
      </c>
      <c r="BF35" t="n">
        <v>1502995.18729484</v>
      </c>
      <c r="BG35" t="n">
        <v>29471585.5626867</v>
      </c>
      <c r="BH35" t="n">
        <v>19595392.2193895</v>
      </c>
      <c r="BI35" t="n">
        <v>5274270.59241581</v>
      </c>
      <c r="BJ35" t="n">
        <v>5143834.71186297</v>
      </c>
      <c r="BK35" t="n">
        <v>90640.3062994083</v>
      </c>
      <c r="BL35" t="n">
        <v>761301.783923091</v>
      </c>
      <c r="BM35" t="n">
        <v>291486.428885979</v>
      </c>
      <c r="BN35" t="n">
        <v>27292899.5590922</v>
      </c>
      <c r="BO35" t="n">
        <v>13164864.1208457</v>
      </c>
      <c r="BP35" t="n">
        <v>14858620.9461821</v>
      </c>
      <c r="BQ35" t="n">
        <v>5822001.89174516</v>
      </c>
      <c r="BR35" t="n">
        <v>263507.240745382</v>
      </c>
      <c r="BS35" t="n">
        <v>75979919.670078</v>
      </c>
      <c r="BT35" t="n">
        <v>10035624.1743531</v>
      </c>
      <c r="BU35" t="n">
        <v>249189617.341324</v>
      </c>
      <c r="BV35" t="n">
        <v>0</v>
      </c>
      <c r="BW35" t="n">
        <v>2192424.24907552</v>
      </c>
      <c r="BX35" t="n">
        <v>0</v>
      </c>
      <c r="BY35" t="n">
        <v>115825.889301073</v>
      </c>
      <c r="BZ35" t="n">
        <v>23595025.6739485</v>
      </c>
      <c r="CA35" t="n">
        <v>112858439.160197</v>
      </c>
      <c r="CB35" t="n">
        <v>-616023654.027915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45404.4106570081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206765888.091397</v>
      </c>
      <c r="C36" t="n">
        <v>2049859.38999062</v>
      </c>
      <c r="D36" t="n">
        <v>224351311.64714</v>
      </c>
      <c r="E36" t="n">
        <v>11363544.0114176</v>
      </c>
      <c r="F36" t="n">
        <v>76712611.1467669</v>
      </c>
      <c r="G36" t="n">
        <v>24391001.4014825</v>
      </c>
      <c r="H36" t="n">
        <v>204641428.187075</v>
      </c>
      <c r="I36" t="n">
        <v>14020820.9714567</v>
      </c>
      <c r="J36" t="n">
        <v>26508844.2303482</v>
      </c>
      <c r="K36" t="n">
        <v>35458981.8924229</v>
      </c>
      <c r="L36" t="n">
        <v>89975117.1256142</v>
      </c>
      <c r="M36" t="n">
        <v>149287756.374723</v>
      </c>
      <c r="N36" t="n">
        <v>8201562.60186293</v>
      </c>
      <c r="O36" t="n">
        <v>14173768.7144074</v>
      </c>
      <c r="P36" t="n">
        <v>91671029.019026</v>
      </c>
      <c r="Q36" t="n">
        <v>24101398.9660594</v>
      </c>
      <c r="R36" t="n">
        <v>5823267.41120777</v>
      </c>
      <c r="S36" t="n">
        <v>7565761.51075374</v>
      </c>
      <c r="T36" t="n">
        <v>160973178.459312</v>
      </c>
      <c r="U36" t="n">
        <v>1755002.07026864</v>
      </c>
      <c r="V36" t="n">
        <v>1600844.80850154</v>
      </c>
      <c r="W36" t="n">
        <v>56394573.1053535</v>
      </c>
      <c r="X36" t="n">
        <v>4445785.43289336</v>
      </c>
      <c r="Y36" t="n">
        <v>102423034.629007</v>
      </c>
      <c r="Z36" t="n">
        <v>41686791.9602797</v>
      </c>
      <c r="AA36" t="n">
        <v>84651753.7154342</v>
      </c>
      <c r="AB36" t="n">
        <v>126484126.604919</v>
      </c>
      <c r="AC36" t="n">
        <v>13545060.7823106</v>
      </c>
      <c r="AD36" t="n">
        <v>5290221.46548862</v>
      </c>
      <c r="AE36" t="n">
        <v>11366830.731726</v>
      </c>
      <c r="AF36" t="n">
        <v>40906736.432109</v>
      </c>
      <c r="AG36" t="n">
        <v>8255302.40988611</v>
      </c>
      <c r="AH36" t="n">
        <v>13108730.2447459</v>
      </c>
      <c r="AI36" t="n">
        <v>6032.32716173094</v>
      </c>
      <c r="AJ36" t="n">
        <v>33929425.7217796</v>
      </c>
      <c r="AK36" t="n">
        <v>410783.905670745</v>
      </c>
      <c r="AL36" t="n">
        <v>21133740.0895979</v>
      </c>
      <c r="AM36" t="n">
        <v>11570806.1308037</v>
      </c>
      <c r="AN36" t="n">
        <v>7348217.52400493</v>
      </c>
      <c r="AO36" t="n">
        <v>19019121.998288</v>
      </c>
      <c r="AP36" t="n">
        <v>142213.940302805</v>
      </c>
      <c r="AQ36" t="n">
        <v>29572154.8336356</v>
      </c>
      <c r="AR36" t="n">
        <v>1599601.22789706</v>
      </c>
      <c r="AS36" t="n">
        <v>3372342.14245178</v>
      </c>
      <c r="AT36" t="n">
        <v>1254728.70021363</v>
      </c>
      <c r="AU36" t="n">
        <v>1742893.54261073</v>
      </c>
      <c r="AV36" t="n">
        <v>117387.993383641</v>
      </c>
      <c r="AW36" t="n">
        <v>1313934.52289301</v>
      </c>
      <c r="AX36" t="n">
        <v>7534077.12189329</v>
      </c>
      <c r="AY36" t="n">
        <v>33394573.4667005</v>
      </c>
      <c r="AZ36" t="n">
        <v>1047412.27122876</v>
      </c>
      <c r="BA36" t="n">
        <v>3666968.94055832</v>
      </c>
      <c r="BB36" t="n">
        <v>33042722.2556635</v>
      </c>
      <c r="BC36" t="n">
        <v>7347616.74699932</v>
      </c>
      <c r="BD36" t="n">
        <v>34663697.8628946</v>
      </c>
      <c r="BE36" t="n">
        <v>7019237.81747186</v>
      </c>
      <c r="BF36" t="n">
        <v>3991739.29697176</v>
      </c>
      <c r="BG36" t="n">
        <v>67030217.2049001</v>
      </c>
      <c r="BH36" t="n">
        <v>47119856.4524447</v>
      </c>
      <c r="BI36" t="n">
        <v>8835185.44811285</v>
      </c>
      <c r="BJ36" t="n">
        <v>12318481.7375383</v>
      </c>
      <c r="BK36" t="n">
        <v>901005.253746619</v>
      </c>
      <c r="BL36" t="n">
        <v>7147566.89206037</v>
      </c>
      <c r="BM36" t="n">
        <v>5004149.2006186</v>
      </c>
      <c r="BN36" t="n">
        <v>76898513.579276</v>
      </c>
      <c r="BO36" t="n">
        <v>31301021.507543</v>
      </c>
      <c r="BP36" t="n">
        <v>40171571.4490982</v>
      </c>
      <c r="BQ36" t="n">
        <v>15272390.2052506</v>
      </c>
      <c r="BR36" t="n">
        <v>6188211.50841446</v>
      </c>
      <c r="BS36" t="n">
        <v>141695791.880063</v>
      </c>
      <c r="BT36" t="n">
        <v>28742597.6177436</v>
      </c>
      <c r="BU36" t="n">
        <v>1655635658.64071</v>
      </c>
      <c r="BV36" t="n">
        <v>214476.13314552</v>
      </c>
      <c r="BW36" t="n">
        <v>496790260.743856</v>
      </c>
      <c r="BX36" t="n">
        <v>57348260.8217967</v>
      </c>
      <c r="BY36" t="n">
        <v>11277894.6747946</v>
      </c>
      <c r="BZ36" t="n">
        <v>76180272.67688</v>
      </c>
      <c r="CA36" t="n">
        <v>1721880389.54859</v>
      </c>
      <c r="CB36" t="n">
        <v>641383209.411966</v>
      </c>
      <c r="CC36" t="n">
        <v>0</v>
      </c>
      <c r="CD36" t="n">
        <v>0</v>
      </c>
      <c r="CE36" t="n">
        <v>63157142.240775</v>
      </c>
      <c r="CF36" t="n">
        <v>5585086.54965697</v>
      </c>
      <c r="CG36" t="n">
        <v>0</v>
      </c>
      <c r="CH36" t="n">
        <v>0</v>
      </c>
      <c r="CI36" t="n">
        <v>7893465.70200213</v>
      </c>
      <c r="CJ36" t="n">
        <v>0</v>
      </c>
      <c r="CK36" t="n">
        <v>0</v>
      </c>
      <c r="CL36" t="n">
        <v>0</v>
      </c>
      <c r="CM36" t="n">
        <v>33990780.939698</v>
      </c>
      <c r="CN36" t="n">
        <v>7722383.57038675</v>
      </c>
    </row>
    <row r="37">
      <c r="A37" t="s">
        <v>148</v>
      </c>
      <c r="B37" t="n">
        <v>243239.827127957</v>
      </c>
      <c r="C37" t="n">
        <v>6713.959368477</v>
      </c>
      <c r="D37" t="n">
        <v>17576028.6728942</v>
      </c>
      <c r="E37" t="n">
        <v>1658865.8641501</v>
      </c>
      <c r="F37" t="n">
        <v>12230585.3529226</v>
      </c>
      <c r="G37" t="n">
        <v>187191.039700098</v>
      </c>
      <c r="H37" t="n">
        <v>17398633.2045765</v>
      </c>
      <c r="I37" t="n">
        <v>1570348.14265309</v>
      </c>
      <c r="J37" t="n">
        <v>2138021.95718421</v>
      </c>
      <c r="K37" t="n">
        <v>546199.697676525</v>
      </c>
      <c r="L37" t="n">
        <v>6113111.93545853</v>
      </c>
      <c r="M37" t="n">
        <v>36247032.3668591</v>
      </c>
      <c r="N37" t="n">
        <v>339333.218241574</v>
      </c>
      <c r="O37" t="n">
        <v>16610.0679191707</v>
      </c>
      <c r="P37" t="n">
        <v>16953951.3462191</v>
      </c>
      <c r="Q37" t="n">
        <v>3701446.300507</v>
      </c>
      <c r="R37" t="n">
        <v>392035.281971032</v>
      </c>
      <c r="S37" t="n">
        <v>760322.531584821</v>
      </c>
      <c r="T37" t="n">
        <v>9710988.06042529</v>
      </c>
      <c r="U37" t="n">
        <v>35369.9488795611</v>
      </c>
      <c r="V37" t="n">
        <v>0</v>
      </c>
      <c r="W37" t="n">
        <v>4798871.10153845</v>
      </c>
      <c r="X37" t="n">
        <v>142852.669108551</v>
      </c>
      <c r="Y37" t="n">
        <v>46690.3840109883</v>
      </c>
      <c r="Z37" t="n">
        <v>1236423.11482201</v>
      </c>
      <c r="AA37" t="n">
        <v>2352153.86605987</v>
      </c>
      <c r="AB37" t="n">
        <v>809991.116539898</v>
      </c>
      <c r="AC37" t="n">
        <v>13180321.0853854</v>
      </c>
      <c r="AD37" t="n">
        <v>3854475.32897702</v>
      </c>
      <c r="AE37" t="n">
        <v>1729479.85941776</v>
      </c>
      <c r="AF37" t="n">
        <v>10810422.4811154</v>
      </c>
      <c r="AG37" t="n">
        <v>0</v>
      </c>
      <c r="AH37" t="n">
        <v>157848.698739878</v>
      </c>
      <c r="AI37" t="n">
        <v>0</v>
      </c>
      <c r="AJ37" t="n">
        <v>16378982.8276069</v>
      </c>
      <c r="AK37" t="n">
        <v>6095.40636042403</v>
      </c>
      <c r="AL37" t="n">
        <v>125500.52687039</v>
      </c>
      <c r="AM37" t="n">
        <v>83348.0310805274</v>
      </c>
      <c r="AN37" t="n">
        <v>524252.419244923</v>
      </c>
      <c r="AO37" t="n">
        <v>340710.234788978</v>
      </c>
      <c r="AP37" t="n">
        <v>45589.2484047649</v>
      </c>
      <c r="AQ37" t="n">
        <v>553469.612356426</v>
      </c>
      <c r="AR37" t="n">
        <v>17326.0861593447</v>
      </c>
      <c r="AS37" t="n">
        <v>221721.441610401</v>
      </c>
      <c r="AT37" t="n">
        <v>17177.0060566964</v>
      </c>
      <c r="AU37" t="n">
        <v>76275.3069780186</v>
      </c>
      <c r="AV37" t="n">
        <v>0</v>
      </c>
      <c r="AW37" t="n">
        <v>616098.356590371</v>
      </c>
      <c r="AX37" t="n">
        <v>1087930.58540214</v>
      </c>
      <c r="AY37" t="n">
        <v>4644940.75765773</v>
      </c>
      <c r="AZ37" t="n">
        <v>0</v>
      </c>
      <c r="BA37" t="n">
        <v>76053.8867521425</v>
      </c>
      <c r="BB37" t="n">
        <v>3017996.3122311</v>
      </c>
      <c r="BC37" t="n">
        <v>0</v>
      </c>
      <c r="BD37" t="n">
        <v>25918844.8261759</v>
      </c>
      <c r="BE37" t="n">
        <v>466452.807640531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22713.8475115473</v>
      </c>
      <c r="BL37" t="n">
        <v>128375.790574182</v>
      </c>
      <c r="BM37" t="n">
        <v>149401.881341058</v>
      </c>
      <c r="BN37" t="n">
        <v>1361444.72869261</v>
      </c>
      <c r="BO37" t="n">
        <v>29382872.9513</v>
      </c>
      <c r="BP37" t="n">
        <v>0</v>
      </c>
      <c r="BQ37" t="n">
        <v>0</v>
      </c>
      <c r="BR37" t="n">
        <v>0</v>
      </c>
      <c r="BS37" t="n">
        <v>0</v>
      </c>
      <c r="BT37" t="n">
        <v>24194.4614536786</v>
      </c>
      <c r="BU37" t="n">
        <v>3837856930.51974</v>
      </c>
      <c r="BV37" t="n">
        <v>0</v>
      </c>
      <c r="BW37" t="n">
        <v>326035770.412042</v>
      </c>
      <c r="BX37" t="n">
        <v>0</v>
      </c>
      <c r="BY37" t="n">
        <v>87878.1139279808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935537.796645989</v>
      </c>
      <c r="C38" t="n">
        <v>0</v>
      </c>
      <c r="D38" t="n">
        <v>107828.396766222</v>
      </c>
      <c r="E38" t="n">
        <v>0</v>
      </c>
      <c r="F38" t="n">
        <v>0</v>
      </c>
      <c r="G38" t="n">
        <v>1083033.87255057</v>
      </c>
      <c r="H38" t="n">
        <v>1740696.18944781</v>
      </c>
      <c r="I38" t="n">
        <v>0</v>
      </c>
      <c r="J38" t="n">
        <v>31910.7754803614</v>
      </c>
      <c r="K38" t="n">
        <v>0</v>
      </c>
      <c r="L38" t="n">
        <v>35335.9071413788</v>
      </c>
      <c r="M38" t="n">
        <v>305796.111081488</v>
      </c>
      <c r="N38" t="n">
        <v>2458.93636406938</v>
      </c>
      <c r="O38" t="n">
        <v>11073.3786127805</v>
      </c>
      <c r="P38" t="n">
        <v>41900.4049335042</v>
      </c>
      <c r="Q38" t="n">
        <v>0</v>
      </c>
      <c r="R38" t="n">
        <v>20208.0042253109</v>
      </c>
      <c r="S38" t="n">
        <v>33998.1619814351</v>
      </c>
      <c r="T38" t="n">
        <v>100781.195586326</v>
      </c>
      <c r="U38" t="n">
        <v>0</v>
      </c>
      <c r="V38" t="n">
        <v>0</v>
      </c>
      <c r="W38" t="n">
        <v>15530.3271894448</v>
      </c>
      <c r="X38" t="n">
        <v>60604.1626521124</v>
      </c>
      <c r="Y38" t="n">
        <v>62253.8453479844</v>
      </c>
      <c r="Z38" t="n">
        <v>142342.164460322</v>
      </c>
      <c r="AA38" t="n">
        <v>16921.9702594235</v>
      </c>
      <c r="AB38" t="n">
        <v>64799.2893231919</v>
      </c>
      <c r="AC38" t="n">
        <v>133012.414623155</v>
      </c>
      <c r="AD38" t="n">
        <v>160299.541091672</v>
      </c>
      <c r="AE38" t="n">
        <v>137746.18349345</v>
      </c>
      <c r="AF38" t="n">
        <v>390023.085593183</v>
      </c>
      <c r="AG38" t="n">
        <v>0</v>
      </c>
      <c r="AH38" t="n">
        <v>78924.349369939</v>
      </c>
      <c r="AI38" t="n">
        <v>0</v>
      </c>
      <c r="AJ38" t="n">
        <v>2738565.92877588</v>
      </c>
      <c r="AK38" t="n">
        <v>28445.2296819788</v>
      </c>
      <c r="AL38" t="n">
        <v>0</v>
      </c>
      <c r="AM38" t="n">
        <v>257621.186976176</v>
      </c>
      <c r="AN38" t="n">
        <v>0</v>
      </c>
      <c r="AO38" t="n">
        <v>6953.27009773424</v>
      </c>
      <c r="AP38" t="n">
        <v>0</v>
      </c>
      <c r="AQ38" t="n">
        <v>0</v>
      </c>
      <c r="AR38" t="n">
        <v>2887.68102655746</v>
      </c>
      <c r="AS38" t="n">
        <v>20156.4946918546</v>
      </c>
      <c r="AT38" t="n">
        <v>7361.57402429846</v>
      </c>
      <c r="AU38" t="n">
        <v>5448.23621271561</v>
      </c>
      <c r="AV38" t="n">
        <v>0</v>
      </c>
      <c r="AW38" t="n">
        <v>485410.826404535</v>
      </c>
      <c r="AX38" t="n">
        <v>95356.4656527772</v>
      </c>
      <c r="AY38" t="n">
        <v>24795.0574252192</v>
      </c>
      <c r="AZ38" t="n">
        <v>0</v>
      </c>
      <c r="BA38" t="n">
        <v>3042.1554700857</v>
      </c>
      <c r="BB38" t="n">
        <v>30301.1677934849</v>
      </c>
      <c r="BC38" t="n">
        <v>0</v>
      </c>
      <c r="BD38" t="n">
        <v>731619.631901841</v>
      </c>
      <c r="BE38" t="n">
        <v>0</v>
      </c>
      <c r="BF38" t="n">
        <v>42629.2830741567</v>
      </c>
      <c r="BG38" t="n">
        <v>18612.0602617401</v>
      </c>
      <c r="BH38" t="n">
        <v>47524.4393986727</v>
      </c>
      <c r="BI38" t="n">
        <v>8650.25723797034</v>
      </c>
      <c r="BJ38" t="n">
        <v>7796.24788977836</v>
      </c>
      <c r="BK38" t="n">
        <v>36342.1560184757</v>
      </c>
      <c r="BL38" t="n">
        <v>121243.80220895</v>
      </c>
      <c r="BM38" t="n">
        <v>167511.20029149</v>
      </c>
      <c r="BN38" t="n">
        <v>14015493.0209596</v>
      </c>
      <c r="BO38" t="n">
        <v>248359.784373797</v>
      </c>
      <c r="BP38" t="n">
        <v>0</v>
      </c>
      <c r="BQ38" t="n">
        <v>0</v>
      </c>
      <c r="BR38" t="n">
        <v>0</v>
      </c>
      <c r="BS38" t="n">
        <v>270883.009391839</v>
      </c>
      <c r="BT38" t="n">
        <v>0</v>
      </c>
      <c r="BU38" t="n">
        <v>2240683737.63165</v>
      </c>
      <c r="BV38" t="n">
        <v>0</v>
      </c>
      <c r="BW38" t="n">
        <v>1739331.3279963</v>
      </c>
      <c r="BX38" t="n">
        <v>7370.0479999843</v>
      </c>
      <c r="BY38" t="n">
        <v>72506.9973022572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37433.0392643329</v>
      </c>
      <c r="C39" t="n">
        <v>0</v>
      </c>
      <c r="D39" t="n">
        <v>16342.6685521954</v>
      </c>
      <c r="E39" t="n">
        <v>1079.72095667527</v>
      </c>
      <c r="F39" t="n">
        <v>7249.06637979249</v>
      </c>
      <c r="G39" t="n">
        <v>41745.9228312269</v>
      </c>
      <c r="H39" t="n">
        <v>196289.428548013</v>
      </c>
      <c r="I39" t="n">
        <v>1336.16746486616</v>
      </c>
      <c r="J39" t="n">
        <v>2660.05044503582</v>
      </c>
      <c r="K39" t="n">
        <v>376.286467038818</v>
      </c>
      <c r="L39" t="n">
        <v>5891.13201432638</v>
      </c>
      <c r="M39" t="n">
        <v>44184.1557641486</v>
      </c>
      <c r="N39" t="n">
        <v>447.217058148987</v>
      </c>
      <c r="O39" t="n">
        <v>923.065806567581</v>
      </c>
      <c r="P39" t="n">
        <v>13415.4350970903</v>
      </c>
      <c r="Q39" t="n">
        <v>2175.29819199972</v>
      </c>
      <c r="R39" t="n">
        <v>1898.91243436001</v>
      </c>
      <c r="S39" t="n">
        <v>3044.85022710491</v>
      </c>
      <c r="T39" t="n">
        <v>13419.8112261292</v>
      </c>
      <c r="U39" t="n">
        <v>94.6011879957933</v>
      </c>
      <c r="V39" t="n">
        <v>0</v>
      </c>
      <c r="W39" t="n">
        <v>4001.46803197557</v>
      </c>
      <c r="X39" t="n">
        <v>3083.62886388188</v>
      </c>
      <c r="Y39" t="n">
        <v>1887.06127723944</v>
      </c>
      <c r="Z39" t="n">
        <v>6218.28393908515</v>
      </c>
      <c r="AA39" t="n">
        <v>3077.6696249999</v>
      </c>
      <c r="AB39" t="n">
        <v>3682.91194476358</v>
      </c>
      <c r="AC39" t="n">
        <v>16127.6833984746</v>
      </c>
      <c r="AD39" t="n">
        <v>5079.92446559054</v>
      </c>
      <c r="AE39" t="n">
        <v>2551.64102050897</v>
      </c>
      <c r="AF39" t="n">
        <v>14906.6582922187</v>
      </c>
      <c r="AG39" t="n">
        <v>0</v>
      </c>
      <c r="AH39" t="n">
        <v>3588.57551758007</v>
      </c>
      <c r="AI39" t="n">
        <v>0.195324214897932</v>
      </c>
      <c r="AJ39" t="n">
        <v>117965.00334767</v>
      </c>
      <c r="AK39" t="n">
        <v>1108.59709123182</v>
      </c>
      <c r="AL39" t="n">
        <v>1902.10888344689</v>
      </c>
      <c r="AM39" t="n">
        <v>10335.5833608156</v>
      </c>
      <c r="AN39" t="n">
        <v>305.602512252071</v>
      </c>
      <c r="AO39" t="n">
        <v>526.925151300955</v>
      </c>
      <c r="AP39" t="n">
        <v>37.3491333410359</v>
      </c>
      <c r="AQ39" t="n">
        <v>349.520267840621</v>
      </c>
      <c r="AR39" t="n">
        <v>109.415551275903</v>
      </c>
      <c r="AS39" t="n">
        <v>1145.60816701158</v>
      </c>
      <c r="AT39" t="n">
        <v>297.528957515449</v>
      </c>
      <c r="AU39" t="n">
        <v>247.72338629365</v>
      </c>
      <c r="AV39" t="n">
        <v>0</v>
      </c>
      <c r="AW39" t="n">
        <v>38199.6781474599</v>
      </c>
      <c r="AX39" t="n">
        <v>10313.7581225715</v>
      </c>
      <c r="AY39" t="n">
        <v>5887.50849099688</v>
      </c>
      <c r="AZ39" t="n">
        <v>94.8472655831222</v>
      </c>
      <c r="BA39" t="n">
        <v>184.429853444442</v>
      </c>
      <c r="BB39" t="n">
        <v>3490.30021035113</v>
      </c>
      <c r="BC39" t="n">
        <v>0</v>
      </c>
      <c r="BD39" t="n">
        <v>48493.9718164784</v>
      </c>
      <c r="BE39" t="n">
        <v>326.291255042273</v>
      </c>
      <c r="BF39" t="n">
        <v>3661.2174224552</v>
      </c>
      <c r="BG39" t="n">
        <v>1410.43890595241</v>
      </c>
      <c r="BH39" t="n">
        <v>1152.46251935698</v>
      </c>
      <c r="BI39" t="n">
        <v>131.104876981406</v>
      </c>
      <c r="BJ39" t="n">
        <v>354.484066445786</v>
      </c>
      <c r="BK39" t="n">
        <v>275.404173712139</v>
      </c>
      <c r="BL39" t="n">
        <v>756.656018513041</v>
      </c>
      <c r="BM39" t="n">
        <v>4185.63916776642</v>
      </c>
      <c r="BN39" t="n">
        <v>46867.0641873466</v>
      </c>
      <c r="BO39" t="n">
        <v>37207.5328868818</v>
      </c>
      <c r="BP39" t="n">
        <v>0</v>
      </c>
      <c r="BQ39" t="n">
        <v>614.864252465083</v>
      </c>
      <c r="BR39" t="n">
        <v>0</v>
      </c>
      <c r="BS39" t="n">
        <v>4516.1075457339</v>
      </c>
      <c r="BT39" t="n">
        <v>0</v>
      </c>
      <c r="BU39" t="n">
        <v>33709133.0980331</v>
      </c>
      <c r="BV39" t="n">
        <v>0</v>
      </c>
      <c r="BW39" t="n">
        <v>455278.998440862</v>
      </c>
      <c r="BX39" t="n">
        <v>121974.34317462</v>
      </c>
      <c r="BY39" t="n">
        <v>27763.0029568207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26684395.0243127</v>
      </c>
      <c r="C40" t="n">
        <v>70926.8981961308</v>
      </c>
      <c r="D40" t="n">
        <v>6170175.50701739</v>
      </c>
      <c r="E40" t="n">
        <v>1155751.29602486</v>
      </c>
      <c r="F40" t="n">
        <v>1203026.57279122</v>
      </c>
      <c r="G40" t="n">
        <v>32734749.5451373</v>
      </c>
      <c r="H40" t="n">
        <v>577570616.661308</v>
      </c>
      <c r="I40" t="n">
        <v>1862658.85928117</v>
      </c>
      <c r="J40" t="n">
        <v>238785.140244465</v>
      </c>
      <c r="K40" t="n">
        <v>103818.176627797</v>
      </c>
      <c r="L40" t="n">
        <v>2146428.11609015</v>
      </c>
      <c r="M40" t="n">
        <v>19508382.2162911</v>
      </c>
      <c r="N40" t="n">
        <v>196987.965458717</v>
      </c>
      <c r="O40" t="n">
        <v>623894.469776674</v>
      </c>
      <c r="P40" t="n">
        <v>3900763.39897754</v>
      </c>
      <c r="Q40" t="n">
        <v>379054.137621932</v>
      </c>
      <c r="R40" t="n">
        <v>1167019.93901978</v>
      </c>
      <c r="S40" t="n">
        <v>1861100.6812703</v>
      </c>
      <c r="T40" t="n">
        <v>6292913.06036735</v>
      </c>
      <c r="U40" t="n">
        <v>78759.8679176952</v>
      </c>
      <c r="V40" t="n">
        <v>5573.63315330424</v>
      </c>
      <c r="W40" t="n">
        <v>1298838.70965871</v>
      </c>
      <c r="X40" t="n">
        <v>3262114.47174982</v>
      </c>
      <c r="Y40" t="n">
        <v>4000737.48533685</v>
      </c>
      <c r="Z40" t="n">
        <v>7973134.73793404</v>
      </c>
      <c r="AA40" t="n">
        <v>1504607.81777831</v>
      </c>
      <c r="AB40" t="n">
        <v>3986053.06981424</v>
      </c>
      <c r="AC40" t="n">
        <v>11943823.0886962</v>
      </c>
      <c r="AD40" t="n">
        <v>2078287.47954654</v>
      </c>
      <c r="AE40" t="n">
        <v>7289291.9225604</v>
      </c>
      <c r="AF40" t="n">
        <v>10584241.1402084</v>
      </c>
      <c r="AG40" t="n">
        <v>33798.420378491</v>
      </c>
      <c r="AH40" t="n">
        <v>2466552.57096418</v>
      </c>
      <c r="AI40" t="n">
        <v>5298.27085071558</v>
      </c>
      <c r="AJ40" t="n">
        <v>89040782.5710532</v>
      </c>
      <c r="AK40" t="n">
        <v>807588.594160534</v>
      </c>
      <c r="AL40" t="n">
        <v>1546765.93027036</v>
      </c>
      <c r="AM40" t="n">
        <v>10205754.178907</v>
      </c>
      <c r="AN40" t="n">
        <v>71003.2289904521</v>
      </c>
      <c r="AO40" t="n">
        <v>385638.746043881</v>
      </c>
      <c r="AP40" t="n">
        <v>16270.5779621164</v>
      </c>
      <c r="AQ40" t="n">
        <v>108276.019205068</v>
      </c>
      <c r="AR40" t="n">
        <v>119480.791273639</v>
      </c>
      <c r="AS40" t="n">
        <v>1131217.74840447</v>
      </c>
      <c r="AT40" t="n">
        <v>326195.066924729</v>
      </c>
      <c r="AU40" t="n">
        <v>254204.252190473</v>
      </c>
      <c r="AV40" t="n">
        <v>0</v>
      </c>
      <c r="AW40" t="n">
        <v>25877945.1639063</v>
      </c>
      <c r="AX40" t="n">
        <v>4464412.74710955</v>
      </c>
      <c r="AY40" t="n">
        <v>1200546.04330858</v>
      </c>
      <c r="AZ40" t="n">
        <v>121201.692264526</v>
      </c>
      <c r="BA40" t="n">
        <v>144619.274211712</v>
      </c>
      <c r="BB40" t="n">
        <v>1893950.9522952</v>
      </c>
      <c r="BC40" t="n">
        <v>0</v>
      </c>
      <c r="BD40" t="n">
        <v>12984549.6446755</v>
      </c>
      <c r="BE40" t="n">
        <v>138985.037467356</v>
      </c>
      <c r="BF40" t="n">
        <v>542075.631680949</v>
      </c>
      <c r="BG40" t="n">
        <v>2384012.10453151</v>
      </c>
      <c r="BH40" t="n">
        <v>1280234.2507097</v>
      </c>
      <c r="BI40" t="n">
        <v>571138.318702547</v>
      </c>
      <c r="BJ40" t="n">
        <v>384348.047631871</v>
      </c>
      <c r="BK40" t="n">
        <v>1239747.97661611</v>
      </c>
      <c r="BL40" t="n">
        <v>2103325.300316</v>
      </c>
      <c r="BM40" t="n">
        <v>4659160.27538847</v>
      </c>
      <c r="BN40" t="n">
        <v>52438266.0124443</v>
      </c>
      <c r="BO40" t="n">
        <v>17625855.983022</v>
      </c>
      <c r="BP40" t="n">
        <v>15356.5901454768</v>
      </c>
      <c r="BQ40" t="n">
        <v>547617.110466063</v>
      </c>
      <c r="BR40" t="n">
        <v>21810.2892339541</v>
      </c>
      <c r="BS40" t="n">
        <v>4375914.6933652</v>
      </c>
      <c r="BT40" t="n">
        <v>0</v>
      </c>
      <c r="BU40" t="n">
        <v>7848405247.08944</v>
      </c>
      <c r="BV40" t="n">
        <v>0</v>
      </c>
      <c r="BW40" t="n">
        <v>256800725.832999</v>
      </c>
      <c r="BX40" t="n">
        <v>89574910.3560859</v>
      </c>
      <c r="BY40" t="n">
        <v>62908605.3297891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3657858.14659161</v>
      </c>
      <c r="C41" t="n">
        <v>6748.30384362613</v>
      </c>
      <c r="D41" t="n">
        <v>1408388.16082915</v>
      </c>
      <c r="E41" t="n">
        <v>163458.175716783</v>
      </c>
      <c r="F41" t="n">
        <v>19358558.1299226</v>
      </c>
      <c r="G41" t="n">
        <v>9778220.16474427</v>
      </c>
      <c r="H41" t="n">
        <v>3022175.48288133</v>
      </c>
      <c r="I41" t="n">
        <v>596798.62558659</v>
      </c>
      <c r="J41" t="n">
        <v>3665944.86300565</v>
      </c>
      <c r="K41" t="n">
        <v>955809.961340029</v>
      </c>
      <c r="L41" t="n">
        <v>6318192.3614563</v>
      </c>
      <c r="M41" t="n">
        <v>5379249.1920519</v>
      </c>
      <c r="N41" t="n">
        <v>151784.325271981</v>
      </c>
      <c r="O41" t="n">
        <v>191766.321692349</v>
      </c>
      <c r="P41" t="n">
        <v>1550703.76842521</v>
      </c>
      <c r="Q41" t="n">
        <v>796181.098421785</v>
      </c>
      <c r="R41" t="n">
        <v>344590.463026384</v>
      </c>
      <c r="S41" t="n">
        <v>441735.086966452</v>
      </c>
      <c r="T41" t="n">
        <v>4324764.32971028</v>
      </c>
      <c r="U41" t="n">
        <v>59525.5033057718</v>
      </c>
      <c r="V41" t="n">
        <v>22240.2346553084</v>
      </c>
      <c r="W41" t="n">
        <v>2142291.85780651</v>
      </c>
      <c r="X41" t="n">
        <v>592651.019759323</v>
      </c>
      <c r="Y41" t="n">
        <v>1889388.64116616</v>
      </c>
      <c r="Z41" t="n">
        <v>867098.17291931</v>
      </c>
      <c r="AA41" t="n">
        <v>5466619.70791969</v>
      </c>
      <c r="AB41" t="n">
        <v>48568516.7191105</v>
      </c>
      <c r="AC41" t="n">
        <v>1704900.34262575</v>
      </c>
      <c r="AD41" t="n">
        <v>267162.865514831</v>
      </c>
      <c r="AE41" t="n">
        <v>806533.630811471</v>
      </c>
      <c r="AF41" t="n">
        <v>1720994.14656537</v>
      </c>
      <c r="AG41" t="n">
        <v>1582023.09936063</v>
      </c>
      <c r="AH41" t="n">
        <v>493882.776001728</v>
      </c>
      <c r="AI41" t="n">
        <v>1573.63455006838</v>
      </c>
      <c r="AJ41" t="n">
        <v>20036469.8901636</v>
      </c>
      <c r="AK41" t="n">
        <v>31648.8345595204</v>
      </c>
      <c r="AL41" t="n">
        <v>1132072.6749947</v>
      </c>
      <c r="AM41" t="n">
        <v>5550833.14926514</v>
      </c>
      <c r="AN41" t="n">
        <v>2259272.77743538</v>
      </c>
      <c r="AO41" t="n">
        <v>2604924.83553839</v>
      </c>
      <c r="AP41" t="n">
        <v>320183.622295043</v>
      </c>
      <c r="AQ41" t="n">
        <v>3519355.23362437</v>
      </c>
      <c r="AR41" t="n">
        <v>2460910.20165358</v>
      </c>
      <c r="AS41" t="n">
        <v>27996724.4521129</v>
      </c>
      <c r="AT41" t="n">
        <v>6704026.00466866</v>
      </c>
      <c r="AU41" t="n">
        <v>546244.981895031</v>
      </c>
      <c r="AV41" t="n">
        <v>229507.987966908</v>
      </c>
      <c r="AW41" t="n">
        <v>51508.6589158801</v>
      </c>
      <c r="AX41" t="n">
        <v>43059115.9181792</v>
      </c>
      <c r="AY41" t="n">
        <v>9664652.28303266</v>
      </c>
      <c r="AZ41" t="n">
        <v>4329634.71030272</v>
      </c>
      <c r="BA41" t="n">
        <v>8900616.89876269</v>
      </c>
      <c r="BB41" t="n">
        <v>25528211.3827318</v>
      </c>
      <c r="BC41" t="n">
        <v>2285675.39194516</v>
      </c>
      <c r="BD41" t="n">
        <v>41861735.7131163</v>
      </c>
      <c r="BE41" t="n">
        <v>2915794.01393462</v>
      </c>
      <c r="BF41" t="n">
        <v>2776954.84288121</v>
      </c>
      <c r="BG41" t="n">
        <v>23801794.3331954</v>
      </c>
      <c r="BH41" t="n">
        <v>2976707.881608</v>
      </c>
      <c r="BI41" t="n">
        <v>2252065.02577501</v>
      </c>
      <c r="BJ41" t="n">
        <v>4516590.54080947</v>
      </c>
      <c r="BK41" t="n">
        <v>524161.343284756</v>
      </c>
      <c r="BL41" t="n">
        <v>1109617.24192917</v>
      </c>
      <c r="BM41" t="n">
        <v>742638.530379504</v>
      </c>
      <c r="BN41" t="n">
        <v>17238248.2230742</v>
      </c>
      <c r="BO41" t="n">
        <v>5120485.28958292</v>
      </c>
      <c r="BP41" t="n">
        <v>50526126.1871192</v>
      </c>
      <c r="BQ41" t="n">
        <v>37013702.7897383</v>
      </c>
      <c r="BR41" t="n">
        <v>3029989.11564492</v>
      </c>
      <c r="BS41" t="n">
        <v>39539678.5761935</v>
      </c>
      <c r="BT41" t="n">
        <v>546169.959871676</v>
      </c>
      <c r="BU41" t="n">
        <v>674804490.574954</v>
      </c>
      <c r="BV41" t="n">
        <v>0</v>
      </c>
      <c r="BW41" t="n">
        <v>3027745.72484908</v>
      </c>
      <c r="BX41" t="n">
        <v>363020.533336497</v>
      </c>
      <c r="BY41" t="n">
        <v>28995.7083593062</v>
      </c>
      <c r="BZ41" t="n">
        <v>207482.358861423</v>
      </c>
      <c r="CA41" t="n">
        <v>357684217.613474</v>
      </c>
      <c r="CB41" t="n">
        <v>-368149054.816756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319722.89683111</v>
      </c>
      <c r="CJ41" t="n">
        <v>0</v>
      </c>
      <c r="CK41" t="n">
        <v>0</v>
      </c>
      <c r="CL41" t="n">
        <v>0</v>
      </c>
      <c r="CM41" t="n">
        <v>192027.036553211</v>
      </c>
      <c r="CN41" t="n">
        <v>54864.8675866317</v>
      </c>
    </row>
    <row r="42">
      <c r="A42" t="s">
        <v>153</v>
      </c>
      <c r="B42" t="n">
        <v>35417747.8195517</v>
      </c>
      <c r="C42" t="n">
        <v>120416.047558511</v>
      </c>
      <c r="D42" t="n">
        <v>37308566.0076295</v>
      </c>
      <c r="E42" t="n">
        <v>6974087.9422493</v>
      </c>
      <c r="F42" t="n">
        <v>11948255.1165053</v>
      </c>
      <c r="G42" t="n">
        <v>24959959.287056</v>
      </c>
      <c r="H42" t="n">
        <v>15479142.4007264</v>
      </c>
      <c r="I42" t="n">
        <v>3870556.01141611</v>
      </c>
      <c r="J42" t="n">
        <v>25301551.9050769</v>
      </c>
      <c r="K42" t="n">
        <v>13697037.6024705</v>
      </c>
      <c r="L42" t="n">
        <v>14365130.062644</v>
      </c>
      <c r="M42" t="n">
        <v>9079906.50210656</v>
      </c>
      <c r="N42" t="n">
        <v>154355.103550774</v>
      </c>
      <c r="O42" t="n">
        <v>1121279.44861038</v>
      </c>
      <c r="P42" t="n">
        <v>5006027.08908598</v>
      </c>
      <c r="Q42" t="n">
        <v>1637072.03126057</v>
      </c>
      <c r="R42" t="n">
        <v>830578.206148527</v>
      </c>
      <c r="S42" t="n">
        <v>602833.916768858</v>
      </c>
      <c r="T42" t="n">
        <v>34789545.0344155</v>
      </c>
      <c r="U42" t="n">
        <v>119721.087656407</v>
      </c>
      <c r="V42" t="n">
        <v>9462.62831071594</v>
      </c>
      <c r="W42" t="n">
        <v>29269823.6263317</v>
      </c>
      <c r="X42" t="n">
        <v>339670.73914799</v>
      </c>
      <c r="Y42" t="n">
        <v>43882101.1469878</v>
      </c>
      <c r="Z42" t="n">
        <v>9930154.11173355</v>
      </c>
      <c r="AA42" t="n">
        <v>22952076.0691397</v>
      </c>
      <c r="AB42" t="n">
        <v>1906712.56018922</v>
      </c>
      <c r="AC42" t="n">
        <v>298200.144767325</v>
      </c>
      <c r="AD42" t="n">
        <v>626183.841212001</v>
      </c>
      <c r="AE42" t="n">
        <v>434625.376346672</v>
      </c>
      <c r="AF42" t="n">
        <v>741332.024912998</v>
      </c>
      <c r="AG42" t="n">
        <v>969742.676707998</v>
      </c>
      <c r="AH42" t="n">
        <v>3583040.4448175</v>
      </c>
      <c r="AI42" t="n">
        <v>250.39982919978</v>
      </c>
      <c r="AJ42" t="n">
        <v>43417720.7584462</v>
      </c>
      <c r="AK42" t="n">
        <v>24293.820014972</v>
      </c>
      <c r="AL42" t="n">
        <v>844077.796508421</v>
      </c>
      <c r="AM42" t="n">
        <v>1489199.30934731</v>
      </c>
      <c r="AN42" t="n">
        <v>301364.095158913</v>
      </c>
      <c r="AO42" t="n">
        <v>166277.503695184</v>
      </c>
      <c r="AP42" t="n">
        <v>7366.22725470712</v>
      </c>
      <c r="AQ42" t="n">
        <v>1826765.59152177</v>
      </c>
      <c r="AR42" t="n">
        <v>58264.9531128989</v>
      </c>
      <c r="AS42" t="n">
        <v>263601.2558489</v>
      </c>
      <c r="AT42" t="n">
        <v>82519.4567732863</v>
      </c>
      <c r="AU42" t="n">
        <v>553718.781680986</v>
      </c>
      <c r="AV42" t="n">
        <v>2129.05706188439</v>
      </c>
      <c r="AW42" t="n">
        <v>397626.562093642</v>
      </c>
      <c r="AX42" t="n">
        <v>1017071.60762242</v>
      </c>
      <c r="AY42" t="n">
        <v>469409.49905094</v>
      </c>
      <c r="AZ42" t="n">
        <v>173033.874283989</v>
      </c>
      <c r="BA42" t="n">
        <v>100029.592432643</v>
      </c>
      <c r="BB42" t="n">
        <v>3378489.76257046</v>
      </c>
      <c r="BC42" t="n">
        <v>178464.254636299</v>
      </c>
      <c r="BD42" t="n">
        <v>4548865.48741056</v>
      </c>
      <c r="BE42" t="n">
        <v>300314.844388805</v>
      </c>
      <c r="BF42" t="n">
        <v>240695.987208415</v>
      </c>
      <c r="BG42" t="n">
        <v>2872161.94583525</v>
      </c>
      <c r="BH42" t="n">
        <v>1598173.53314212</v>
      </c>
      <c r="BI42" t="n">
        <v>549467.950730683</v>
      </c>
      <c r="BJ42" t="n">
        <v>1439053.73349859</v>
      </c>
      <c r="BK42" t="n">
        <v>57711.7230252796</v>
      </c>
      <c r="BL42" t="n">
        <v>453026.878146201</v>
      </c>
      <c r="BM42" t="n">
        <v>487190.752648695</v>
      </c>
      <c r="BN42" t="n">
        <v>7397884.73921296</v>
      </c>
      <c r="BO42" t="n">
        <v>1234947.36288569</v>
      </c>
      <c r="BP42" t="n">
        <v>2287785.58505221</v>
      </c>
      <c r="BQ42" t="n">
        <v>11277862.0295687</v>
      </c>
      <c r="BR42" t="n">
        <v>9294125.81131023</v>
      </c>
      <c r="BS42" t="n">
        <v>23654016.7569595</v>
      </c>
      <c r="BT42" t="n">
        <v>12758804.434094</v>
      </c>
      <c r="BU42" t="n">
        <v>45962053.2114689</v>
      </c>
      <c r="BV42" t="n">
        <v>0</v>
      </c>
      <c r="BW42" t="n">
        <v>56464814.5406057</v>
      </c>
      <c r="BX42" t="n">
        <v>0</v>
      </c>
      <c r="BY42" t="n">
        <v>210192.316515864</v>
      </c>
      <c r="BZ42" t="n">
        <v>11512178.5328749</v>
      </c>
      <c r="CA42" t="n">
        <v>244574655.920168</v>
      </c>
      <c r="CB42" t="n">
        <v>8555488.39904777</v>
      </c>
      <c r="CC42" t="n">
        <v>0</v>
      </c>
      <c r="CD42" t="n">
        <v>0</v>
      </c>
      <c r="CE42" t="n">
        <v>2007450.33205558</v>
      </c>
      <c r="CF42" t="n">
        <v>0</v>
      </c>
      <c r="CG42" t="n">
        <v>0</v>
      </c>
      <c r="CH42" t="n">
        <v>0</v>
      </c>
      <c r="CI42" t="n">
        <v>2945237.34849031</v>
      </c>
      <c r="CJ42" t="n">
        <v>0</v>
      </c>
      <c r="CK42" t="n">
        <v>0</v>
      </c>
      <c r="CL42" t="n">
        <v>0</v>
      </c>
      <c r="CM42" t="n">
        <v>5213191.60373023</v>
      </c>
      <c r="CN42" t="n">
        <v>0</v>
      </c>
    </row>
    <row r="43">
      <c r="A43" t="s">
        <v>154</v>
      </c>
      <c r="B43" t="n">
        <v>153507.99313823</v>
      </c>
      <c r="C43" t="n">
        <v>769.048508026622</v>
      </c>
      <c r="D43" t="n">
        <v>364359.577053249</v>
      </c>
      <c r="E43" t="n">
        <v>28123.2827538074</v>
      </c>
      <c r="F43" t="n">
        <v>85113.5103789419</v>
      </c>
      <c r="G43" t="n">
        <v>48052.47711738</v>
      </c>
      <c r="H43" t="n">
        <v>121516.685401145</v>
      </c>
      <c r="I43" t="n">
        <v>631.14058855164</v>
      </c>
      <c r="J43" t="n">
        <v>68535.1954588661</v>
      </c>
      <c r="K43" t="n">
        <v>36880.9346260706</v>
      </c>
      <c r="L43" t="n">
        <v>32127.3576931116</v>
      </c>
      <c r="M43" t="n">
        <v>16929.874192815</v>
      </c>
      <c r="N43" t="n">
        <v>598.523558374832</v>
      </c>
      <c r="O43" t="n">
        <v>4360.11437000011</v>
      </c>
      <c r="P43" t="n">
        <v>5324.41159000855</v>
      </c>
      <c r="Q43" t="n">
        <v>2379.48566210788</v>
      </c>
      <c r="R43" t="n">
        <v>694.415976330053</v>
      </c>
      <c r="S43" t="n">
        <v>2301.18288602884</v>
      </c>
      <c r="T43" t="n">
        <v>92970.0461061638</v>
      </c>
      <c r="U43" t="n">
        <v>834.120088038138</v>
      </c>
      <c r="V43" t="n">
        <v>0</v>
      </c>
      <c r="W43" t="n">
        <v>30908.6789836254</v>
      </c>
      <c r="X43" t="n">
        <v>61.9811254298217</v>
      </c>
      <c r="Y43" t="n">
        <v>34762.8862864873</v>
      </c>
      <c r="Z43" t="n">
        <v>28932.5687546912</v>
      </c>
      <c r="AA43" t="n">
        <v>33678.3468975759</v>
      </c>
      <c r="AB43" t="n">
        <v>2783.40585116377</v>
      </c>
      <c r="AC43" t="n">
        <v>2077.61837012508</v>
      </c>
      <c r="AD43" t="n">
        <v>1564.89749583824</v>
      </c>
      <c r="AE43" t="n">
        <v>1095.70112606823</v>
      </c>
      <c r="AF43" t="n">
        <v>2549.39315360112</v>
      </c>
      <c r="AG43" t="n">
        <v>2308.76494233979</v>
      </c>
      <c r="AH43" t="n">
        <v>3107.62597274163</v>
      </c>
      <c r="AI43" t="n">
        <v>0.553570012100615</v>
      </c>
      <c r="AJ43" t="n">
        <v>3377.02641726886</v>
      </c>
      <c r="AK43" t="n">
        <v>29.0915222922788</v>
      </c>
      <c r="AL43" t="n">
        <v>8984.63816665545</v>
      </c>
      <c r="AM43" t="n">
        <v>976.405478638579</v>
      </c>
      <c r="AN43" t="n">
        <v>577.407112558162</v>
      </c>
      <c r="AO43" t="n">
        <v>199.115071342083</v>
      </c>
      <c r="AP43" t="n">
        <v>0</v>
      </c>
      <c r="AQ43" t="n">
        <v>2091.2209653188</v>
      </c>
      <c r="AR43" t="n">
        <v>227.403396562965</v>
      </c>
      <c r="AS43" t="n">
        <v>360.75309010745</v>
      </c>
      <c r="AT43" t="n">
        <v>70.269111580361</v>
      </c>
      <c r="AU43" t="n">
        <v>0</v>
      </c>
      <c r="AV43" t="n">
        <v>8.15845490768233</v>
      </c>
      <c r="AW43" t="n">
        <v>1470.22511832486</v>
      </c>
      <c r="AX43" t="n">
        <v>2916.82491619607</v>
      </c>
      <c r="AY43" t="n">
        <v>1301.73201832488</v>
      </c>
      <c r="AZ43" t="n">
        <v>0</v>
      </c>
      <c r="BA43" t="n">
        <v>348.46280667694</v>
      </c>
      <c r="BB43" t="n">
        <v>130677.065148164</v>
      </c>
      <c r="BC43" t="n">
        <v>10163.0284165585</v>
      </c>
      <c r="BD43" t="n">
        <v>20252.4294394821</v>
      </c>
      <c r="BE43" t="n">
        <v>1746.74019674295</v>
      </c>
      <c r="BF43" t="n">
        <v>23194.0539924419</v>
      </c>
      <c r="BG43" t="n">
        <v>21985.3526841917</v>
      </c>
      <c r="BH43" t="n">
        <v>25857.4466630331</v>
      </c>
      <c r="BI43" t="n">
        <v>1114.69632746209</v>
      </c>
      <c r="BJ43" t="n">
        <v>1674.41049278342</v>
      </c>
      <c r="BK43" t="n">
        <v>195.131325440185</v>
      </c>
      <c r="BL43" t="n">
        <v>1225.3972754059</v>
      </c>
      <c r="BM43" t="n">
        <v>583.404365082841</v>
      </c>
      <c r="BN43" t="n">
        <v>9973.30907879591</v>
      </c>
      <c r="BO43" t="n">
        <v>5197.28534084851</v>
      </c>
      <c r="BP43" t="n">
        <v>214172.125954306</v>
      </c>
      <c r="BQ43" t="n">
        <v>44726.5276570204</v>
      </c>
      <c r="BR43" t="n">
        <v>163174.872536331</v>
      </c>
      <c r="BS43" t="n">
        <v>132839.545109226</v>
      </c>
      <c r="BT43" t="n">
        <v>29099.1487070374</v>
      </c>
      <c r="BU43" t="n">
        <v>2800170.59782643</v>
      </c>
      <c r="BV43" t="n">
        <v>0</v>
      </c>
      <c r="BW43" t="n">
        <v>8.87709497718626</v>
      </c>
      <c r="BX43" t="n">
        <v>0</v>
      </c>
      <c r="BY43" t="n">
        <v>0</v>
      </c>
      <c r="BZ43" t="n">
        <v>7687.8962419101</v>
      </c>
      <c r="CA43" t="n">
        <v>757133.781501663</v>
      </c>
      <c r="CB43" t="n">
        <v>1613369.76152911</v>
      </c>
      <c r="CC43" t="n">
        <v>0</v>
      </c>
      <c r="CD43" t="n">
        <v>0</v>
      </c>
      <c r="CE43" t="n">
        <v>842.240491940143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80490172.3691401</v>
      </c>
      <c r="C44" t="n">
        <v>1126351.76165029</v>
      </c>
      <c r="D44" t="n">
        <v>57275177.0228601</v>
      </c>
      <c r="E44" t="n">
        <v>5314383.91478772</v>
      </c>
      <c r="F44" t="n">
        <v>24378565.351289</v>
      </c>
      <c r="G44" t="n">
        <v>10204612.7463637</v>
      </c>
      <c r="H44" t="n">
        <v>98243913.418765</v>
      </c>
      <c r="I44" t="n">
        <v>6197193.02159095</v>
      </c>
      <c r="J44" t="n">
        <v>29134761.1025579</v>
      </c>
      <c r="K44" t="n">
        <v>22139492.2089186</v>
      </c>
      <c r="L44" t="n">
        <v>37204751.8666948</v>
      </c>
      <c r="M44" t="n">
        <v>40472530.7252361</v>
      </c>
      <c r="N44" t="n">
        <v>1508304.27844686</v>
      </c>
      <c r="O44" t="n">
        <v>3948265.72990966</v>
      </c>
      <c r="P44" t="n">
        <v>18904921.0517393</v>
      </c>
      <c r="Q44" t="n">
        <v>6689781.61418483</v>
      </c>
      <c r="R44" t="n">
        <v>2366419.34523562</v>
      </c>
      <c r="S44" t="n">
        <v>2242012.93720569</v>
      </c>
      <c r="T44" t="n">
        <v>108080995.449375</v>
      </c>
      <c r="U44" t="n">
        <v>821975.303279845</v>
      </c>
      <c r="V44" t="n">
        <v>436824.717491907</v>
      </c>
      <c r="W44" t="n">
        <v>26178857.8974427</v>
      </c>
      <c r="X44" t="n">
        <v>1513816.1009325</v>
      </c>
      <c r="Y44" t="n">
        <v>59397680.0031224</v>
      </c>
      <c r="Z44" t="n">
        <v>10148048.9224742</v>
      </c>
      <c r="AA44" t="n">
        <v>23934514.6512451</v>
      </c>
      <c r="AB44" t="n">
        <v>28122717.0033323</v>
      </c>
      <c r="AC44" t="n">
        <v>12942991.905016</v>
      </c>
      <c r="AD44" t="n">
        <v>5199403.55092765</v>
      </c>
      <c r="AE44" t="n">
        <v>7876475.49196631</v>
      </c>
      <c r="AF44" t="n">
        <v>24698017.4483264</v>
      </c>
      <c r="AG44" t="n">
        <v>7191939.36545443</v>
      </c>
      <c r="AH44" t="n">
        <v>4093384.30660379</v>
      </c>
      <c r="AI44" t="n">
        <v>1443.38301178545</v>
      </c>
      <c r="AJ44" t="n">
        <v>68336949.3299689</v>
      </c>
      <c r="AK44" t="n">
        <v>149306.523540496</v>
      </c>
      <c r="AL44" t="n">
        <v>7887950.39777779</v>
      </c>
      <c r="AM44" t="n">
        <v>14387309.0668875</v>
      </c>
      <c r="AN44" t="n">
        <v>6212718.4411983</v>
      </c>
      <c r="AO44" t="n">
        <v>2691162.87150643</v>
      </c>
      <c r="AP44" t="n">
        <v>116454.878040028</v>
      </c>
      <c r="AQ44" t="n">
        <v>5067601.70400445</v>
      </c>
      <c r="AR44" t="n">
        <v>735537.747507963</v>
      </c>
      <c r="AS44" t="n">
        <v>664394.764302091</v>
      </c>
      <c r="AT44" t="n">
        <v>235403.24628571</v>
      </c>
      <c r="AU44" t="n">
        <v>718335.141054478</v>
      </c>
      <c r="AV44" t="n">
        <v>9963.03335276236</v>
      </c>
      <c r="AW44" t="n">
        <v>560243.487311812</v>
      </c>
      <c r="AX44" t="n">
        <v>2212168.48679469</v>
      </c>
      <c r="AY44" t="n">
        <v>2562209.77682384</v>
      </c>
      <c r="AZ44" t="n">
        <v>431772.349355006</v>
      </c>
      <c r="BA44" t="n">
        <v>802199.865568762</v>
      </c>
      <c r="BB44" t="n">
        <v>12185852.2282198</v>
      </c>
      <c r="BC44" t="n">
        <v>1097208.96937105</v>
      </c>
      <c r="BD44" t="n">
        <v>10178648.9706144</v>
      </c>
      <c r="BE44" t="n">
        <v>1926236.78161805</v>
      </c>
      <c r="BF44" t="n">
        <v>1132616.84698246</v>
      </c>
      <c r="BG44" t="n">
        <v>8439299.69994935</v>
      </c>
      <c r="BH44" t="n">
        <v>8947533.09188589</v>
      </c>
      <c r="BI44" t="n">
        <v>2162477.88863891</v>
      </c>
      <c r="BJ44" t="n">
        <v>3956916.64613275</v>
      </c>
      <c r="BK44" t="n">
        <v>457264.289300413</v>
      </c>
      <c r="BL44" t="n">
        <v>2487333.21178539</v>
      </c>
      <c r="BM44" t="n">
        <v>1495499.53782233</v>
      </c>
      <c r="BN44" t="n">
        <v>17461011.4100973</v>
      </c>
      <c r="BO44" t="n">
        <v>9755053.91327926</v>
      </c>
      <c r="BP44" t="n">
        <v>29771339.877045</v>
      </c>
      <c r="BQ44" t="n">
        <v>5355242.78041583</v>
      </c>
      <c r="BR44" t="n">
        <v>7147646.43093375</v>
      </c>
      <c r="BS44" t="n">
        <v>43338269.3749163</v>
      </c>
      <c r="BT44" t="n">
        <v>7027851.92548784</v>
      </c>
      <c r="BU44" t="n">
        <v>326597371.235823</v>
      </c>
      <c r="BV44" t="n">
        <v>78344.6796990256</v>
      </c>
      <c r="BW44" t="n">
        <v>145384785.206415</v>
      </c>
      <c r="BX44" t="n">
        <v>5590535.85998099</v>
      </c>
      <c r="BY44" t="n">
        <v>2474351.60776407</v>
      </c>
      <c r="BZ44" t="n">
        <v>19834261.41047</v>
      </c>
      <c r="CA44" t="n">
        <v>430621531.965694</v>
      </c>
      <c r="CB44" t="n">
        <v>70026901.3167566</v>
      </c>
      <c r="CC44" t="n">
        <v>0</v>
      </c>
      <c r="CD44" t="n">
        <v>0</v>
      </c>
      <c r="CE44" t="n">
        <v>7644529.36705395</v>
      </c>
      <c r="CF44" t="n">
        <v>342845.559492116</v>
      </c>
      <c r="CG44" t="n">
        <v>0</v>
      </c>
      <c r="CH44" t="n">
        <v>0</v>
      </c>
      <c r="CI44" t="n">
        <v>0</v>
      </c>
      <c r="CJ44" t="n">
        <v>426240.425314523</v>
      </c>
      <c r="CK44" t="n">
        <v>0</v>
      </c>
      <c r="CL44" t="n">
        <v>0</v>
      </c>
      <c r="CM44" t="n">
        <v>5159117.17869592</v>
      </c>
      <c r="CN44" t="n">
        <v>474638.780440024</v>
      </c>
    </row>
    <row r="45">
      <c r="A45" t="s">
        <v>156</v>
      </c>
      <c r="B45" t="n">
        <v>0</v>
      </c>
      <c r="C45" t="n">
        <v>6713.959368477</v>
      </c>
      <c r="D45" t="n">
        <v>107828.396766222</v>
      </c>
      <c r="E45" t="n">
        <v>50885.4559555246</v>
      </c>
      <c r="F45" t="n">
        <v>10659057.6260108</v>
      </c>
      <c r="G45" t="n">
        <v>14066069.5546074</v>
      </c>
      <c r="H45" t="n">
        <v>4938913.11168686</v>
      </c>
      <c r="I45" t="n">
        <v>352639.582911571</v>
      </c>
      <c r="J45" t="n">
        <v>1818914.2023806</v>
      </c>
      <c r="K45" t="n">
        <v>527579.253437552</v>
      </c>
      <c r="L45" t="n">
        <v>3515922.76056719</v>
      </c>
      <c r="M45" t="n">
        <v>2854097.03676056</v>
      </c>
      <c r="N45" t="n">
        <v>59014.4727376651</v>
      </c>
      <c r="O45" t="n">
        <v>77513.6502894632</v>
      </c>
      <c r="P45" t="n">
        <v>649456.276469315</v>
      </c>
      <c r="Q45" t="n">
        <v>287050.937590339</v>
      </c>
      <c r="R45" t="n">
        <v>193996.840562985</v>
      </c>
      <c r="S45" t="n">
        <v>278166.779848105</v>
      </c>
      <c r="T45" t="n">
        <v>1605300.47255362</v>
      </c>
      <c r="U45" t="n">
        <v>18725.2670538853</v>
      </c>
      <c r="V45" t="n">
        <v>6331.21946304806</v>
      </c>
      <c r="W45" t="n">
        <v>1133713.88482947</v>
      </c>
      <c r="X45" t="n">
        <v>333322.894586618</v>
      </c>
      <c r="Y45" t="n">
        <v>933807.680219765</v>
      </c>
      <c r="Z45" t="n">
        <v>343295.808404306</v>
      </c>
      <c r="AA45" t="n">
        <v>2724437.21176719</v>
      </c>
      <c r="AB45" t="n">
        <v>12862658.9306536</v>
      </c>
      <c r="AC45" t="n">
        <v>1463136.56085471</v>
      </c>
      <c r="AD45" t="n">
        <v>43718.056661365</v>
      </c>
      <c r="AE45" t="n">
        <v>443848.813478895</v>
      </c>
      <c r="AF45" t="n">
        <v>1263335.6468127</v>
      </c>
      <c r="AG45" t="n">
        <v>7678.48227663583</v>
      </c>
      <c r="AH45" t="n">
        <v>6195561.42554021</v>
      </c>
      <c r="AI45" t="n">
        <v>0</v>
      </c>
      <c r="AJ45" t="n">
        <v>0</v>
      </c>
      <c r="AK45" t="n">
        <v>0</v>
      </c>
      <c r="AL45" t="n">
        <v>502002.10748156</v>
      </c>
      <c r="AM45" t="n">
        <v>1310837.21608466</v>
      </c>
      <c r="AN45" t="n">
        <v>60490.6637590296</v>
      </c>
      <c r="AO45" t="n">
        <v>1752224.06462903</v>
      </c>
      <c r="AP45" t="n">
        <v>193446.270258056</v>
      </c>
      <c r="AQ45" t="n">
        <v>4420069.82090201</v>
      </c>
      <c r="AR45" t="n">
        <v>2086349.54168776</v>
      </c>
      <c r="AS45" t="n">
        <v>23381533.8425514</v>
      </c>
      <c r="AT45" t="n">
        <v>4480744.72278966</v>
      </c>
      <c r="AU45" t="n">
        <v>6788502.32104365</v>
      </c>
      <c r="AV45" t="n">
        <v>148148.148148148</v>
      </c>
      <c r="AW45" t="n">
        <v>56008.9415082155</v>
      </c>
      <c r="AX45" t="n">
        <v>33513463.2921488</v>
      </c>
      <c r="AY45" t="n">
        <v>8231959.06517277</v>
      </c>
      <c r="AZ45" t="n">
        <v>4055178.68898225</v>
      </c>
      <c r="BA45" t="n">
        <v>7428943.65794928</v>
      </c>
      <c r="BB45" t="n">
        <v>29058819.9139521</v>
      </c>
      <c r="BC45" t="n">
        <v>1744657.06071768</v>
      </c>
      <c r="BD45" t="n">
        <v>34532446.6257669</v>
      </c>
      <c r="BE45" t="n">
        <v>1786873.06311526</v>
      </c>
      <c r="BF45" t="n">
        <v>2486708.17932581</v>
      </c>
      <c r="BG45" t="n">
        <v>23376747.6887455</v>
      </c>
      <c r="BH45" t="n">
        <v>32269094.3516988</v>
      </c>
      <c r="BI45" t="n">
        <v>5899475.43629577</v>
      </c>
      <c r="BJ45" t="n">
        <v>2588354.29940642</v>
      </c>
      <c r="BK45" t="n">
        <v>11238811.7487136</v>
      </c>
      <c r="BL45" t="n">
        <v>649010.941236142</v>
      </c>
      <c r="BM45" t="n">
        <v>602134.855101842</v>
      </c>
      <c r="BN45" t="n">
        <v>13487801.2656523</v>
      </c>
      <c r="BO45" t="n">
        <v>3381513.98724323</v>
      </c>
      <c r="BP45" t="n">
        <v>497151.370141303</v>
      </c>
      <c r="BQ45" t="n">
        <v>94659.9356408568</v>
      </c>
      <c r="BR45" t="n">
        <v>260135.552680568</v>
      </c>
      <c r="BS45" t="n">
        <v>244282297.86956</v>
      </c>
      <c r="BT45" t="n">
        <v>8177727.97134338</v>
      </c>
      <c r="BU45" t="n">
        <v>428863647.486944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1330081.97907671</v>
      </c>
      <c r="C46" t="n">
        <v>9285.44378855546</v>
      </c>
      <c r="D46" t="n">
        <v>193805816.636336</v>
      </c>
      <c r="E46" t="n">
        <v>202679.635546736</v>
      </c>
      <c r="F46" t="n">
        <v>944970.320306557</v>
      </c>
      <c r="G46" t="n">
        <v>26765141.6196505</v>
      </c>
      <c r="H46" t="n">
        <v>1075839.59841954</v>
      </c>
      <c r="I46" t="n">
        <v>19812.9156105456</v>
      </c>
      <c r="J46" t="n">
        <v>48546.0613151217</v>
      </c>
      <c r="K46" t="n">
        <v>27468.9917027811</v>
      </c>
      <c r="L46" t="n">
        <v>97739.5189549136</v>
      </c>
      <c r="M46" t="n">
        <v>90222.4536669128</v>
      </c>
      <c r="N46" t="n">
        <v>2040.4337412647</v>
      </c>
      <c r="O46" t="n">
        <v>10720.1816857558</v>
      </c>
      <c r="P46" t="n">
        <v>10140.9869855682</v>
      </c>
      <c r="Q46" t="n">
        <v>6268.31164075141</v>
      </c>
      <c r="R46" t="n">
        <v>5589.55683270929</v>
      </c>
      <c r="S46" t="n">
        <v>14533.3464728735</v>
      </c>
      <c r="T46" t="n">
        <v>105531.301035187</v>
      </c>
      <c r="U46" t="n">
        <v>4603.93782531223</v>
      </c>
      <c r="V46" t="n">
        <v>0</v>
      </c>
      <c r="W46" t="n">
        <v>124575.476091304</v>
      </c>
      <c r="X46" t="n">
        <v>10776.3299736944</v>
      </c>
      <c r="Y46" t="n">
        <v>98168278.6218563</v>
      </c>
      <c r="Z46" t="n">
        <v>319608.030361986</v>
      </c>
      <c r="AA46" t="n">
        <v>93612.7223963987</v>
      </c>
      <c r="AB46" t="n">
        <v>208361.347135079</v>
      </c>
      <c r="AC46" t="n">
        <v>53514.7409153517</v>
      </c>
      <c r="AD46" t="n">
        <v>18138.6959048311</v>
      </c>
      <c r="AE46" t="n">
        <v>21167.0834470927</v>
      </c>
      <c r="AF46" t="n">
        <v>79738.0023876659</v>
      </c>
      <c r="AG46" t="n">
        <v>1170256.1638555</v>
      </c>
      <c r="AH46" t="n">
        <v>513018.261832119</v>
      </c>
      <c r="AI46" t="n">
        <v>281.609502972487</v>
      </c>
      <c r="AJ46" t="n">
        <v>1254027.22632943</v>
      </c>
      <c r="AK46" t="n">
        <v>14049.96913194</v>
      </c>
      <c r="AL46" t="n">
        <v>173567.938638485</v>
      </c>
      <c r="AM46" t="n">
        <v>425454.038091266</v>
      </c>
      <c r="AN46" t="n">
        <v>206358.694454325</v>
      </c>
      <c r="AO46" t="n">
        <v>15386.2590095003</v>
      </c>
      <c r="AP46" t="n">
        <v>681.623658913796</v>
      </c>
      <c r="AQ46" t="n">
        <v>19136.2901238966</v>
      </c>
      <c r="AR46" t="n">
        <v>5191.78295454858</v>
      </c>
      <c r="AS46" t="n">
        <v>129625.939771311</v>
      </c>
      <c r="AT46" t="n">
        <v>44118.0935919411</v>
      </c>
      <c r="AU46" t="n">
        <v>3013.97660149492</v>
      </c>
      <c r="AV46" t="n">
        <v>2521.71971676153</v>
      </c>
      <c r="AW46" t="n">
        <v>10328.0910609979</v>
      </c>
      <c r="AX46" t="n">
        <v>130679.635704301</v>
      </c>
      <c r="AY46" t="n">
        <v>75441.7503151838</v>
      </c>
      <c r="AZ46" t="n">
        <v>1730.96761347617</v>
      </c>
      <c r="BA46" t="n">
        <v>20195.1274804465</v>
      </c>
      <c r="BB46" t="n">
        <v>50288.0237723838</v>
      </c>
      <c r="BC46" t="n">
        <v>29358.1211836245</v>
      </c>
      <c r="BD46" t="n">
        <v>348070.926894842</v>
      </c>
      <c r="BE46" t="n">
        <v>53593.4939620713</v>
      </c>
      <c r="BF46" t="n">
        <v>35373.923791376</v>
      </c>
      <c r="BG46" t="n">
        <v>51481.1692668308</v>
      </c>
      <c r="BH46" t="n">
        <v>76242.8195084746</v>
      </c>
      <c r="BI46" t="n">
        <v>35890.064088043</v>
      </c>
      <c r="BJ46" t="n">
        <v>38816.1177703059</v>
      </c>
      <c r="BK46" t="n">
        <v>6282.67592087426</v>
      </c>
      <c r="BL46" t="n">
        <v>31563.4568189619</v>
      </c>
      <c r="BM46" t="n">
        <v>21288.4969724187</v>
      </c>
      <c r="BN46" t="n">
        <v>204344.191191645</v>
      </c>
      <c r="BO46" t="n">
        <v>124182.310612433</v>
      </c>
      <c r="BP46" t="n">
        <v>632075.604319973</v>
      </c>
      <c r="BQ46" t="n">
        <v>78549.1358987034</v>
      </c>
      <c r="BR46" t="n">
        <v>1733743.65846602</v>
      </c>
      <c r="BS46" t="n">
        <v>5338516.46545389</v>
      </c>
      <c r="BT46" t="n">
        <v>14734027.599815</v>
      </c>
      <c r="BU46" t="n">
        <v>7011922.27343138</v>
      </c>
      <c r="BV46" t="n">
        <v>0</v>
      </c>
      <c r="BW46" t="n">
        <v>0</v>
      </c>
      <c r="BX46" t="n">
        <v>0</v>
      </c>
      <c r="BY46" t="n">
        <v>0</v>
      </c>
      <c r="BZ46" t="n">
        <v>237524505.122626</v>
      </c>
      <c r="CA46" t="n">
        <v>1084915726.94238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248416.496633649</v>
      </c>
      <c r="D47" t="n">
        <v>2264396.33209067</v>
      </c>
      <c r="E47" t="n">
        <v>5383681.2400945</v>
      </c>
      <c r="F47" t="n">
        <v>546618.339795426</v>
      </c>
      <c r="G47" t="n">
        <v>114440579.19951</v>
      </c>
      <c r="H47" t="n">
        <v>0</v>
      </c>
      <c r="I47" t="n">
        <v>3592515.75091163</v>
      </c>
      <c r="J47" t="n">
        <v>13386570.3140116</v>
      </c>
      <c r="K47" t="n">
        <v>831713.176007436</v>
      </c>
      <c r="L47" t="n">
        <v>1572447.86779136</v>
      </c>
      <c r="M47" t="n">
        <v>387341.740703218</v>
      </c>
      <c r="N47" t="n">
        <v>0</v>
      </c>
      <c r="O47" t="n">
        <v>22146.7572255609</v>
      </c>
      <c r="P47" t="n">
        <v>57613.0567835683</v>
      </c>
      <c r="Q47" t="n">
        <v>0</v>
      </c>
      <c r="R47" t="n">
        <v>969984.202814923</v>
      </c>
      <c r="S47" t="n">
        <v>553242.817697898</v>
      </c>
      <c r="T47" t="n">
        <v>3656917.66841812</v>
      </c>
      <c r="U47" t="n">
        <v>118593.35800794</v>
      </c>
      <c r="V47" t="n">
        <v>0</v>
      </c>
      <c r="W47" t="n">
        <v>8774634.86203632</v>
      </c>
      <c r="X47" t="n">
        <v>1515104.06630281</v>
      </c>
      <c r="Y47" t="n">
        <v>16590649.7852378</v>
      </c>
      <c r="Z47" t="n">
        <v>524712.292520402</v>
      </c>
      <c r="AA47" t="n">
        <v>9053254.08879158</v>
      </c>
      <c r="AB47" t="n">
        <v>505685553.967024</v>
      </c>
      <c r="AC47" t="n">
        <v>22950687.5413408</v>
      </c>
      <c r="AD47" t="n">
        <v>11738298.2135765</v>
      </c>
      <c r="AE47" t="n">
        <v>7836227.32762739</v>
      </c>
      <c r="AF47" t="n">
        <v>109537135.712572</v>
      </c>
      <c r="AG47" t="n">
        <v>216494807.789747</v>
      </c>
      <c r="AH47" t="n">
        <v>24644128.0907634</v>
      </c>
      <c r="AI47" t="n">
        <v>51266.1898318191</v>
      </c>
      <c r="AJ47" t="n">
        <v>643628509.193642</v>
      </c>
      <c r="AK47" t="n">
        <v>1224160.77738516</v>
      </c>
      <c r="AL47" t="n">
        <v>114707481.559536</v>
      </c>
      <c r="AM47" t="n">
        <v>218091488.962802</v>
      </c>
      <c r="AN47" t="n">
        <v>57264495.0252147</v>
      </c>
      <c r="AO47" t="n">
        <v>8997531.50646811</v>
      </c>
      <c r="AP47" t="n">
        <v>1320856.0618894</v>
      </c>
      <c r="AQ47" t="n">
        <v>968571.821623745</v>
      </c>
      <c r="AR47" t="n">
        <v>6201295.00453214</v>
      </c>
      <c r="AS47" t="n">
        <v>5603505.52433559</v>
      </c>
      <c r="AT47" t="n">
        <v>10909852.7040103</v>
      </c>
      <c r="AU47" t="n">
        <v>370480.062464662</v>
      </c>
      <c r="AV47" t="n">
        <v>0</v>
      </c>
      <c r="AW47" t="n">
        <v>0</v>
      </c>
      <c r="AX47" t="n">
        <v>0</v>
      </c>
      <c r="AY47" t="n">
        <v>35200716.5246695</v>
      </c>
      <c r="AZ47" t="n">
        <v>4130274.59063007</v>
      </c>
      <c r="BA47" t="n">
        <v>2978270.2052139</v>
      </c>
      <c r="BB47" t="n">
        <v>53693669.3300553</v>
      </c>
      <c r="BC47" t="n">
        <v>3767928.55698724</v>
      </c>
      <c r="BD47" t="n">
        <v>27313799.5910021</v>
      </c>
      <c r="BE47" t="n">
        <v>12185182.5749788</v>
      </c>
      <c r="BF47" t="n">
        <v>1799903.06313106</v>
      </c>
      <c r="BG47" t="n">
        <v>20436042.1673906</v>
      </c>
      <c r="BH47" t="n">
        <v>47115729.2198441</v>
      </c>
      <c r="BI47" t="n">
        <v>3200595.17804903</v>
      </c>
      <c r="BJ47" t="n">
        <v>10189695.9919403</v>
      </c>
      <c r="BK47" t="n">
        <v>2639349.0808418</v>
      </c>
      <c r="BL47" t="n">
        <v>4543076.588653</v>
      </c>
      <c r="BM47" t="n">
        <v>525170.249562509</v>
      </c>
      <c r="BN47" t="n">
        <v>9983928.01041246</v>
      </c>
      <c r="BO47" t="n">
        <v>10583947.7340833</v>
      </c>
      <c r="BP47" t="n">
        <v>34887.8154485125</v>
      </c>
      <c r="BQ47" t="n">
        <v>3448326.22691693</v>
      </c>
      <c r="BR47" t="n">
        <v>15930205.7498672</v>
      </c>
      <c r="BS47" t="n">
        <v>11607336.9524403</v>
      </c>
      <c r="BT47" t="n">
        <v>26541324.2146855</v>
      </c>
      <c r="BU47" t="n">
        <v>138297978.713691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86258449.2777005</v>
      </c>
      <c r="CB47" t="n">
        <v>27731075.6524824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5353654.91529925</v>
      </c>
      <c r="C48" t="n">
        <v>0</v>
      </c>
      <c r="D48" t="n">
        <v>254980.411693833</v>
      </c>
      <c r="E48" t="n">
        <v>589608.071710466</v>
      </c>
      <c r="F48" t="n">
        <v>0</v>
      </c>
      <c r="G48" t="n">
        <v>3593882.01236492</v>
      </c>
      <c r="H48" t="n">
        <v>0</v>
      </c>
      <c r="I48" t="n">
        <v>2558107.52509688</v>
      </c>
      <c r="J48" t="n">
        <v>10784348.3230457</v>
      </c>
      <c r="K48" t="n">
        <v>168787.505036333</v>
      </c>
      <c r="L48" t="n">
        <v>4150065.28485153</v>
      </c>
      <c r="M48" t="n">
        <v>3511110.96871093</v>
      </c>
      <c r="N48" t="n">
        <v>422528.685401586</v>
      </c>
      <c r="O48" t="n">
        <v>183295.523771438</v>
      </c>
      <c r="P48" t="n">
        <v>185777.520471594</v>
      </c>
      <c r="Q48" t="n">
        <v>247101.786403657</v>
      </c>
      <c r="R48" t="n">
        <v>159285.351892714</v>
      </c>
      <c r="S48" t="n">
        <v>571291.833423733</v>
      </c>
      <c r="T48" t="n">
        <v>10522785.6393616</v>
      </c>
      <c r="U48" t="n">
        <v>747829.802560041</v>
      </c>
      <c r="V48" t="n">
        <v>351826.785431404</v>
      </c>
      <c r="W48" t="n">
        <v>15687423.8705991</v>
      </c>
      <c r="X48" t="n">
        <v>1098709.06167281</v>
      </c>
      <c r="Y48" t="n">
        <v>7992322.98915753</v>
      </c>
      <c r="Z48" t="n">
        <v>2936953.49874732</v>
      </c>
      <c r="AA48" t="n">
        <v>20667832.0285832</v>
      </c>
      <c r="AB48" t="n">
        <v>88825538.3795753</v>
      </c>
      <c r="AC48" t="n">
        <v>34508053.2376376</v>
      </c>
      <c r="AD48" t="n">
        <v>17517085.6254735</v>
      </c>
      <c r="AE48" t="n">
        <v>24453623.9506085</v>
      </c>
      <c r="AF48" t="n">
        <v>78995503.9418903</v>
      </c>
      <c r="AG48" t="n">
        <v>466034.991929621</v>
      </c>
      <c r="AH48" t="n">
        <v>7776.30773314333</v>
      </c>
      <c r="AI48" t="n">
        <v>4561.05194971759</v>
      </c>
      <c r="AJ48" t="n">
        <v>32549673.8536428</v>
      </c>
      <c r="AK48" t="n">
        <v>108102.962890545</v>
      </c>
      <c r="AL48" t="n">
        <v>29182331.0798236</v>
      </c>
      <c r="AM48" t="n">
        <v>3246045.65312679</v>
      </c>
      <c r="AN48" t="n">
        <v>27448072.245054</v>
      </c>
      <c r="AO48" t="n">
        <v>1172884.61177273</v>
      </c>
      <c r="AP48" t="n">
        <v>138397.418038325</v>
      </c>
      <c r="AQ48" t="n">
        <v>1148214.20280847</v>
      </c>
      <c r="AR48" t="n">
        <v>782996.962338287</v>
      </c>
      <c r="AS48" t="n">
        <v>0</v>
      </c>
      <c r="AT48" t="n">
        <v>0</v>
      </c>
      <c r="AU48" t="n">
        <v>38650.1205856372</v>
      </c>
      <c r="AV48" t="n">
        <v>0</v>
      </c>
      <c r="AW48" t="n">
        <v>3678.98938204742</v>
      </c>
      <c r="AX48" t="n">
        <v>756752.058120978</v>
      </c>
      <c r="AY48" t="n">
        <v>2338787.30382871</v>
      </c>
      <c r="AZ48" t="n">
        <v>439013.031577826</v>
      </c>
      <c r="BA48" t="n">
        <v>298540.442171784</v>
      </c>
      <c r="BB48" t="n">
        <v>3033300.96014585</v>
      </c>
      <c r="BC48" t="n">
        <v>28758.7118037761</v>
      </c>
      <c r="BD48" t="n">
        <v>50267606.2266717</v>
      </c>
      <c r="BE48" t="n">
        <v>910694.358323178</v>
      </c>
      <c r="BF48" t="n">
        <v>347216.922348333</v>
      </c>
      <c r="BG48" t="n">
        <v>2593022.51520734</v>
      </c>
      <c r="BH48" t="n">
        <v>5738893.73541232</v>
      </c>
      <c r="BI48" t="n">
        <v>610245.341999779</v>
      </c>
      <c r="BJ48" t="n">
        <v>771226.210057157</v>
      </c>
      <c r="BK48" t="n">
        <v>451173.581839435</v>
      </c>
      <c r="BL48" t="n">
        <v>348541.688504445</v>
      </c>
      <c r="BM48" t="n">
        <v>1049160.35690886</v>
      </c>
      <c r="BN48" t="n">
        <v>4275883.25129836</v>
      </c>
      <c r="BO48" t="n">
        <v>2680466.22561584</v>
      </c>
      <c r="BP48" t="n">
        <v>1498727.56096843</v>
      </c>
      <c r="BQ48" t="n">
        <v>6827154.23372997</v>
      </c>
      <c r="BR48" t="n">
        <v>0</v>
      </c>
      <c r="BS48" t="n">
        <v>32988507.3073574</v>
      </c>
      <c r="BT48" t="n">
        <v>352809.363930275</v>
      </c>
      <c r="BU48" t="n">
        <v>921547.805506176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1722627.18510798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392477.110723244</v>
      </c>
      <c r="C49" t="n">
        <v>0</v>
      </c>
      <c r="D49" t="n">
        <v>755542.563931353</v>
      </c>
      <c r="E49" t="n">
        <v>2657.9455403214</v>
      </c>
      <c r="F49" t="n">
        <v>246777.321961611</v>
      </c>
      <c r="G49" t="n">
        <v>1135234.27220869</v>
      </c>
      <c r="H49" t="n">
        <v>1974621.58959711</v>
      </c>
      <c r="I49" t="n">
        <v>34290.8353371419</v>
      </c>
      <c r="J49" t="n">
        <v>4167.06020332984</v>
      </c>
      <c r="K49" t="n">
        <v>27280.2116966397</v>
      </c>
      <c r="L49" t="n">
        <v>439028.856844384</v>
      </c>
      <c r="M49" t="n">
        <v>237772.183910631</v>
      </c>
      <c r="N49" t="n">
        <v>31890.2355028812</v>
      </c>
      <c r="O49" t="n">
        <v>2892.02845365629</v>
      </c>
      <c r="P49" t="n">
        <v>43538.4239397087</v>
      </c>
      <c r="Q49" t="n">
        <v>324458.444752507</v>
      </c>
      <c r="R49" t="n">
        <v>12485.9429386312</v>
      </c>
      <c r="S49" t="n">
        <v>27976.0853639303</v>
      </c>
      <c r="T49" t="n">
        <v>22239.2120918989</v>
      </c>
      <c r="U49" t="n">
        <v>0</v>
      </c>
      <c r="V49" t="n">
        <v>0</v>
      </c>
      <c r="W49" t="n">
        <v>28392.3315439063</v>
      </c>
      <c r="X49" t="n">
        <v>53880.4723936934</v>
      </c>
      <c r="Y49" t="n">
        <v>56210.4712496017</v>
      </c>
      <c r="Z49" t="n">
        <v>29636.7343965936</v>
      </c>
      <c r="AA49" t="n">
        <v>35356.0164018559</v>
      </c>
      <c r="AB49" t="n">
        <v>8372191.11242936</v>
      </c>
      <c r="AC49" t="n">
        <v>1524474.46132804</v>
      </c>
      <c r="AD49" t="n">
        <v>168387.741521737</v>
      </c>
      <c r="AE49" t="n">
        <v>1033704.63135885</v>
      </c>
      <c r="AF49" t="n">
        <v>2020633.17537294</v>
      </c>
      <c r="AG49" t="n">
        <v>43775.4152928463</v>
      </c>
      <c r="AH49" t="n">
        <v>398420.125384622</v>
      </c>
      <c r="AI49" t="n">
        <v>0</v>
      </c>
      <c r="AJ49" t="n">
        <v>142559.548928009</v>
      </c>
      <c r="AK49" t="n">
        <v>6587.67028839757</v>
      </c>
      <c r="AL49" t="n">
        <v>0</v>
      </c>
      <c r="AM49" t="n">
        <v>933548.105582178</v>
      </c>
      <c r="AN49" t="n">
        <v>389171.788694556</v>
      </c>
      <c r="AO49" t="n">
        <v>61877453.8971913</v>
      </c>
      <c r="AP49" t="n">
        <v>24613.2849497485</v>
      </c>
      <c r="AQ49" t="n">
        <v>1331427.49085552</v>
      </c>
      <c r="AR49" t="n">
        <v>1135537.25576495</v>
      </c>
      <c r="AS49" t="n">
        <v>972363.681117471</v>
      </c>
      <c r="AT49" t="n">
        <v>720298.325194083</v>
      </c>
      <c r="AU49" t="n">
        <v>945805.809123638</v>
      </c>
      <c r="AV49" t="n">
        <v>13737.9198862259</v>
      </c>
      <c r="AW49" t="n">
        <v>0</v>
      </c>
      <c r="AX49" t="n">
        <v>1081797.66032845</v>
      </c>
      <c r="AY49" t="n">
        <v>1661928.3991975</v>
      </c>
      <c r="AZ49" t="n">
        <v>2165100.42109384</v>
      </c>
      <c r="BA49" t="n">
        <v>940698.504145504</v>
      </c>
      <c r="BB49" t="n">
        <v>8207565.84840674</v>
      </c>
      <c r="BC49" t="n">
        <v>1017395.40362053</v>
      </c>
      <c r="BD49" t="n">
        <v>7635419.29547764</v>
      </c>
      <c r="BE49" t="n">
        <v>59333.2804168575</v>
      </c>
      <c r="BF49" t="n">
        <v>948622.797203133</v>
      </c>
      <c r="BG49" t="n">
        <v>4780406.74644654</v>
      </c>
      <c r="BH49" t="n">
        <v>5500572.21796363</v>
      </c>
      <c r="BI49" t="n">
        <v>329394.59216388</v>
      </c>
      <c r="BJ49" t="n">
        <v>2453174.60785721</v>
      </c>
      <c r="BK49" t="n">
        <v>74136.3770055354</v>
      </c>
      <c r="BL49" t="n">
        <v>155188.67304043</v>
      </c>
      <c r="BM49" t="n">
        <v>184220.949501658</v>
      </c>
      <c r="BN49" t="n">
        <v>523160.192387635</v>
      </c>
      <c r="BO49" t="n">
        <v>1562610.37887091</v>
      </c>
      <c r="BP49" t="n">
        <v>154118.393205891</v>
      </c>
      <c r="BQ49" t="n">
        <v>4453818.697288</v>
      </c>
      <c r="BR49" t="n">
        <v>127748.175321249</v>
      </c>
      <c r="BS49" t="n">
        <v>38755718.3724632</v>
      </c>
      <c r="BT49" t="n">
        <v>759841.644331128</v>
      </c>
      <c r="BU49" t="n">
        <v>258487339.248864</v>
      </c>
      <c r="BV49" t="n">
        <v>0</v>
      </c>
      <c r="BW49" t="n">
        <v>0</v>
      </c>
      <c r="BX49" t="n">
        <v>209742829.117608</v>
      </c>
      <c r="BY49" t="n">
        <v>0</v>
      </c>
      <c r="BZ49" t="n">
        <v>2012680.94372185</v>
      </c>
      <c r="CA49" t="n">
        <v>258041857.197098</v>
      </c>
      <c r="CB49" t="n">
        <v>-40690161.8513168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28851426.165703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91619.3239433651</v>
      </c>
      <c r="AC50" t="n">
        <v>668826.880743175</v>
      </c>
      <c r="AD50" t="n">
        <v>343107.24525086</v>
      </c>
      <c r="AE50" t="n">
        <v>0</v>
      </c>
      <c r="AF50" t="n">
        <v>182953.355926905</v>
      </c>
      <c r="AG50" t="n">
        <v>16039.5427280961</v>
      </c>
      <c r="AH50" t="n">
        <v>0</v>
      </c>
      <c r="AI50" t="n">
        <v>0</v>
      </c>
      <c r="AJ50" t="n">
        <v>4076.56946839985</v>
      </c>
      <c r="AK50" t="n">
        <v>0</v>
      </c>
      <c r="AL50" t="n">
        <v>1157398.08299592</v>
      </c>
      <c r="AM50" t="n">
        <v>22899.7461291226</v>
      </c>
      <c r="AN50" t="n">
        <v>0</v>
      </c>
      <c r="AO50" t="n">
        <v>235948.208434983</v>
      </c>
      <c r="AP50" t="n">
        <v>11637311.0272301</v>
      </c>
      <c r="AQ50" t="n">
        <v>84640446.7891727</v>
      </c>
      <c r="AR50" t="n">
        <v>82652.0824609955</v>
      </c>
      <c r="AS50" t="n">
        <v>47255.9604189941</v>
      </c>
      <c r="AT50" t="n">
        <v>16359.1169604316</v>
      </c>
      <c r="AU50" t="n">
        <v>0</v>
      </c>
      <c r="AV50" t="n">
        <v>0</v>
      </c>
      <c r="AW50" t="n">
        <v>0</v>
      </c>
      <c r="AX50" t="n">
        <v>66846.0964061994</v>
      </c>
      <c r="AY50" t="n">
        <v>822830.249647477</v>
      </c>
      <c r="AZ50" t="n">
        <v>13072.2873760502</v>
      </c>
      <c r="BA50" t="n">
        <v>28055.5388654984</v>
      </c>
      <c r="BB50" t="n">
        <v>3410446.31126489</v>
      </c>
      <c r="BC50" t="n">
        <v>400380.970097591</v>
      </c>
      <c r="BD50" t="n">
        <v>130066.217787935</v>
      </c>
      <c r="BE50" t="n">
        <v>0</v>
      </c>
      <c r="BF50" t="n">
        <v>867954.576094321</v>
      </c>
      <c r="BG50" t="n">
        <v>109604.756699898</v>
      </c>
      <c r="BH50" t="n">
        <v>41187.970602356</v>
      </c>
      <c r="BI50" t="n">
        <v>2041080.42812085</v>
      </c>
      <c r="BJ50" t="n">
        <v>2321902.74560146</v>
      </c>
      <c r="BK50" t="n">
        <v>347069.037580479</v>
      </c>
      <c r="BL50" t="n">
        <v>121719.508302702</v>
      </c>
      <c r="BM50" t="n">
        <v>1175195.86591252</v>
      </c>
      <c r="BN50" t="n">
        <v>8903710.75838239</v>
      </c>
      <c r="BO50" t="n">
        <v>610076.219096647</v>
      </c>
      <c r="BP50" t="n">
        <v>62022.9336617252</v>
      </c>
      <c r="BQ50" t="n">
        <v>2268241.05107449</v>
      </c>
      <c r="BR50" t="n">
        <v>128003.850313107</v>
      </c>
      <c r="BS50" t="n">
        <v>1534104.70653344</v>
      </c>
      <c r="BT50" t="n">
        <v>0</v>
      </c>
      <c r="BU50" t="n">
        <v>41006799.4514168</v>
      </c>
      <c r="BV50" t="n">
        <v>0</v>
      </c>
      <c r="BW50" t="n">
        <v>0</v>
      </c>
      <c r="BX50" t="n">
        <v>8523755.04251166</v>
      </c>
      <c r="BY50" t="n">
        <v>0</v>
      </c>
      <c r="BZ50" t="n">
        <v>-118824.9217807</v>
      </c>
      <c r="CA50" t="n">
        <v>26334736.5106939</v>
      </c>
      <c r="CB50" t="n">
        <v>-67148468.1596009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11184036.2613132</v>
      </c>
      <c r="C51" t="n">
        <v>35425.076279148</v>
      </c>
      <c r="D51" t="n">
        <v>38687809.9819413</v>
      </c>
      <c r="E51" t="n">
        <v>1204362.88628477</v>
      </c>
      <c r="F51" t="n">
        <v>35845735.5754368</v>
      </c>
      <c r="G51" t="n">
        <v>14455700.5356382</v>
      </c>
      <c r="H51" t="n">
        <v>36595621.9130326</v>
      </c>
      <c r="I51" t="n">
        <v>1586530.74823173</v>
      </c>
      <c r="J51" t="n">
        <v>10479062.2449329</v>
      </c>
      <c r="K51" t="n">
        <v>1422251.53863571</v>
      </c>
      <c r="L51" t="n">
        <v>15758865.574633</v>
      </c>
      <c r="M51" t="n">
        <v>17015726.9577506</v>
      </c>
      <c r="N51" t="n">
        <v>615346.052180024</v>
      </c>
      <c r="O51" t="n">
        <v>605134.900628258</v>
      </c>
      <c r="P51" t="n">
        <v>1910766.59508364</v>
      </c>
      <c r="Q51" t="n">
        <v>3575765.76662294</v>
      </c>
      <c r="R51" t="n">
        <v>612327.159069766</v>
      </c>
      <c r="S51" t="n">
        <v>1099610.29591034</v>
      </c>
      <c r="T51" t="n">
        <v>8092045.26014251</v>
      </c>
      <c r="U51" t="n">
        <v>147416.945984863</v>
      </c>
      <c r="V51" t="n">
        <v>81127.9187533691</v>
      </c>
      <c r="W51" t="n">
        <v>4073745.50982831</v>
      </c>
      <c r="X51" t="n">
        <v>1461795.02272066</v>
      </c>
      <c r="Y51" t="n">
        <v>1478123.70404663</v>
      </c>
      <c r="Z51" t="n">
        <v>1165486.37138662</v>
      </c>
      <c r="AA51" t="n">
        <v>5841850.6637728</v>
      </c>
      <c r="AB51" t="n">
        <v>73329873.2202101</v>
      </c>
      <c r="AC51" t="n">
        <v>17107943.6178767</v>
      </c>
      <c r="AD51" t="n">
        <v>4250936.37011731</v>
      </c>
      <c r="AE51" t="n">
        <v>5076025.40723244</v>
      </c>
      <c r="AF51" t="n">
        <v>38584351.3532109</v>
      </c>
      <c r="AG51" t="n">
        <v>11345872.0628047</v>
      </c>
      <c r="AH51" t="n">
        <v>1546743.8708122</v>
      </c>
      <c r="AI51" t="n">
        <v>2457.65449943447</v>
      </c>
      <c r="AJ51" t="n">
        <v>15506386.7757473</v>
      </c>
      <c r="AK51" t="n">
        <v>1217022.57068417</v>
      </c>
      <c r="AL51" t="n">
        <v>159806056.747911</v>
      </c>
      <c r="AM51" t="n">
        <v>7396162.99806057</v>
      </c>
      <c r="AN51" t="n">
        <v>2690137.05738787</v>
      </c>
      <c r="AO51" t="n">
        <v>11850146.174092</v>
      </c>
      <c r="AP51" t="n">
        <v>998700.286976563</v>
      </c>
      <c r="AQ51" t="n">
        <v>544140507.02175</v>
      </c>
      <c r="AR51" t="n">
        <v>17154301.6721754</v>
      </c>
      <c r="AS51" t="n">
        <v>34069418.5894232</v>
      </c>
      <c r="AT51" t="n">
        <v>8573611.91124263</v>
      </c>
      <c r="AU51" t="n">
        <v>13256335.8964827</v>
      </c>
      <c r="AV51" t="n">
        <v>491770.430079484</v>
      </c>
      <c r="AW51" t="n">
        <v>91471.0180065881</v>
      </c>
      <c r="AX51" t="n">
        <v>40690512.0410393</v>
      </c>
      <c r="AY51" t="n">
        <v>13444026.1787391</v>
      </c>
      <c r="AZ51" t="n">
        <v>16514337.129075</v>
      </c>
      <c r="BA51" t="n">
        <v>5593522.8449938</v>
      </c>
      <c r="BB51" t="n">
        <v>47075933.1893141</v>
      </c>
      <c r="BC51" t="n">
        <v>9835415.90044957</v>
      </c>
      <c r="BD51" t="n">
        <v>96937967.1549109</v>
      </c>
      <c r="BE51" t="n">
        <v>5923010.7303066</v>
      </c>
      <c r="BF51" t="n">
        <v>7840285.91574932</v>
      </c>
      <c r="BG51" t="n">
        <v>41324880.3834875</v>
      </c>
      <c r="BH51" t="n">
        <v>19819126.4651825</v>
      </c>
      <c r="BI51" t="n">
        <v>8567585.22382357</v>
      </c>
      <c r="BJ51" t="n">
        <v>4671827.65931772</v>
      </c>
      <c r="BK51" t="n">
        <v>2893419.84520427</v>
      </c>
      <c r="BL51" t="n">
        <v>7633663.56894627</v>
      </c>
      <c r="BM51" t="n">
        <v>14076676.3275456</v>
      </c>
      <c r="BN51" t="n">
        <v>45871568.7430458</v>
      </c>
      <c r="BO51" t="n">
        <v>41396055.2292582</v>
      </c>
      <c r="BP51" t="n">
        <v>43753944.1622113</v>
      </c>
      <c r="BQ51" t="n">
        <v>93269319.7927883</v>
      </c>
      <c r="BR51" t="n">
        <v>19088190.3969745</v>
      </c>
      <c r="BS51" t="n">
        <v>767079542.779748</v>
      </c>
      <c r="BT51" t="n">
        <v>11406100.7670746</v>
      </c>
      <c r="BU51" t="n">
        <v>2332828381.79554</v>
      </c>
      <c r="BV51" t="n">
        <v>0</v>
      </c>
      <c r="BW51" t="n">
        <v>42179030.9868769</v>
      </c>
      <c r="BX51" t="n">
        <v>187835358.678408</v>
      </c>
      <c r="BY51" t="n">
        <v>0</v>
      </c>
      <c r="BZ51" t="n">
        <v>0</v>
      </c>
      <c r="CA51" t="n">
        <v>82695262.5502581</v>
      </c>
      <c r="CB51" t="n">
        <v>-1564337.83423843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1899687.33122521</v>
      </c>
      <c r="E52" t="n">
        <v>34480.1622554409</v>
      </c>
      <c r="F52" t="n">
        <v>671332.766070918</v>
      </c>
      <c r="G52" t="n">
        <v>22656440.8054946</v>
      </c>
      <c r="H52" t="n">
        <v>5555391.11266404</v>
      </c>
      <c r="I52" t="n">
        <v>1134921.20519623</v>
      </c>
      <c r="J52" t="n">
        <v>5907920.98368092</v>
      </c>
      <c r="K52" t="n">
        <v>1404621.78149339</v>
      </c>
      <c r="L52" t="n">
        <v>11282615.0127944</v>
      </c>
      <c r="M52" t="n">
        <v>12769947.8571944</v>
      </c>
      <c r="N52" t="n">
        <v>174116.212111289</v>
      </c>
      <c r="O52" t="n">
        <v>761500.202349198</v>
      </c>
      <c r="P52" t="n">
        <v>984756.733600588</v>
      </c>
      <c r="Q52" t="n">
        <v>3349874.39503752</v>
      </c>
      <c r="R52" t="n">
        <v>664044.879199028</v>
      </c>
      <c r="S52" t="n">
        <v>782169.42952531</v>
      </c>
      <c r="T52" t="n">
        <v>4238484.28357127</v>
      </c>
      <c r="U52" t="n">
        <v>85998.5198005485</v>
      </c>
      <c r="V52" t="n">
        <v>42900.5636800238</v>
      </c>
      <c r="W52" t="n">
        <v>4282770.57450474</v>
      </c>
      <c r="X52" t="n">
        <v>437055.226757764</v>
      </c>
      <c r="Y52" t="n">
        <v>1397325.87092871</v>
      </c>
      <c r="Z52" t="n">
        <v>571098.665057138</v>
      </c>
      <c r="AA52" t="n">
        <v>2585670.04501468</v>
      </c>
      <c r="AB52" t="n">
        <v>11675647.4520195</v>
      </c>
      <c r="AC52" t="n">
        <v>19435959.9717634</v>
      </c>
      <c r="AD52" t="n">
        <v>3884779.99770072</v>
      </c>
      <c r="AE52" t="n">
        <v>6961488.36327995</v>
      </c>
      <c r="AF52" t="n">
        <v>28908325.9470292</v>
      </c>
      <c r="AG52" t="n">
        <v>2153776.13224615</v>
      </c>
      <c r="AH52" t="n">
        <v>0</v>
      </c>
      <c r="AI52" t="n">
        <v>0</v>
      </c>
      <c r="AJ52" t="n">
        <v>821070.770919524</v>
      </c>
      <c r="AK52" t="n">
        <v>96012.0785845709</v>
      </c>
      <c r="AL52" t="n">
        <v>4464578.7001372</v>
      </c>
      <c r="AM52" t="n">
        <v>2374100.40011661</v>
      </c>
      <c r="AN52" t="n">
        <v>771788.164817936</v>
      </c>
      <c r="AO52" t="n">
        <v>9188871.23896297</v>
      </c>
      <c r="AP52" t="n">
        <v>99333.3160094639</v>
      </c>
      <c r="AQ52" t="n">
        <v>10051200.7333841</v>
      </c>
      <c r="AR52" t="n">
        <v>8481437.1154169</v>
      </c>
      <c r="AS52" t="n">
        <v>35446870.3835304</v>
      </c>
      <c r="AT52" t="n">
        <v>3926955.52597572</v>
      </c>
      <c r="AU52" t="n">
        <v>4850920.30847302</v>
      </c>
      <c r="AV52" t="n">
        <v>624365.328903285</v>
      </c>
      <c r="AW52" t="n">
        <v>3162.65449314027</v>
      </c>
      <c r="AX52" t="n">
        <v>2223020.21674202</v>
      </c>
      <c r="AY52" t="n">
        <v>3588368.61280868</v>
      </c>
      <c r="AZ52" t="n">
        <v>9294796.96771021</v>
      </c>
      <c r="BA52" t="n">
        <v>4626007.9071286</v>
      </c>
      <c r="BB52" t="n">
        <v>37697167.4498288</v>
      </c>
      <c r="BC52" t="n">
        <v>3722803.79166329</v>
      </c>
      <c r="BD52" t="n">
        <v>122237049.824146</v>
      </c>
      <c r="BE52" t="n">
        <v>4241808.47362041</v>
      </c>
      <c r="BF52" t="n">
        <v>8231063.90775874</v>
      </c>
      <c r="BG52" t="n">
        <v>6621798.58243604</v>
      </c>
      <c r="BH52" t="n">
        <v>12185145.3009198</v>
      </c>
      <c r="BI52" t="n">
        <v>1089802.93839124</v>
      </c>
      <c r="BJ52" t="n">
        <v>2424021.61788488</v>
      </c>
      <c r="BK52" t="n">
        <v>1869408.13789484</v>
      </c>
      <c r="BL52" t="n">
        <v>3625624.43403633</v>
      </c>
      <c r="BM52" t="n">
        <v>1689876.02580491</v>
      </c>
      <c r="BN52" t="n">
        <v>41681953.8735022</v>
      </c>
      <c r="BO52" t="n">
        <v>25742590.6538456</v>
      </c>
      <c r="BP52" t="n">
        <v>5342520.71383948</v>
      </c>
      <c r="BQ52" t="n">
        <v>20706896.5229963</v>
      </c>
      <c r="BR52" t="n">
        <v>2409006.34410253</v>
      </c>
      <c r="BS52" t="n">
        <v>160406257.460792</v>
      </c>
      <c r="BT52" t="n">
        <v>8276847.75923749</v>
      </c>
      <c r="BU52" t="n">
        <v>206824908.56228</v>
      </c>
      <c r="BV52" t="n">
        <v>0</v>
      </c>
      <c r="BW52" t="n">
        <v>0</v>
      </c>
      <c r="BX52" t="n">
        <v>41977510.5254954</v>
      </c>
      <c r="BY52" t="n">
        <v>0</v>
      </c>
      <c r="BZ52" t="n">
        <v>0</v>
      </c>
      <c r="CA52" t="n">
        <v>18691565.9145743</v>
      </c>
      <c r="CB52" t="n">
        <v>-10298907.9219924</v>
      </c>
      <c r="CC52" t="n">
        <v>0</v>
      </c>
      <c r="CD52" t="n">
        <v>0</v>
      </c>
      <c r="CE52" t="n">
        <v>0</v>
      </c>
      <c r="CF52" t="n">
        <v>6855724.64459383</v>
      </c>
      <c r="CG52" t="n">
        <v>0</v>
      </c>
      <c r="CH52" t="n">
        <v>0</v>
      </c>
      <c r="CI52" t="n">
        <v>0</v>
      </c>
      <c r="CJ52" t="n">
        <v>2390822.8776993</v>
      </c>
      <c r="CK52" t="n">
        <v>0</v>
      </c>
      <c r="CL52" t="n">
        <v>0</v>
      </c>
      <c r="CM52" t="n">
        <v>0</v>
      </c>
      <c r="CN52" t="n">
        <v>21996060.8414841</v>
      </c>
    </row>
    <row r="53">
      <c r="A53" t="s">
        <v>164</v>
      </c>
      <c r="B53" t="n">
        <v>14005920.8029101</v>
      </c>
      <c r="C53" t="n">
        <v>491329.104853595</v>
      </c>
      <c r="D53" t="n">
        <v>53214907.1524147</v>
      </c>
      <c r="E53" t="n">
        <v>1605605.98697119</v>
      </c>
      <c r="F53" t="n">
        <v>10614046.483468</v>
      </c>
      <c r="G53" t="n">
        <v>18331319.5406303</v>
      </c>
      <c r="H53" t="n">
        <v>14002466.7157648</v>
      </c>
      <c r="I53" t="n">
        <v>824972.502735751</v>
      </c>
      <c r="J53" t="n">
        <v>3484871.42393959</v>
      </c>
      <c r="K53" t="n">
        <v>1489314.3021284</v>
      </c>
      <c r="L53" t="n">
        <v>7370812.97677397</v>
      </c>
      <c r="M53" t="n">
        <v>9887472.4510687</v>
      </c>
      <c r="N53" t="n">
        <v>1689362.15769255</v>
      </c>
      <c r="O53" t="n">
        <v>1351491.18472183</v>
      </c>
      <c r="P53" t="n">
        <v>3685856.68170109</v>
      </c>
      <c r="Q53" t="n">
        <v>1301230.15159157</v>
      </c>
      <c r="R53" t="n">
        <v>426577.593873129</v>
      </c>
      <c r="S53" t="n">
        <v>1045274.73324769</v>
      </c>
      <c r="T53" t="n">
        <v>6702577.37060097</v>
      </c>
      <c r="U53" t="n">
        <v>172579.603069044</v>
      </c>
      <c r="V53" t="n">
        <v>566923.000725192</v>
      </c>
      <c r="W53" t="n">
        <v>3461759.41707821</v>
      </c>
      <c r="X53" t="n">
        <v>560896.736282382</v>
      </c>
      <c r="Y53" t="n">
        <v>4879984.37394951</v>
      </c>
      <c r="Z53" t="n">
        <v>2719779.80601986</v>
      </c>
      <c r="AA53" t="n">
        <v>6563031.30716318</v>
      </c>
      <c r="AB53" t="n">
        <v>62130611.3145273</v>
      </c>
      <c r="AC53" t="n">
        <v>10719680.6056817</v>
      </c>
      <c r="AD53" t="n">
        <v>3727728.61491809</v>
      </c>
      <c r="AE53" t="n">
        <v>8585780.78865927</v>
      </c>
      <c r="AF53" t="n">
        <v>19068574.6910302</v>
      </c>
      <c r="AG53" t="n">
        <v>2625261.68719229</v>
      </c>
      <c r="AH53" t="n">
        <v>25670098.0578089</v>
      </c>
      <c r="AI53" t="n">
        <v>2196.38781636739</v>
      </c>
      <c r="AJ53" t="n">
        <v>5337649.6119649</v>
      </c>
      <c r="AK53" t="n">
        <v>1119729.99988906</v>
      </c>
      <c r="AL53" t="n">
        <v>100229817.048242</v>
      </c>
      <c r="AM53" t="n">
        <v>3341803.71556985</v>
      </c>
      <c r="AN53" t="n">
        <v>738862.452908567</v>
      </c>
      <c r="AO53" t="n">
        <v>7181933.52668922</v>
      </c>
      <c r="AP53" t="n">
        <v>357528.435979339</v>
      </c>
      <c r="AQ53" t="n">
        <v>27348308.3349107</v>
      </c>
      <c r="AR53" t="n">
        <v>1141343.65697064</v>
      </c>
      <c r="AS53" t="n">
        <v>92496514.6819029</v>
      </c>
      <c r="AT53" t="n">
        <v>29610688.1582347</v>
      </c>
      <c r="AU53" t="n">
        <v>726221.890396712</v>
      </c>
      <c r="AV53" t="n">
        <v>384959.652165312</v>
      </c>
      <c r="AW53" t="n">
        <v>234255760.981955</v>
      </c>
      <c r="AX53" t="n">
        <v>51114248.4463289</v>
      </c>
      <c r="AY53" t="n">
        <v>22226437.6149614</v>
      </c>
      <c r="AZ53" t="n">
        <v>2720749.30098683</v>
      </c>
      <c r="BA53" t="n">
        <v>2188655.86476817</v>
      </c>
      <c r="BB53" t="n">
        <v>18486839.7379029</v>
      </c>
      <c r="BC53" t="n">
        <v>38462914.6318788</v>
      </c>
      <c r="BD53" t="n">
        <v>15199305.5113954</v>
      </c>
      <c r="BE53" t="n">
        <v>1586462.23382283</v>
      </c>
      <c r="BF53" t="n">
        <v>1984211.9179796</v>
      </c>
      <c r="BG53" t="n">
        <v>11295161.625438</v>
      </c>
      <c r="BH53" t="n">
        <v>13157066.4504216</v>
      </c>
      <c r="BI53" t="n">
        <v>2076726.11715985</v>
      </c>
      <c r="BJ53" t="n">
        <v>1898073.26126954</v>
      </c>
      <c r="BK53" t="n">
        <v>1019365.28635617</v>
      </c>
      <c r="BL53" t="n">
        <v>2949721.50861421</v>
      </c>
      <c r="BM53" t="n">
        <v>5754660.53310543</v>
      </c>
      <c r="BN53" t="n">
        <v>18046276.6120679</v>
      </c>
      <c r="BO53" t="n">
        <v>20997169.815546</v>
      </c>
      <c r="BP53" t="n">
        <v>0</v>
      </c>
      <c r="BQ53" t="n">
        <v>14110590.6445672</v>
      </c>
      <c r="BR53" t="n">
        <v>3705697.14855448</v>
      </c>
      <c r="BS53" t="n">
        <v>64721957.0781642</v>
      </c>
      <c r="BT53" t="n">
        <v>5907920.2150373</v>
      </c>
      <c r="BU53" t="n">
        <v>527771815.948903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349695796.603632</v>
      </c>
      <c r="CB53" t="n">
        <v>-68126782.2489163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1656720.50870115</v>
      </c>
      <c r="C54" t="n">
        <v>13359.0818993467</v>
      </c>
      <c r="D54" t="n">
        <v>75450523.3628924</v>
      </c>
      <c r="E54" t="n">
        <v>5615955.28550949</v>
      </c>
      <c r="F54" t="n">
        <v>178938174.781411</v>
      </c>
      <c r="G54" t="n">
        <v>2695921.56910478</v>
      </c>
      <c r="H54" t="n">
        <v>3286777.51435467</v>
      </c>
      <c r="I54" t="n">
        <v>45681.2255905808</v>
      </c>
      <c r="J54" t="n">
        <v>312180.683847614</v>
      </c>
      <c r="K54" t="n">
        <v>2863171.70107708</v>
      </c>
      <c r="L54" t="n">
        <v>11261423.0045729</v>
      </c>
      <c r="M54" t="n">
        <v>11209338.3077015</v>
      </c>
      <c r="N54" t="n">
        <v>111715.776895992</v>
      </c>
      <c r="O54" t="n">
        <v>576536.032279511</v>
      </c>
      <c r="P54" t="n">
        <v>2933678.28075437</v>
      </c>
      <c r="Q54" t="n">
        <v>1149832.84988879</v>
      </c>
      <c r="R54" t="n">
        <v>694272.291315571</v>
      </c>
      <c r="S54" t="n">
        <v>811788.818396711</v>
      </c>
      <c r="T54" t="n">
        <v>255435.880445883</v>
      </c>
      <c r="U54" t="n">
        <v>4139.83864613799</v>
      </c>
      <c r="V54" t="n">
        <v>2099.5877069376</v>
      </c>
      <c r="W54" t="n">
        <v>97854.5129572237</v>
      </c>
      <c r="X54" t="n">
        <v>34453.418100467</v>
      </c>
      <c r="Y54" t="n">
        <v>185804.122331539</v>
      </c>
      <c r="Z54" t="n">
        <v>22213.7195396886</v>
      </c>
      <c r="AA54" t="n">
        <v>398433.576157988</v>
      </c>
      <c r="AB54" t="n">
        <v>7539964.85897079</v>
      </c>
      <c r="AC54" t="n">
        <v>328821.342381357</v>
      </c>
      <c r="AD54" t="n">
        <v>572670.21740262</v>
      </c>
      <c r="AE54" t="n">
        <v>2923520.89429478</v>
      </c>
      <c r="AF54" t="n">
        <v>1644882.95974157</v>
      </c>
      <c r="AG54" t="n">
        <v>5304134.5516511</v>
      </c>
      <c r="AH54" t="n">
        <v>2676214.87554927</v>
      </c>
      <c r="AI54" t="n">
        <v>4231.11560671043</v>
      </c>
      <c r="AJ54" t="n">
        <v>1672955.14693346</v>
      </c>
      <c r="AK54" t="n">
        <v>832484.67229126</v>
      </c>
      <c r="AL54" t="n">
        <v>8032477.38276159</v>
      </c>
      <c r="AM54" t="n">
        <v>3819419.12016649</v>
      </c>
      <c r="AN54" t="n">
        <v>76897.3881294904</v>
      </c>
      <c r="AO54" t="n">
        <v>641033.23862148</v>
      </c>
      <c r="AP54" t="n">
        <v>261107.126846696</v>
      </c>
      <c r="AQ54" t="n">
        <v>410425.007046759</v>
      </c>
      <c r="AR54" t="n">
        <v>59851.6172546133</v>
      </c>
      <c r="AS54" t="n">
        <v>82044180.3782216</v>
      </c>
      <c r="AT54" t="n">
        <v>31012601.7199029</v>
      </c>
      <c r="AU54" t="n">
        <v>4645202.57867706</v>
      </c>
      <c r="AV54" t="n">
        <v>17833094.4831686</v>
      </c>
      <c r="AW54" t="n">
        <v>6191.31305091008</v>
      </c>
      <c r="AX54" t="n">
        <v>9856171.86263758</v>
      </c>
      <c r="AY54" t="n">
        <v>6671309.52650399</v>
      </c>
      <c r="AZ54" t="n">
        <v>958790.271789454</v>
      </c>
      <c r="BA54" t="n">
        <v>492320.455048767</v>
      </c>
      <c r="BB54" t="n">
        <v>4568129.47448013</v>
      </c>
      <c r="BC54" t="n">
        <v>18991888.928001</v>
      </c>
      <c r="BD54" t="n">
        <v>3859323.50200573</v>
      </c>
      <c r="BE54" t="n">
        <v>85672.9080980001</v>
      </c>
      <c r="BF54" t="n">
        <v>1655589.95841258</v>
      </c>
      <c r="BG54" t="n">
        <v>4052059.6854789</v>
      </c>
      <c r="BH54" t="n">
        <v>33418076.700126</v>
      </c>
      <c r="BI54" t="n">
        <v>938044.472120158</v>
      </c>
      <c r="BJ54" t="n">
        <v>5806869.21473729</v>
      </c>
      <c r="BK54" t="n">
        <v>1357374.22104726</v>
      </c>
      <c r="BL54" t="n">
        <v>179750.816420847</v>
      </c>
      <c r="BM54" t="n">
        <v>7203590.61215097</v>
      </c>
      <c r="BN54" t="n">
        <v>18280087.4476446</v>
      </c>
      <c r="BO54" t="n">
        <v>10570920.2877034</v>
      </c>
      <c r="BP54" t="n">
        <v>0</v>
      </c>
      <c r="BQ54" t="n">
        <v>17938.0326217248</v>
      </c>
      <c r="BR54" t="n">
        <v>69835.4588752105</v>
      </c>
      <c r="BS54" t="n">
        <v>101302928.285226</v>
      </c>
      <c r="BT54" t="n">
        <v>6932284.14170134</v>
      </c>
      <c r="BU54" t="n">
        <v>674296773.549484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188322291.935082</v>
      </c>
      <c r="CB54" t="n">
        <v>-323186.424874913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12074784.8702223</v>
      </c>
      <c r="C55" t="n">
        <v>404467.415391669</v>
      </c>
      <c r="D55" t="n">
        <v>69519874.0020626</v>
      </c>
      <c r="E55" t="n">
        <v>1622625.12453185</v>
      </c>
      <c r="F55" t="n">
        <v>62229766.1110596</v>
      </c>
      <c r="G55" t="n">
        <v>5212994.10215074</v>
      </c>
      <c r="H55" t="n">
        <v>689557.173486908</v>
      </c>
      <c r="I55" t="n">
        <v>253203.356621798</v>
      </c>
      <c r="J55" t="n">
        <v>3573469.2137973</v>
      </c>
      <c r="K55" t="n">
        <v>886591.035938989</v>
      </c>
      <c r="L55" t="n">
        <v>3625766.98773847</v>
      </c>
      <c r="M55" t="n">
        <v>6551020.67653927</v>
      </c>
      <c r="N55" t="n">
        <v>152573.449375209</v>
      </c>
      <c r="O55" t="n">
        <v>962641.06649199</v>
      </c>
      <c r="P55" t="n">
        <v>3831104.37450399</v>
      </c>
      <c r="Q55" t="n">
        <v>1806326.51808075</v>
      </c>
      <c r="R55" t="n">
        <v>358042.805820089</v>
      </c>
      <c r="S55" t="n">
        <v>396354.870196417</v>
      </c>
      <c r="T55" t="n">
        <v>6515930.55271308</v>
      </c>
      <c r="U55" t="n">
        <v>120459.301127267</v>
      </c>
      <c r="V55" t="n">
        <v>78766.6953934629</v>
      </c>
      <c r="W55" t="n">
        <v>1234058.96408887</v>
      </c>
      <c r="X55" t="n">
        <v>67519.2659950492</v>
      </c>
      <c r="Y55" t="n">
        <v>1285816.97371226</v>
      </c>
      <c r="Z55" t="n">
        <v>1407627.92456424</v>
      </c>
      <c r="AA55" t="n">
        <v>2515326.14730565</v>
      </c>
      <c r="AB55" t="n">
        <v>68816932.766422</v>
      </c>
      <c r="AC55" t="n">
        <v>8192074.90349593</v>
      </c>
      <c r="AD55" t="n">
        <v>2005680.24748516</v>
      </c>
      <c r="AE55" t="n">
        <v>4586400.27338699</v>
      </c>
      <c r="AF55" t="n">
        <v>13514714.4010001</v>
      </c>
      <c r="AG55" t="n">
        <v>1416941.56502114</v>
      </c>
      <c r="AH55" t="n">
        <v>160376.633542917</v>
      </c>
      <c r="AI55" t="n">
        <v>2281.78758444495</v>
      </c>
      <c r="AJ55" t="n">
        <v>34346908.6145601</v>
      </c>
      <c r="AK55" t="n">
        <v>2009095.56701988</v>
      </c>
      <c r="AL55" t="n">
        <v>13868951.8032979</v>
      </c>
      <c r="AM55" t="n">
        <v>5904605.34490663</v>
      </c>
      <c r="AN55" t="n">
        <v>5003471.58998909</v>
      </c>
      <c r="AO55" t="n">
        <v>668020.358295213</v>
      </c>
      <c r="AP55" t="n">
        <v>490413.268026097</v>
      </c>
      <c r="AQ55" t="n">
        <v>2794286.76182673</v>
      </c>
      <c r="AR55" t="n">
        <v>349771.610042181</v>
      </c>
      <c r="AS55" t="n">
        <v>4999480.50998411</v>
      </c>
      <c r="AT55" t="n">
        <v>5613843.48965259</v>
      </c>
      <c r="AU55" t="n">
        <v>538239516.849494</v>
      </c>
      <c r="AV55" t="n">
        <v>1475442.03119395</v>
      </c>
      <c r="AW55" t="n">
        <v>9213339.49503052</v>
      </c>
      <c r="AX55" t="n">
        <v>42305969.4650902</v>
      </c>
      <c r="AY55" t="n">
        <v>16163419.4045188</v>
      </c>
      <c r="AZ55" t="n">
        <v>3675049.23618012</v>
      </c>
      <c r="BA55" t="n">
        <v>1487107.4619125</v>
      </c>
      <c r="BB55" t="n">
        <v>14910599.0475444</v>
      </c>
      <c r="BC55" t="n">
        <v>432517.568588299</v>
      </c>
      <c r="BD55" t="n">
        <v>16268696.0555581</v>
      </c>
      <c r="BE55" t="n">
        <v>2052905.45108613</v>
      </c>
      <c r="BF55" t="n">
        <v>2091837.33459981</v>
      </c>
      <c r="BG55" t="n">
        <v>21997775.2609708</v>
      </c>
      <c r="BH55" t="n">
        <v>29071378.0983447</v>
      </c>
      <c r="BI55" t="n">
        <v>5495019.47718311</v>
      </c>
      <c r="BJ55" t="n">
        <v>16594070.4963639</v>
      </c>
      <c r="BK55" t="n">
        <v>2273449.55249082</v>
      </c>
      <c r="BL55" t="n">
        <v>2287584.25145864</v>
      </c>
      <c r="BM55" t="n">
        <v>1404806.41440333</v>
      </c>
      <c r="BN55" t="n">
        <v>16174966.9732985</v>
      </c>
      <c r="BO55" t="n">
        <v>6413194.04615343</v>
      </c>
      <c r="BP55" t="n">
        <v>0</v>
      </c>
      <c r="BQ55" t="n">
        <v>2462033.90084717</v>
      </c>
      <c r="BR55" t="n">
        <v>8470038.72259467</v>
      </c>
      <c r="BS55" t="n">
        <v>9903131.07783197</v>
      </c>
      <c r="BT55" t="n">
        <v>16897839.6763872</v>
      </c>
      <c r="BU55" t="n">
        <v>615999515.52267</v>
      </c>
      <c r="BV55" t="n">
        <v>0</v>
      </c>
      <c r="BW55" t="n">
        <v>0</v>
      </c>
      <c r="BX55" t="n">
        <v>0</v>
      </c>
      <c r="BY55" t="n">
        <v>7794947.68686359</v>
      </c>
      <c r="BZ55" t="n">
        <v>0</v>
      </c>
      <c r="CA55" t="n">
        <v>104437435.135688</v>
      </c>
      <c r="CB55" t="n">
        <v>-299861621.817949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7296626.72439414</v>
      </c>
      <c r="AV56" t="n">
        <v>1936623.29635217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193240.782304334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305291.231254628</v>
      </c>
      <c r="BR56" t="n">
        <v>0</v>
      </c>
      <c r="BS56" t="n">
        <v>5543353.28058301</v>
      </c>
      <c r="BT56" t="n">
        <v>0</v>
      </c>
      <c r="BU56" t="n">
        <v>519720105.013208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20286819823.9685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64121760.5821161</v>
      </c>
      <c r="C58" t="n">
        <v>87281.471790201</v>
      </c>
      <c r="D58" t="n">
        <v>205736581.029952</v>
      </c>
      <c r="E58" t="n">
        <v>2127012.05894093</v>
      </c>
      <c r="F58" t="n">
        <v>75843294.6466153</v>
      </c>
      <c r="G58" t="n">
        <v>116245635.653761</v>
      </c>
      <c r="H58" t="n">
        <v>136290681.550833</v>
      </c>
      <c r="I58" t="n">
        <v>4038825.22303408</v>
      </c>
      <c r="J58" t="n">
        <v>17519015.7387184</v>
      </c>
      <c r="K58" t="n">
        <v>2774446.19160689</v>
      </c>
      <c r="L58" t="n">
        <v>89293837.3462642</v>
      </c>
      <c r="M58" t="n">
        <v>42974546.8106518</v>
      </c>
      <c r="N58" t="n">
        <v>7684176.13771681</v>
      </c>
      <c r="O58" t="n">
        <v>3814778.93210287</v>
      </c>
      <c r="P58" t="n">
        <v>9181426.23105411</v>
      </c>
      <c r="Q58" t="n">
        <v>8845701.26100755</v>
      </c>
      <c r="R58" t="n">
        <v>4882253.82083511</v>
      </c>
      <c r="S58" t="n">
        <v>5489157.78900261</v>
      </c>
      <c r="T58" t="n">
        <v>37735359.0902516</v>
      </c>
      <c r="U58" t="n">
        <v>1138080.11983058</v>
      </c>
      <c r="V58" t="n">
        <v>956014.138920257</v>
      </c>
      <c r="W58" t="n">
        <v>24025416.1620711</v>
      </c>
      <c r="X58" t="n">
        <v>7904514.35733981</v>
      </c>
      <c r="Y58" t="n">
        <v>2708042.27263732</v>
      </c>
      <c r="Z58" t="n">
        <v>12715900.0251221</v>
      </c>
      <c r="AA58" t="n">
        <v>47652268.2505366</v>
      </c>
      <c r="AB58" t="n">
        <v>741530667.369946</v>
      </c>
      <c r="AC58" t="n">
        <v>238890296.663187</v>
      </c>
      <c r="AD58" t="n">
        <v>192031563.885046</v>
      </c>
      <c r="AE58" t="n">
        <v>278109544.473276</v>
      </c>
      <c r="AF58" t="n">
        <v>913688429.341142</v>
      </c>
      <c r="AG58" t="n">
        <v>3025322.01699452</v>
      </c>
      <c r="AH58" t="n">
        <v>4261914.8659767</v>
      </c>
      <c r="AI58" t="n">
        <v>13364.2631612862</v>
      </c>
      <c r="AJ58" t="n">
        <v>99990414.3659748</v>
      </c>
      <c r="AK58" t="n">
        <v>3148277.38515901</v>
      </c>
      <c r="AL58" t="n">
        <v>63001264.4889357</v>
      </c>
      <c r="AM58" t="n">
        <v>56828203.0094505</v>
      </c>
      <c r="AN58" t="n">
        <v>94345271.9094998</v>
      </c>
      <c r="AO58" t="n">
        <v>54464964.6755523</v>
      </c>
      <c r="AP58" t="n">
        <v>4784406.79880276</v>
      </c>
      <c r="AQ58" t="n">
        <v>204868314.429321</v>
      </c>
      <c r="AR58" t="n">
        <v>18037899.5323911</v>
      </c>
      <c r="AS58" t="n">
        <v>132040157.602667</v>
      </c>
      <c r="AT58" t="n">
        <v>71915216.6433717</v>
      </c>
      <c r="AU58" t="n">
        <v>120536777.97012</v>
      </c>
      <c r="AV58" t="n">
        <v>463247.863247863</v>
      </c>
      <c r="AW58" t="n">
        <v>47859640.5187702</v>
      </c>
      <c r="AX58" t="n">
        <v>857584039.46345</v>
      </c>
      <c r="AY58" t="n">
        <v>92857490.0574459</v>
      </c>
      <c r="AZ58" t="n">
        <v>128338895.916124</v>
      </c>
      <c r="BA58" t="n">
        <v>26822684.7797456</v>
      </c>
      <c r="BB58" t="n">
        <v>375116336.816226</v>
      </c>
      <c r="BC58" t="n">
        <v>260272318.544709</v>
      </c>
      <c r="BD58" t="n">
        <v>408302284.171779</v>
      </c>
      <c r="BE58" t="n">
        <v>23107354.4708078</v>
      </c>
      <c r="BF58" t="n">
        <v>166599974.840813</v>
      </c>
      <c r="BG58" t="n">
        <v>482471132.134957</v>
      </c>
      <c r="BH58" t="n">
        <v>740335716.952523</v>
      </c>
      <c r="BI58" t="n">
        <v>245926813.275497</v>
      </c>
      <c r="BJ58" t="n">
        <v>99300809.372107</v>
      </c>
      <c r="BK58" t="n">
        <v>68836586.2684953</v>
      </c>
      <c r="BL58" t="n">
        <v>142325959.816576</v>
      </c>
      <c r="BM58" t="n">
        <v>13640844.4994124</v>
      </c>
      <c r="BN58" t="n">
        <v>613420557.874422</v>
      </c>
      <c r="BO58" t="n">
        <v>604746522.650796</v>
      </c>
      <c r="BP58" t="n">
        <v>2520644.66615503</v>
      </c>
      <c r="BQ58" t="n">
        <v>171131640.79072</v>
      </c>
      <c r="BR58" t="n">
        <v>7766904.35860552</v>
      </c>
      <c r="BS58" t="n">
        <v>321741294.405156</v>
      </c>
      <c r="BT58" t="n">
        <v>19258791.3171282</v>
      </c>
      <c r="BU58" t="n">
        <v>58927537.0340214</v>
      </c>
      <c r="BV58" t="n">
        <v>160920209.721885</v>
      </c>
      <c r="BW58" t="n">
        <v>0</v>
      </c>
      <c r="BX58" t="n">
        <v>0</v>
      </c>
      <c r="BY58" t="n">
        <v>1250763157.43868</v>
      </c>
      <c r="BZ58" t="n">
        <v>0</v>
      </c>
      <c r="CA58" t="n">
        <v>14319545.9788794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13675874.8558761</v>
      </c>
      <c r="C59" t="n">
        <v>119222.87493986</v>
      </c>
      <c r="D59" t="n">
        <v>155095446.8628</v>
      </c>
      <c r="E59" t="n">
        <v>9032738.11552795</v>
      </c>
      <c r="F59" t="n">
        <v>133898447.450013</v>
      </c>
      <c r="G59" t="n">
        <v>10408816.9667361</v>
      </c>
      <c r="H59" t="n">
        <v>70124017.0113737</v>
      </c>
      <c r="I59" t="n">
        <v>433306.915691143</v>
      </c>
      <c r="J59" t="n">
        <v>3708550.45381872</v>
      </c>
      <c r="K59" t="n">
        <v>1188772.02500435</v>
      </c>
      <c r="L59" t="n">
        <v>9860337.30507674</v>
      </c>
      <c r="M59" t="n">
        <v>9444604.35246984</v>
      </c>
      <c r="N59" t="n">
        <v>424948.838357292</v>
      </c>
      <c r="O59" t="n">
        <v>663643.443245611</v>
      </c>
      <c r="P59" t="n">
        <v>8817263.36372496</v>
      </c>
      <c r="Q59" t="n">
        <v>1889927.87620653</v>
      </c>
      <c r="R59" t="n">
        <v>310142.754846264</v>
      </c>
      <c r="S59" t="n">
        <v>734069.915694784</v>
      </c>
      <c r="T59" t="n">
        <v>7697184.39960543</v>
      </c>
      <c r="U59" t="n">
        <v>50140.8806654653</v>
      </c>
      <c r="V59" t="n">
        <v>3521355.01262987</v>
      </c>
      <c r="W59" t="n">
        <v>4181009.46026282</v>
      </c>
      <c r="X59" t="n">
        <v>588876.964609147</v>
      </c>
      <c r="Y59" t="n">
        <v>5596443.19860057</v>
      </c>
      <c r="Z59" t="n">
        <v>3167509.61792271</v>
      </c>
      <c r="AA59" t="n">
        <v>4915178.06211675</v>
      </c>
      <c r="AB59" t="n">
        <v>60613129.9349695</v>
      </c>
      <c r="AC59" t="n">
        <v>3044478.06403382</v>
      </c>
      <c r="AD59" t="n">
        <v>2365932.82327927</v>
      </c>
      <c r="AE59" t="n">
        <v>13506509.4320439</v>
      </c>
      <c r="AF59" t="n">
        <v>16091239.2235942</v>
      </c>
      <c r="AG59" t="n">
        <v>33773495.5565137</v>
      </c>
      <c r="AH59" t="n">
        <v>41469268.3724192</v>
      </c>
      <c r="AI59" t="n">
        <v>34253.6435107306</v>
      </c>
      <c r="AJ59" t="n">
        <v>99200337.4180661</v>
      </c>
      <c r="AK59" t="n">
        <v>543449.696589316</v>
      </c>
      <c r="AL59" t="n">
        <v>3303060.25289617</v>
      </c>
      <c r="AM59" t="n">
        <v>6477619.03144165</v>
      </c>
      <c r="AN59" t="n">
        <v>15022264.3187566</v>
      </c>
      <c r="AO59" t="n">
        <v>3622592.78422359</v>
      </c>
      <c r="AP59" t="n">
        <v>518080.309966834</v>
      </c>
      <c r="AQ59" t="n">
        <v>20117128.2495452</v>
      </c>
      <c r="AR59" t="n">
        <v>4291775.80808159</v>
      </c>
      <c r="AS59" t="n">
        <v>6377193.56944606</v>
      </c>
      <c r="AT59" t="n">
        <v>4886545.27584143</v>
      </c>
      <c r="AU59" t="n">
        <v>5756437.2621957</v>
      </c>
      <c r="AV59" t="n">
        <v>5420.47054068881</v>
      </c>
      <c r="AW59" t="n">
        <v>14436161.2663573</v>
      </c>
      <c r="AX59" t="n">
        <v>4095779.64690787</v>
      </c>
      <c r="AY59" t="n">
        <v>27256498.1249363</v>
      </c>
      <c r="AZ59" t="n">
        <v>3710816.26147947</v>
      </c>
      <c r="BA59" t="n">
        <v>2862146.14638576</v>
      </c>
      <c r="BB59" t="n">
        <v>30987171.7902688</v>
      </c>
      <c r="BC59" t="n">
        <v>36386733.6040767</v>
      </c>
      <c r="BD59" t="n">
        <v>30038683.558962</v>
      </c>
      <c r="BE59" t="n">
        <v>5732121.36279511</v>
      </c>
      <c r="BF59" t="n">
        <v>2338551.75889694</v>
      </c>
      <c r="BG59" t="n">
        <v>11700394.37918</v>
      </c>
      <c r="BH59" t="n">
        <v>11953430.5513713</v>
      </c>
      <c r="BI59" t="n">
        <v>1407146.26471149</v>
      </c>
      <c r="BJ59" t="n">
        <v>1142142.96635457</v>
      </c>
      <c r="BK59" t="n">
        <v>3059624.06714874</v>
      </c>
      <c r="BL59" t="n">
        <v>5454824.51981778</v>
      </c>
      <c r="BM59" t="n">
        <v>2961653.24297868</v>
      </c>
      <c r="BN59" t="n">
        <v>33542921.7714216</v>
      </c>
      <c r="BO59" t="n">
        <v>8335836.93192043</v>
      </c>
      <c r="BP59" t="n">
        <v>1078626.89885511</v>
      </c>
      <c r="BQ59" t="n">
        <v>1367891.66237155</v>
      </c>
      <c r="BR59" t="n">
        <v>793459.273781421</v>
      </c>
      <c r="BS59" t="n">
        <v>37953294.4198282</v>
      </c>
      <c r="BT59" t="n">
        <v>1544630.11553619</v>
      </c>
      <c r="BU59" t="n">
        <v>282976242.275163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665199015.009802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4690132.37367947</v>
      </c>
      <c r="C60" t="n">
        <v>207588.50749753</v>
      </c>
      <c r="D60" t="n">
        <v>68003045.5526083</v>
      </c>
      <c r="E60" t="n">
        <v>3664195.46195812</v>
      </c>
      <c r="F60" t="n">
        <v>23351330.109608</v>
      </c>
      <c r="G60" t="n">
        <v>62734193.3159643</v>
      </c>
      <c r="H60" t="n">
        <v>33597463.1728382</v>
      </c>
      <c r="I60" t="n">
        <v>1514891.85543052</v>
      </c>
      <c r="J60" t="n">
        <v>5108142.4823386</v>
      </c>
      <c r="K60" t="n">
        <v>1819973.5466599</v>
      </c>
      <c r="L60" t="n">
        <v>21527222.5674379</v>
      </c>
      <c r="M60" t="n">
        <v>20745883.7354094</v>
      </c>
      <c r="N60" t="n">
        <v>5013588.63794925</v>
      </c>
      <c r="O60" t="n">
        <v>1016058.01123816</v>
      </c>
      <c r="P60" t="n">
        <v>8147227.96085659</v>
      </c>
      <c r="Q60" t="n">
        <v>5537473.66816421</v>
      </c>
      <c r="R60" t="n">
        <v>760498.726857457</v>
      </c>
      <c r="S60" t="n">
        <v>3430893.0629923</v>
      </c>
      <c r="T60" t="n">
        <v>6346768.28735087</v>
      </c>
      <c r="U60" t="n">
        <v>203357.665816976</v>
      </c>
      <c r="V60" t="n">
        <v>326246.254193952</v>
      </c>
      <c r="W60" t="n">
        <v>7837531.96135768</v>
      </c>
      <c r="X60" t="n">
        <v>921043.51613575</v>
      </c>
      <c r="Y60" t="n">
        <v>7626606.10323376</v>
      </c>
      <c r="Z60" t="n">
        <v>7861004.22895751</v>
      </c>
      <c r="AA60" t="n">
        <v>12190961.7032207</v>
      </c>
      <c r="AB60" t="n">
        <v>98479007.2003581</v>
      </c>
      <c r="AC60" t="n">
        <v>5133498.42913086</v>
      </c>
      <c r="AD60" t="n">
        <v>3437305.05194014</v>
      </c>
      <c r="AE60" t="n">
        <v>6919909.7788043</v>
      </c>
      <c r="AF60" t="n">
        <v>27088336.6182762</v>
      </c>
      <c r="AG60" t="n">
        <v>2473593.64895688</v>
      </c>
      <c r="AH60" t="n">
        <v>14260146.7758881</v>
      </c>
      <c r="AI60" t="n">
        <v>2275.01581978988</v>
      </c>
      <c r="AJ60" t="n">
        <v>2104019.03471408</v>
      </c>
      <c r="AK60" t="n">
        <v>199940.449957877</v>
      </c>
      <c r="AL60" t="n">
        <v>9220564.06479428</v>
      </c>
      <c r="AM60" t="n">
        <v>3597156.06736719</v>
      </c>
      <c r="AN60" t="n">
        <v>2336085.67090196</v>
      </c>
      <c r="AO60" t="n">
        <v>20342238.0119944</v>
      </c>
      <c r="AP60" t="n">
        <v>964261.558855766</v>
      </c>
      <c r="AQ60" t="n">
        <v>17147888.316184</v>
      </c>
      <c r="AR60" t="n">
        <v>6341835.81419644</v>
      </c>
      <c r="AS60" t="n">
        <v>19059286.4358849</v>
      </c>
      <c r="AT60" t="n">
        <v>19281103.1939532</v>
      </c>
      <c r="AU60" t="n">
        <v>48772055.4034729</v>
      </c>
      <c r="AV60" t="n">
        <v>939010.429432668</v>
      </c>
      <c r="AW60" t="n">
        <v>9418742.60685478</v>
      </c>
      <c r="AX60" t="n">
        <v>37797876.641913</v>
      </c>
      <c r="AY60" t="n">
        <v>5393755.2330145</v>
      </c>
      <c r="AZ60" t="n">
        <v>11101346.9051311</v>
      </c>
      <c r="BA60" t="n">
        <v>8635008.08207623</v>
      </c>
      <c r="BB60" t="n">
        <v>62174239.5763354</v>
      </c>
      <c r="BC60" t="n">
        <v>50489596.4224656</v>
      </c>
      <c r="BD60" t="n">
        <v>58069494.6428476</v>
      </c>
      <c r="BE60" t="n">
        <v>2423888.30370829</v>
      </c>
      <c r="BF60" t="n">
        <v>1401467.4563369</v>
      </c>
      <c r="BG60" t="n">
        <v>30328524.1273088</v>
      </c>
      <c r="BH60" t="n">
        <v>115409661.635361</v>
      </c>
      <c r="BI60" t="n">
        <v>9515897.4357567</v>
      </c>
      <c r="BJ60" t="n">
        <v>4375088.77825795</v>
      </c>
      <c r="BK60" t="n">
        <v>7120808.41235067</v>
      </c>
      <c r="BL60" t="n">
        <v>9761578.51302329</v>
      </c>
      <c r="BM60" t="n">
        <v>3961465.2103645</v>
      </c>
      <c r="BN60" t="n">
        <v>16595831.6386198</v>
      </c>
      <c r="BO60" t="n">
        <v>30245079.3034041</v>
      </c>
      <c r="BP60" t="n">
        <v>0</v>
      </c>
      <c r="BQ60" t="n">
        <v>1114941.30915336</v>
      </c>
      <c r="BR60" t="n">
        <v>712443.810878549</v>
      </c>
      <c r="BS60" t="n">
        <v>128635841.07904</v>
      </c>
      <c r="BT60" t="n">
        <v>7099575.4124897</v>
      </c>
      <c r="BU60" t="n">
        <v>632584842.703913</v>
      </c>
      <c r="BV60" t="n">
        <v>0</v>
      </c>
      <c r="BW60" t="n">
        <v>0</v>
      </c>
      <c r="BX60" t="n">
        <v>0</v>
      </c>
      <c r="BY60" t="n">
        <v>133163790.221091</v>
      </c>
      <c r="BZ60" t="n">
        <v>0</v>
      </c>
      <c r="CA60" t="n">
        <v>100350176.927648</v>
      </c>
      <c r="CB60" t="n">
        <v>-39464643.546347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5325529.06983159</v>
      </c>
      <c r="C61" t="n">
        <v>63254.2607181875</v>
      </c>
      <c r="D61" t="n">
        <v>246476447.223568</v>
      </c>
      <c r="E61" t="n">
        <v>3590544.4962539</v>
      </c>
      <c r="F61" t="n">
        <v>6231821.01909745</v>
      </c>
      <c r="G61" t="n">
        <v>20435319.2700991</v>
      </c>
      <c r="H61" t="n">
        <v>26701972.4423545</v>
      </c>
      <c r="I61" t="n">
        <v>1019459.09338212</v>
      </c>
      <c r="J61" t="n">
        <v>3815599.54305058</v>
      </c>
      <c r="K61" t="n">
        <v>1239202.82806922</v>
      </c>
      <c r="L61" t="n">
        <v>17378826.8845292</v>
      </c>
      <c r="M61" t="n">
        <v>26092853.4525546</v>
      </c>
      <c r="N61" t="n">
        <v>699928.28590234</v>
      </c>
      <c r="O61" t="n">
        <v>403980.963345654</v>
      </c>
      <c r="P61" t="n">
        <v>2151234.1759092</v>
      </c>
      <c r="Q61" t="n">
        <v>9370016.80099939</v>
      </c>
      <c r="R61" t="n">
        <v>606803.373817377</v>
      </c>
      <c r="S61" t="n">
        <v>964639.48439399</v>
      </c>
      <c r="T61" t="n">
        <v>6034639.29960115</v>
      </c>
      <c r="U61" t="n">
        <v>123868.558237585</v>
      </c>
      <c r="V61" t="n">
        <v>40606.518458467</v>
      </c>
      <c r="W61" t="n">
        <v>3128686.00084552</v>
      </c>
      <c r="X61" t="n">
        <v>1065581.26266275</v>
      </c>
      <c r="Y61" t="n">
        <v>6536011.56223659</v>
      </c>
      <c r="Z61" t="n">
        <v>666337.957174083</v>
      </c>
      <c r="AA61" t="n">
        <v>6132916.2386818</v>
      </c>
      <c r="AB61" t="n">
        <v>103325457.652035</v>
      </c>
      <c r="AC61" t="n">
        <v>30786772.5090519</v>
      </c>
      <c r="AD61" t="n">
        <v>3991652.20259136</v>
      </c>
      <c r="AE61" t="n">
        <v>15801980.8053191</v>
      </c>
      <c r="AF61" t="n">
        <v>31145482.6257707</v>
      </c>
      <c r="AG61" t="n">
        <v>2377967.76564135</v>
      </c>
      <c r="AH61" t="n">
        <v>16726177.3226241</v>
      </c>
      <c r="AI61" t="n">
        <v>702.625459660774</v>
      </c>
      <c r="AJ61" t="n">
        <v>5977770.98799601</v>
      </c>
      <c r="AK61" t="n">
        <v>254134.741558425</v>
      </c>
      <c r="AL61" t="n">
        <v>1559835.29086109</v>
      </c>
      <c r="AM61" t="n">
        <v>1299988.91405063</v>
      </c>
      <c r="AN61" t="n">
        <v>2129964.14105303</v>
      </c>
      <c r="AO61" t="n">
        <v>31387842.6977992</v>
      </c>
      <c r="AP61" t="n">
        <v>586329.754805724</v>
      </c>
      <c r="AQ61" t="n">
        <v>19065953.753158</v>
      </c>
      <c r="AR61" t="n">
        <v>11592765.1174856</v>
      </c>
      <c r="AS61" t="n">
        <v>25225137.9237984</v>
      </c>
      <c r="AT61" t="n">
        <v>13187455.0842401</v>
      </c>
      <c r="AU61" t="n">
        <v>23704672.795384</v>
      </c>
      <c r="AV61" t="n">
        <v>510541.978745911</v>
      </c>
      <c r="AW61" t="n">
        <v>3843382.63978814</v>
      </c>
      <c r="AX61" t="n">
        <v>11294531.5722859</v>
      </c>
      <c r="AY61" t="n">
        <v>3469100.17237572</v>
      </c>
      <c r="AZ61" t="n">
        <v>15569717.7158543</v>
      </c>
      <c r="BA61" t="n">
        <v>13810824.9761812</v>
      </c>
      <c r="BB61" t="n">
        <v>41886949.6612314</v>
      </c>
      <c r="BC61" t="n">
        <v>9367798.39887549</v>
      </c>
      <c r="BD61" t="n">
        <v>106520291.230162</v>
      </c>
      <c r="BE61" t="n">
        <v>2487076.68666834</v>
      </c>
      <c r="BF61" t="n">
        <v>5106454.16589563</v>
      </c>
      <c r="BG61" t="n">
        <v>24530847.4498092</v>
      </c>
      <c r="BH61" t="n">
        <v>30133344.7225162</v>
      </c>
      <c r="BI61" t="n">
        <v>5674977.3509807</v>
      </c>
      <c r="BJ61" t="n">
        <v>8563552.02568168</v>
      </c>
      <c r="BK61" t="n">
        <v>1500622.08019944</v>
      </c>
      <c r="BL61" t="n">
        <v>5165090.34645941</v>
      </c>
      <c r="BM61" t="n">
        <v>3104502.49590698</v>
      </c>
      <c r="BN61" t="n">
        <v>34362537.8853903</v>
      </c>
      <c r="BO61" t="n">
        <v>20336160.0053881</v>
      </c>
      <c r="BP61" t="n">
        <v>29559675.2372496</v>
      </c>
      <c r="BQ61" t="n">
        <v>98971099.7423983</v>
      </c>
      <c r="BR61" t="n">
        <v>1057706.94707541</v>
      </c>
      <c r="BS61" t="n">
        <v>294557388.387451</v>
      </c>
      <c r="BT61" t="n">
        <v>25629898.5434508</v>
      </c>
      <c r="BU61" t="n">
        <v>0</v>
      </c>
      <c r="BV61" t="n">
        <v>0</v>
      </c>
      <c r="BW61" t="n">
        <v>107091700.707889</v>
      </c>
      <c r="BX61" t="n">
        <v>590626602.92573</v>
      </c>
      <c r="BY61" t="n">
        <v>0</v>
      </c>
      <c r="BZ61" t="n">
        <v>0</v>
      </c>
      <c r="CA61" t="n">
        <v>149194063.389577</v>
      </c>
      <c r="CB61" t="n">
        <v>-235328878.821792</v>
      </c>
      <c r="CC61" t="n">
        <v>0</v>
      </c>
      <c r="CD61" t="n">
        <v>0</v>
      </c>
      <c r="CE61" t="n">
        <v>1696289.7705032</v>
      </c>
      <c r="CF61" t="n">
        <v>4330538.24661798</v>
      </c>
      <c r="CG61" t="n">
        <v>0</v>
      </c>
      <c r="CH61" t="n">
        <v>0</v>
      </c>
      <c r="CI61" t="n">
        <v>0</v>
      </c>
      <c r="CJ61" t="n">
        <v>11886521.9942273</v>
      </c>
      <c r="CK61" t="n">
        <v>0</v>
      </c>
      <c r="CL61" t="n">
        <v>0</v>
      </c>
      <c r="CM61" t="n">
        <v>9195671.24827038</v>
      </c>
      <c r="CN61" t="n">
        <v>60178658.2608331</v>
      </c>
    </row>
    <row r="62">
      <c r="A62" t="s">
        <v>173</v>
      </c>
      <c r="B62" t="n">
        <v>7655196.80067662</v>
      </c>
      <c r="C62" t="n">
        <v>325125.199490327</v>
      </c>
      <c r="D62" t="n">
        <v>74684975.3790252</v>
      </c>
      <c r="E62" t="n">
        <v>3822601.7059074</v>
      </c>
      <c r="F62" t="n">
        <v>36742550.8127421</v>
      </c>
      <c r="G62" t="n">
        <v>43147750.4135836</v>
      </c>
      <c r="H62" t="n">
        <v>84530177.5906549</v>
      </c>
      <c r="I62" t="n">
        <v>1916313.29746134</v>
      </c>
      <c r="J62" t="n">
        <v>8198203.42567026</v>
      </c>
      <c r="K62" t="n">
        <v>3222660.16637633</v>
      </c>
      <c r="L62" t="n">
        <v>19550625.8976938</v>
      </c>
      <c r="M62" t="n">
        <v>22075364.0475103</v>
      </c>
      <c r="N62" t="n">
        <v>3522071.33609265</v>
      </c>
      <c r="O62" t="n">
        <v>1975364.95330034</v>
      </c>
      <c r="P62" t="n">
        <v>6945054.0141072</v>
      </c>
      <c r="Q62" t="n">
        <v>6180391.59567458</v>
      </c>
      <c r="R62" t="n">
        <v>1615917.30870793</v>
      </c>
      <c r="S62" t="n">
        <v>3029741.60663309</v>
      </c>
      <c r="T62" t="n">
        <v>19460410.0719153</v>
      </c>
      <c r="U62" t="n">
        <v>317745.583626258</v>
      </c>
      <c r="V62" t="n">
        <v>238160.451593274</v>
      </c>
      <c r="W62" t="n">
        <v>8541050.84005849</v>
      </c>
      <c r="X62" t="n">
        <v>1387235.50740773</v>
      </c>
      <c r="Y62" t="n">
        <v>10486257.2846513</v>
      </c>
      <c r="Z62" t="n">
        <v>7381276.08435958</v>
      </c>
      <c r="AA62" t="n">
        <v>15574137.8504144</v>
      </c>
      <c r="AB62" t="n">
        <v>251437156.912633</v>
      </c>
      <c r="AC62" t="n">
        <v>62615912.582278</v>
      </c>
      <c r="AD62" t="n">
        <v>16291126.9708718</v>
      </c>
      <c r="AE62" t="n">
        <v>17052453.6968856</v>
      </c>
      <c r="AF62" t="n">
        <v>123180365.449386</v>
      </c>
      <c r="AG62" t="n">
        <v>2758808.83004458</v>
      </c>
      <c r="AH62" t="n">
        <v>9606823.78196358</v>
      </c>
      <c r="AI62" t="n">
        <v>7211.6911706459</v>
      </c>
      <c r="AJ62" t="n">
        <v>10231112.1196262</v>
      </c>
      <c r="AK62" t="n">
        <v>545040.80268665</v>
      </c>
      <c r="AL62" t="n">
        <v>48526713.4611938</v>
      </c>
      <c r="AM62" t="n">
        <v>4731432.44954768</v>
      </c>
      <c r="AN62" t="n">
        <v>5767408.79906701</v>
      </c>
      <c r="AO62" t="n">
        <v>35160229.0544588</v>
      </c>
      <c r="AP62" t="n">
        <v>2101051.04632459</v>
      </c>
      <c r="AQ62" t="n">
        <v>61862962.5189954</v>
      </c>
      <c r="AR62" t="n">
        <v>15264281.2477792</v>
      </c>
      <c r="AS62" t="n">
        <v>58332413.895426</v>
      </c>
      <c r="AT62" t="n">
        <v>26301859.0039573</v>
      </c>
      <c r="AU62" t="n">
        <v>45475892.706986</v>
      </c>
      <c r="AV62" t="n">
        <v>466544.031559325</v>
      </c>
      <c r="AW62" t="n">
        <v>4095428.103018</v>
      </c>
      <c r="AX62" t="n">
        <v>50415234.5587742</v>
      </c>
      <c r="AY62" t="n">
        <v>19276722.0111284</v>
      </c>
      <c r="AZ62" t="n">
        <v>14084669.1563646</v>
      </c>
      <c r="BA62" t="n">
        <v>19349391.0373334</v>
      </c>
      <c r="BB62" t="n">
        <v>199084170.457215</v>
      </c>
      <c r="BC62" t="n">
        <v>76348505.5024206</v>
      </c>
      <c r="BD62" t="n">
        <v>120986710.966193</v>
      </c>
      <c r="BE62" t="n">
        <v>4874928.12142365</v>
      </c>
      <c r="BF62" t="n">
        <v>8108582.19266968</v>
      </c>
      <c r="BG62" t="n">
        <v>61584118.5158583</v>
      </c>
      <c r="BH62" t="n">
        <v>94419352.7606719</v>
      </c>
      <c r="BI62" t="n">
        <v>18302689.8231635</v>
      </c>
      <c r="BJ62" t="n">
        <v>11798511.3385636</v>
      </c>
      <c r="BK62" t="n">
        <v>9042226.49109162</v>
      </c>
      <c r="BL62" t="n">
        <v>12912556.9206134</v>
      </c>
      <c r="BM62" t="n">
        <v>8886480.60827484</v>
      </c>
      <c r="BN62" t="n">
        <v>57621751.7893754</v>
      </c>
      <c r="BO62" t="n">
        <v>64696434.8098938</v>
      </c>
      <c r="BP62" t="n">
        <v>126177395.637162</v>
      </c>
      <c r="BQ62" t="n">
        <v>41991975.0913837</v>
      </c>
      <c r="BR62" t="n">
        <v>4685739.91199514</v>
      </c>
      <c r="BS62" t="n">
        <v>223636007.891866</v>
      </c>
      <c r="BT62" t="n">
        <v>38864739.5179769</v>
      </c>
      <c r="BU62" t="n">
        <v>136716056.511762</v>
      </c>
      <c r="BV62" t="n">
        <v>0</v>
      </c>
      <c r="BW62" t="n">
        <v>71090581.2550072</v>
      </c>
      <c r="BX62" t="n">
        <v>749907802.278621</v>
      </c>
      <c r="BY62" t="n">
        <v>5652576.1155727</v>
      </c>
      <c r="BZ62" t="n">
        <v>0</v>
      </c>
      <c r="CA62" t="n">
        <v>1012361781.99189</v>
      </c>
      <c r="CB62" t="n">
        <v>-654990259.617478</v>
      </c>
      <c r="CC62" t="n">
        <v>0</v>
      </c>
      <c r="CD62" t="n">
        <v>0</v>
      </c>
      <c r="CE62" t="n">
        <v>0</v>
      </c>
      <c r="CF62" t="n">
        <v>19622556.0960979</v>
      </c>
      <c r="CG62" t="n">
        <v>0</v>
      </c>
      <c r="CH62" t="n">
        <v>0</v>
      </c>
      <c r="CI62" t="n">
        <v>0</v>
      </c>
      <c r="CJ62" t="n">
        <v>31020899.2386211</v>
      </c>
      <c r="CK62" t="n">
        <v>0</v>
      </c>
      <c r="CL62" t="n">
        <v>0</v>
      </c>
      <c r="CM62" t="n">
        <v>0</v>
      </c>
      <c r="CN62" t="n">
        <v>47198331.7565376</v>
      </c>
    </row>
    <row r="63">
      <c r="A63" t="s">
        <v>174</v>
      </c>
      <c r="B63" t="n">
        <v>0</v>
      </c>
      <c r="C63" t="n">
        <v>0</v>
      </c>
      <c r="D63" t="n">
        <v>1348264312.28969</v>
      </c>
      <c r="E63" t="n">
        <v>33814954.6923197</v>
      </c>
      <c r="F63" t="n">
        <v>232643750.141173</v>
      </c>
      <c r="G63" t="n">
        <v>454974.464993024</v>
      </c>
      <c r="H63" t="n">
        <v>46160047.933227</v>
      </c>
      <c r="I63" t="n">
        <v>1315323.48173069</v>
      </c>
      <c r="J63" t="n">
        <v>19612009.7643468</v>
      </c>
      <c r="K63" t="n">
        <v>3324000.36293939</v>
      </c>
      <c r="L63" t="n">
        <v>44266541.1761646</v>
      </c>
      <c r="M63" t="n">
        <v>141226324.675361</v>
      </c>
      <c r="N63" t="n">
        <v>5558358.74179578</v>
      </c>
      <c r="O63" t="n">
        <v>6915717.40424875</v>
      </c>
      <c r="P63" t="n">
        <v>22702580.036766</v>
      </c>
      <c r="Q63" t="n">
        <v>13283178.9207074</v>
      </c>
      <c r="R63" t="n">
        <v>1000762.9208042</v>
      </c>
      <c r="S63" t="n">
        <v>7454141.13564749</v>
      </c>
      <c r="T63" t="n">
        <v>103754245.586113</v>
      </c>
      <c r="U63" t="n">
        <v>980267.638934255</v>
      </c>
      <c r="V63" t="n">
        <v>1097064.1095086</v>
      </c>
      <c r="W63" t="n">
        <v>19471650.635125</v>
      </c>
      <c r="X63" t="n">
        <v>938191.31025738</v>
      </c>
      <c r="Y63" t="n">
        <v>45218465.441802</v>
      </c>
      <c r="Z63" t="n">
        <v>30807300.1777121</v>
      </c>
      <c r="AA63" t="n">
        <v>17761594.4638302</v>
      </c>
      <c r="AB63" t="n">
        <v>415244401.976335</v>
      </c>
      <c r="AC63" t="n">
        <v>11527259.8604505</v>
      </c>
      <c r="AD63" t="n">
        <v>18156544.4202917</v>
      </c>
      <c r="AE63" t="n">
        <v>90738568.0944319</v>
      </c>
      <c r="AF63" t="n">
        <v>120553241.744951</v>
      </c>
      <c r="AG63" t="n">
        <v>27414252.363476</v>
      </c>
      <c r="AH63" t="n">
        <v>154938.348920449</v>
      </c>
      <c r="AI63" t="n">
        <v>13027.6229887389</v>
      </c>
      <c r="AJ63" t="n">
        <v>28569889.8421551</v>
      </c>
      <c r="AK63" t="n">
        <v>181352.036989412</v>
      </c>
      <c r="AL63" t="n">
        <v>262798.078780331</v>
      </c>
      <c r="AM63" t="n">
        <v>29166470.0980567</v>
      </c>
      <c r="AN63" t="n">
        <v>8497273.97315503</v>
      </c>
      <c r="AO63" t="n">
        <v>14589266.5204669</v>
      </c>
      <c r="AP63" t="n">
        <v>387015.718640721</v>
      </c>
      <c r="AQ63" t="n">
        <v>16603787.0275915</v>
      </c>
      <c r="AR63" t="n">
        <v>2828392.34002465</v>
      </c>
      <c r="AS63" t="n">
        <v>18932789.6154837</v>
      </c>
      <c r="AT63" t="n">
        <v>19732656.8448805</v>
      </c>
      <c r="AU63" t="n">
        <v>16782058.7882146</v>
      </c>
      <c r="AV63" t="n">
        <v>362721.333724732</v>
      </c>
      <c r="AW63" t="n">
        <v>97735.593825302</v>
      </c>
      <c r="AX63" t="n">
        <v>51471135.4771294</v>
      </c>
      <c r="AY63" t="n">
        <v>53716441.3144593</v>
      </c>
      <c r="AZ63" t="n">
        <v>13903591.8671647</v>
      </c>
      <c r="BA63" t="n">
        <v>7317851.06372815</v>
      </c>
      <c r="BB63" t="n">
        <v>56607487.9831149</v>
      </c>
      <c r="BC63" t="n">
        <v>187527.398684618</v>
      </c>
      <c r="BD63" t="n">
        <v>109702227.247429</v>
      </c>
      <c r="BE63" t="n">
        <v>14001365.5103264</v>
      </c>
      <c r="BF63" t="n">
        <v>17699406.6977845</v>
      </c>
      <c r="BG63" t="n">
        <v>229540186.660038</v>
      </c>
      <c r="BH63" t="n">
        <v>55007561.2143878</v>
      </c>
      <c r="BI63" t="n">
        <v>28637660.0473061</v>
      </c>
      <c r="BJ63" t="n">
        <v>9048320.55967369</v>
      </c>
      <c r="BK63" t="n">
        <v>9148703.09073149</v>
      </c>
      <c r="BL63" t="n">
        <v>11070110.8393156</v>
      </c>
      <c r="BM63" t="n">
        <v>48299389.5000331</v>
      </c>
      <c r="BN63" t="n">
        <v>270837699.57614</v>
      </c>
      <c r="BO63" t="n">
        <v>54181807.299359</v>
      </c>
      <c r="BP63" t="n">
        <v>0</v>
      </c>
      <c r="BQ63" t="n">
        <v>0</v>
      </c>
      <c r="BR63" t="n">
        <v>1348839.87719212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29453526.0440552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4993103.88349098</v>
      </c>
      <c r="C64" t="n">
        <v>63323.0495483135</v>
      </c>
      <c r="D64" t="n">
        <v>27757817.7652596</v>
      </c>
      <c r="E64" t="n">
        <v>3280454.28545664</v>
      </c>
      <c r="F64" t="n">
        <v>97218957.1777751</v>
      </c>
      <c r="G64" t="n">
        <v>90128965.7582004</v>
      </c>
      <c r="H64" t="n">
        <v>36529917.7737259</v>
      </c>
      <c r="I64" t="n">
        <v>1961944.21515672</v>
      </c>
      <c r="J64" t="n">
        <v>10670269.8096509</v>
      </c>
      <c r="K64" t="n">
        <v>12792092.0622787</v>
      </c>
      <c r="L64" t="n">
        <v>96598774.6632216</v>
      </c>
      <c r="M64" t="n">
        <v>38579779.6714538</v>
      </c>
      <c r="N64" t="n">
        <v>3251217.375055</v>
      </c>
      <c r="O64" t="n">
        <v>1737997.6190238</v>
      </c>
      <c r="P64" t="n">
        <v>10257467.6875014</v>
      </c>
      <c r="Q64" t="n">
        <v>22584204.7906529</v>
      </c>
      <c r="R64" t="n">
        <v>816185.725480874</v>
      </c>
      <c r="S64" t="n">
        <v>3372565.59271722</v>
      </c>
      <c r="T64" t="n">
        <v>16280380.5559315</v>
      </c>
      <c r="U64" t="n">
        <v>296427.767564414</v>
      </c>
      <c r="V64" t="n">
        <v>1218158.30377857</v>
      </c>
      <c r="W64" t="n">
        <v>12886402.2180909</v>
      </c>
      <c r="X64" t="n">
        <v>6752028.90103678</v>
      </c>
      <c r="Y64" t="n">
        <v>21845551.6433751</v>
      </c>
      <c r="Z64" t="n">
        <v>8799906.50024107</v>
      </c>
      <c r="AA64" t="n">
        <v>18938090.9410328</v>
      </c>
      <c r="AB64" t="n">
        <v>327899021.46799</v>
      </c>
      <c r="AC64" t="n">
        <v>42298144.5752636</v>
      </c>
      <c r="AD64" t="n">
        <v>11795096.7456599</v>
      </c>
      <c r="AE64" t="n">
        <v>41017943.5101934</v>
      </c>
      <c r="AF64" t="n">
        <v>96547248.9719272</v>
      </c>
      <c r="AG64" t="n">
        <v>21344386.8161874</v>
      </c>
      <c r="AH64" t="n">
        <v>10508880.2627856</v>
      </c>
      <c r="AI64" t="n">
        <v>51934.1070035152</v>
      </c>
      <c r="AJ64" t="n">
        <v>72983111.9074736</v>
      </c>
      <c r="AK64" t="n">
        <v>5856147.15127643</v>
      </c>
      <c r="AL64" t="n">
        <v>232138374.415595</v>
      </c>
      <c r="AM64" t="n">
        <v>43356072.4180848</v>
      </c>
      <c r="AN64" t="n">
        <v>31736891.6856688</v>
      </c>
      <c r="AO64" t="n">
        <v>72545280.2802195</v>
      </c>
      <c r="AP64" t="n">
        <v>1334373.62959717</v>
      </c>
      <c r="AQ64" t="n">
        <v>153206490.669655</v>
      </c>
      <c r="AR64" t="n">
        <v>19190479.9222733</v>
      </c>
      <c r="AS64" t="n">
        <v>67911653.6942423</v>
      </c>
      <c r="AT64" t="n">
        <v>20717565.6100958</v>
      </c>
      <c r="AU64" t="n">
        <v>36174329.4280297</v>
      </c>
      <c r="AV64" t="n">
        <v>46154.0617369431</v>
      </c>
      <c r="AW64" t="n">
        <v>12661468.5471166</v>
      </c>
      <c r="AX64" t="n">
        <v>348584876.117793</v>
      </c>
      <c r="AY64" t="n">
        <v>112828906.2105</v>
      </c>
      <c r="AZ64" t="n">
        <v>34149934.4762914</v>
      </c>
      <c r="BA64" t="n">
        <v>53171227.6615325</v>
      </c>
      <c r="BB64" t="n">
        <v>206701414.436673</v>
      </c>
      <c r="BC64" t="n">
        <v>67092322.0706941</v>
      </c>
      <c r="BD64" t="n">
        <v>501137787.078857</v>
      </c>
      <c r="BE64" t="n">
        <v>20618686.1271189</v>
      </c>
      <c r="BF64" t="n">
        <v>13175559.3522798</v>
      </c>
      <c r="BG64" t="n">
        <v>149093939.849704</v>
      </c>
      <c r="BH64" t="n">
        <v>220046337.729965</v>
      </c>
      <c r="BI64" t="n">
        <v>46408016.1621473</v>
      </c>
      <c r="BJ64" t="n">
        <v>16078234.0767324</v>
      </c>
      <c r="BK64" t="n">
        <v>13342611.7467365</v>
      </c>
      <c r="BL64" t="n">
        <v>12786884.1955047</v>
      </c>
      <c r="BM64" t="n">
        <v>14188934.5256852</v>
      </c>
      <c r="BN64" t="n">
        <v>65835491.0571073</v>
      </c>
      <c r="BO64" t="n">
        <v>90280182.5279959</v>
      </c>
      <c r="BP64" t="n">
        <v>37600458.4602914</v>
      </c>
      <c r="BQ64" t="n">
        <v>82241714.258192</v>
      </c>
      <c r="BR64" t="n">
        <v>4843753.34557854</v>
      </c>
      <c r="BS64" t="n">
        <v>332203379.220509</v>
      </c>
      <c r="BT64" t="n">
        <v>35569338.3370849</v>
      </c>
      <c r="BU64" t="n">
        <v>370612957.896836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30638143.8749993</v>
      </c>
      <c r="CB64" t="n">
        <v>-19839815.7400088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425867.108147544</v>
      </c>
      <c r="C65" t="n">
        <v>961.090643279073</v>
      </c>
      <c r="D65" t="n">
        <v>7686186.24924801</v>
      </c>
      <c r="E65" t="n">
        <v>136942.155705662</v>
      </c>
      <c r="F65" t="n">
        <v>1486700.33832579</v>
      </c>
      <c r="G65" t="n">
        <v>1044991.283679</v>
      </c>
      <c r="H65" t="n">
        <v>1922992.29787189</v>
      </c>
      <c r="I65" t="n">
        <v>84395.735701201</v>
      </c>
      <c r="J65" t="n">
        <v>497875.951800159</v>
      </c>
      <c r="K65" t="n">
        <v>205229.436119301</v>
      </c>
      <c r="L65" t="n">
        <v>801699.583572118</v>
      </c>
      <c r="M65" t="n">
        <v>697426.401997533</v>
      </c>
      <c r="N65" t="n">
        <v>28863.3531099057</v>
      </c>
      <c r="O65" t="n">
        <v>42006.0324674064</v>
      </c>
      <c r="P65" t="n">
        <v>124457.754673879</v>
      </c>
      <c r="Q65" t="n">
        <v>169769.88953001</v>
      </c>
      <c r="R65" t="n">
        <v>46283.8041504464</v>
      </c>
      <c r="S65" t="n">
        <v>45128.2576105648</v>
      </c>
      <c r="T65" t="n">
        <v>1140690.92129182</v>
      </c>
      <c r="U65" t="n">
        <v>15487.256632472</v>
      </c>
      <c r="V65" t="n">
        <v>906.302146398325</v>
      </c>
      <c r="W65" t="n">
        <v>564645.190480506</v>
      </c>
      <c r="X65" t="n">
        <v>41517.8506837794</v>
      </c>
      <c r="Y65" t="n">
        <v>1013653.78609185</v>
      </c>
      <c r="Z65" t="n">
        <v>558924.945274143</v>
      </c>
      <c r="AA65" t="n">
        <v>622509.016203519</v>
      </c>
      <c r="AB65" t="n">
        <v>2344433.28790574</v>
      </c>
      <c r="AC65" t="n">
        <v>1095643.6296618</v>
      </c>
      <c r="AD65" t="n">
        <v>317065.139196855</v>
      </c>
      <c r="AE65" t="n">
        <v>394362.136668659</v>
      </c>
      <c r="AF65" t="n">
        <v>1154194.88559574</v>
      </c>
      <c r="AG65" t="n">
        <v>126403.432393468</v>
      </c>
      <c r="AH65" t="n">
        <v>420845.732821585</v>
      </c>
      <c r="AI65" t="n">
        <v>18.4481110004354</v>
      </c>
      <c r="AJ65" t="n">
        <v>1318534.53369792</v>
      </c>
      <c r="AK65" t="n">
        <v>7852.91350249049</v>
      </c>
      <c r="AL65" t="n">
        <v>4563151.69223134</v>
      </c>
      <c r="AM65" t="n">
        <v>257061.268557051</v>
      </c>
      <c r="AN65" t="n">
        <v>271319.238463348</v>
      </c>
      <c r="AO65" t="n">
        <v>42799.9435158244</v>
      </c>
      <c r="AP65" t="n">
        <v>8113.42415180192</v>
      </c>
      <c r="AQ65" t="n">
        <v>75926.9607877791</v>
      </c>
      <c r="AR65" t="n">
        <v>14467.8135818083</v>
      </c>
      <c r="AS65" t="n">
        <v>286362.139672823</v>
      </c>
      <c r="AT65" t="n">
        <v>42151.8184800362</v>
      </c>
      <c r="AU65" t="n">
        <v>943673.658280825</v>
      </c>
      <c r="AV65" t="n">
        <v>27895.5305523045</v>
      </c>
      <c r="AW65" t="n">
        <v>2672.52484310271</v>
      </c>
      <c r="AX65" t="n">
        <v>29295293.1198609</v>
      </c>
      <c r="AY65" t="n">
        <v>808004.940490078</v>
      </c>
      <c r="AZ65" t="n">
        <v>237392.232390173</v>
      </c>
      <c r="BA65" t="n">
        <v>118014.762415271</v>
      </c>
      <c r="BB65" t="n">
        <v>1700272.23332438</v>
      </c>
      <c r="BC65" t="n">
        <v>562135.216943891</v>
      </c>
      <c r="BD65" t="n">
        <v>3074812.39698216</v>
      </c>
      <c r="BE65" t="n">
        <v>11976068.349754</v>
      </c>
      <c r="BF65" t="n">
        <v>164762.143584754</v>
      </c>
      <c r="BG65" t="n">
        <v>2023370.07467836</v>
      </c>
      <c r="BH65" t="n">
        <v>2561867.73615009</v>
      </c>
      <c r="BI65" t="n">
        <v>871705.460588508</v>
      </c>
      <c r="BJ65" t="n">
        <v>478724.17232415</v>
      </c>
      <c r="BK65" t="n">
        <v>73482.6458829748</v>
      </c>
      <c r="BL65" t="n">
        <v>501247.924038487</v>
      </c>
      <c r="BM65" t="n">
        <v>552144.633849721</v>
      </c>
      <c r="BN65" t="n">
        <v>2542525.83116055</v>
      </c>
      <c r="BO65" t="n">
        <v>1911557.98857133</v>
      </c>
      <c r="BP65" t="n">
        <v>138569.206421549</v>
      </c>
      <c r="BQ65" t="n">
        <v>1848522.84628</v>
      </c>
      <c r="BR65" t="n">
        <v>422029.698925433</v>
      </c>
      <c r="BS65" t="n">
        <v>42775081.9712812</v>
      </c>
      <c r="BT65" t="n">
        <v>4682439.74542721</v>
      </c>
      <c r="BU65" t="n">
        <v>37489834.8771154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2046556.42790899</v>
      </c>
      <c r="CB65" t="n">
        <v>-3158082.72341924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10161.3612264641</v>
      </c>
      <c r="C66" t="n">
        <v>0</v>
      </c>
      <c r="D66" t="n">
        <v>0</v>
      </c>
      <c r="E66" t="n">
        <v>0</v>
      </c>
      <c r="F66" t="n">
        <v>0</v>
      </c>
      <c r="G66" t="n">
        <v>424789.177430537</v>
      </c>
      <c r="H66" t="n">
        <v>9046.22207006758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22333.5921711907</v>
      </c>
      <c r="Y66" t="n">
        <v>25356.423836583</v>
      </c>
      <c r="Z66" t="n">
        <v>0</v>
      </c>
      <c r="AA66" t="n">
        <v>4594.95738937395</v>
      </c>
      <c r="AB66" t="n">
        <v>3538888.348239</v>
      </c>
      <c r="AC66" t="n">
        <v>229841.312617917</v>
      </c>
      <c r="AD66" t="n">
        <v>844827.484523722</v>
      </c>
      <c r="AE66" t="n">
        <v>0</v>
      </c>
      <c r="AF66" t="n">
        <v>6294504.5717171</v>
      </c>
      <c r="AG66" t="n">
        <v>312749.91920539</v>
      </c>
      <c r="AH66" t="n">
        <v>53577.3932909759</v>
      </c>
      <c r="AI66" t="n">
        <v>0</v>
      </c>
      <c r="AJ66" t="n">
        <v>0</v>
      </c>
      <c r="AK66" t="n">
        <v>0</v>
      </c>
      <c r="AL66" t="n">
        <v>340781.578310768</v>
      </c>
      <c r="AM66" t="n">
        <v>61724.0586858267</v>
      </c>
      <c r="AN66" t="n">
        <v>0</v>
      </c>
      <c r="AO66" t="n">
        <v>0</v>
      </c>
      <c r="AP66" t="n">
        <v>0</v>
      </c>
      <c r="AQ66" t="n">
        <v>31310.0026930332</v>
      </c>
      <c r="AR66" t="n">
        <v>43518.3843404939</v>
      </c>
      <c r="AS66" t="n">
        <v>50627.5955740965</v>
      </c>
      <c r="AT66" t="n">
        <v>5330.52490410194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69389.0995893498</v>
      </c>
      <c r="BB66" t="n">
        <v>60886.5893370368</v>
      </c>
      <c r="BC66" t="n">
        <v>0</v>
      </c>
      <c r="BD66" t="n">
        <v>680750.19039047</v>
      </c>
      <c r="BE66" t="n">
        <v>0</v>
      </c>
      <c r="BF66" t="n">
        <v>2913283.58690764</v>
      </c>
      <c r="BG66" t="n">
        <v>0</v>
      </c>
      <c r="BH66" t="n">
        <v>12904.6896220124</v>
      </c>
      <c r="BI66" t="n">
        <v>0</v>
      </c>
      <c r="BJ66" t="n">
        <v>0</v>
      </c>
      <c r="BK66" t="n">
        <v>3557513.18609501</v>
      </c>
      <c r="BL66" t="n">
        <v>501580.854568011</v>
      </c>
      <c r="BM66" t="n">
        <v>0</v>
      </c>
      <c r="BN66" t="n">
        <v>0</v>
      </c>
      <c r="BO66" t="n">
        <v>5068308.55404983</v>
      </c>
      <c r="BP66" t="n">
        <v>0</v>
      </c>
      <c r="BQ66" t="n">
        <v>69767.3659708708</v>
      </c>
      <c r="BR66" t="n">
        <v>410365.468052545</v>
      </c>
      <c r="BS66" t="n">
        <v>35309876.3545929</v>
      </c>
      <c r="BT66" t="n">
        <v>17519.2396211025</v>
      </c>
      <c r="BU66" t="n">
        <v>913473808.526771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16900396.5227218</v>
      </c>
      <c r="CB66" t="n">
        <v>-15911198.4548044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527240.319606638</v>
      </c>
      <c r="BC67" t="n">
        <v>0</v>
      </c>
      <c r="BD67" t="n">
        <v>926718.200408998</v>
      </c>
      <c r="BE67" t="n">
        <v>0</v>
      </c>
      <c r="BF67" t="n">
        <v>0</v>
      </c>
      <c r="BG67" t="n">
        <v>141851817.284852</v>
      </c>
      <c r="BH67" t="n">
        <v>123040773.603164</v>
      </c>
      <c r="BI67" t="n">
        <v>795823.665893272</v>
      </c>
      <c r="BJ67" t="n">
        <v>7796.24788977836</v>
      </c>
      <c r="BK67" t="n">
        <v>622359.421816396</v>
      </c>
      <c r="BL67" t="n">
        <v>21395.965095697</v>
      </c>
      <c r="BM67" t="n">
        <v>0</v>
      </c>
      <c r="BN67" t="n">
        <v>0</v>
      </c>
      <c r="BO67" t="n">
        <v>506271.868146586</v>
      </c>
      <c r="BP67" t="n">
        <v>0</v>
      </c>
      <c r="BQ67" t="n">
        <v>8181323.00895977</v>
      </c>
      <c r="BR67" t="n">
        <v>0</v>
      </c>
      <c r="BS67" t="n">
        <v>139301587.579753</v>
      </c>
      <c r="BT67" t="n">
        <v>0</v>
      </c>
      <c r="BU67" t="n">
        <v>10006275282.4894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9615933.88825813</v>
      </c>
      <c r="CB67" t="n">
        <v>-3554535.79684046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8868060.39179233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9950339242.01237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45980371.7342001</v>
      </c>
      <c r="CB68" t="n">
        <v>-48304052.3590844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25747502.4943131</v>
      </c>
      <c r="BR69" t="n">
        <v>0</v>
      </c>
      <c r="BS69" t="n">
        <v>16686393.3785373</v>
      </c>
      <c r="BT69" t="n">
        <v>0</v>
      </c>
      <c r="BU69" t="n">
        <v>2243908816.30079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2290673.3797961</v>
      </c>
      <c r="CB69" t="n">
        <v>-1021849.2963298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2177663507.13602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1083478.46678074</v>
      </c>
      <c r="C71" t="n">
        <v>0</v>
      </c>
      <c r="D71" t="n">
        <v>0</v>
      </c>
      <c r="E71" t="n">
        <v>0</v>
      </c>
      <c r="F71" t="n">
        <v>1490869.47383218</v>
      </c>
      <c r="G71" t="n">
        <v>1126864.97346996</v>
      </c>
      <c r="H71" t="n">
        <v>1053822.61233543</v>
      </c>
      <c r="I71" t="n">
        <v>95596.2332755215</v>
      </c>
      <c r="J71" t="n">
        <v>409693.216555856</v>
      </c>
      <c r="K71" t="n">
        <v>198141.890091673</v>
      </c>
      <c r="L71" t="n">
        <v>912741.652563764</v>
      </c>
      <c r="M71" t="n">
        <v>778131.640407282</v>
      </c>
      <c r="N71" t="n">
        <v>10238.7803540504</v>
      </c>
      <c r="O71" t="n">
        <v>19211.879075408</v>
      </c>
      <c r="P71" t="n">
        <v>138121.573170238</v>
      </c>
      <c r="Q71" t="n">
        <v>78635.0774132599</v>
      </c>
      <c r="R71" t="n">
        <v>42072.1169689535</v>
      </c>
      <c r="S71" t="n">
        <v>64347.7987356026</v>
      </c>
      <c r="T71" t="n">
        <v>556731.738805804</v>
      </c>
      <c r="U71" t="n">
        <v>7219.46809699191</v>
      </c>
      <c r="V71" t="n">
        <v>4393.76732169395</v>
      </c>
      <c r="W71" t="n">
        <v>420334.366142238</v>
      </c>
      <c r="X71" t="n">
        <v>93129.1844461294</v>
      </c>
      <c r="Y71" t="n">
        <v>507637.545499789</v>
      </c>
      <c r="Z71" t="n">
        <v>77477.0483781615</v>
      </c>
      <c r="AA71" t="n">
        <v>1085588.0044163</v>
      </c>
      <c r="AB71" t="n">
        <v>18601387.5202587</v>
      </c>
      <c r="AC71" t="n">
        <v>3390240.78265677</v>
      </c>
      <c r="AD71" t="n">
        <v>1928797.37084334</v>
      </c>
      <c r="AE71" t="n">
        <v>764749.581977315</v>
      </c>
      <c r="AF71" t="n">
        <v>3605581.21632687</v>
      </c>
      <c r="AG71" t="n">
        <v>0</v>
      </c>
      <c r="AH71" t="n">
        <v>2095039.11778943</v>
      </c>
      <c r="AI71" t="n">
        <v>0</v>
      </c>
      <c r="AJ71" t="n">
        <v>600164.822643254</v>
      </c>
      <c r="AK71" t="n">
        <v>19035.525218853</v>
      </c>
      <c r="AL71" t="n">
        <v>0</v>
      </c>
      <c r="AM71" t="n">
        <v>1677424.68340729</v>
      </c>
      <c r="AN71" t="n">
        <v>48976.1707230493</v>
      </c>
      <c r="AO71" t="n">
        <v>880361.663439495</v>
      </c>
      <c r="AP71" t="n">
        <v>9962183.50659863</v>
      </c>
      <c r="AQ71" t="n">
        <v>159107447.698694</v>
      </c>
      <c r="AR71" t="n">
        <v>506098.241102177</v>
      </c>
      <c r="AS71" t="n">
        <v>10018068.656412</v>
      </c>
      <c r="AT71" t="n">
        <v>1347923.35636795</v>
      </c>
      <c r="AU71" t="n">
        <v>795675.303170513</v>
      </c>
      <c r="AV71" t="n">
        <v>125305.464818547</v>
      </c>
      <c r="AW71" t="n">
        <v>0</v>
      </c>
      <c r="AX71" t="n">
        <v>16357716.4244957</v>
      </c>
      <c r="AY71" t="n">
        <v>1648024.77772132</v>
      </c>
      <c r="AZ71" t="n">
        <v>2361538.24471316</v>
      </c>
      <c r="BA71" t="n">
        <v>1991484.78251623</v>
      </c>
      <c r="BB71" t="n">
        <v>22784403.6594994</v>
      </c>
      <c r="BC71" t="n">
        <v>18969142.7835854</v>
      </c>
      <c r="BD71" t="n">
        <v>15461724.4344158</v>
      </c>
      <c r="BE71" t="n">
        <v>535074.06330896</v>
      </c>
      <c r="BF71" t="n">
        <v>4711682.11828042</v>
      </c>
      <c r="BG71" t="n">
        <v>6628798.58967934</v>
      </c>
      <c r="BH71" t="n">
        <v>9154807.13966856</v>
      </c>
      <c r="BI71" t="n">
        <v>1239294.6297234</v>
      </c>
      <c r="BJ71" t="n">
        <v>4609085.04472247</v>
      </c>
      <c r="BK71" t="n">
        <v>75641344.4753711</v>
      </c>
      <c r="BL71" t="n">
        <v>3459692.40569309</v>
      </c>
      <c r="BM71" t="n">
        <v>890542.017307499</v>
      </c>
      <c r="BN71" t="n">
        <v>23734261.3710804</v>
      </c>
      <c r="BO71" t="n">
        <v>9322720.20309209</v>
      </c>
      <c r="BP71" t="n">
        <v>0</v>
      </c>
      <c r="BQ71" t="n">
        <v>159538.965900613</v>
      </c>
      <c r="BR71" t="n">
        <v>278884.083476841</v>
      </c>
      <c r="BS71" t="n">
        <v>14798550.2289997</v>
      </c>
      <c r="BT71" t="n">
        <v>167905.779797402</v>
      </c>
      <c r="BU71" t="n">
        <v>505039549.501112</v>
      </c>
      <c r="BV71" t="n">
        <v>0</v>
      </c>
      <c r="BW71" t="n">
        <v>0</v>
      </c>
      <c r="BX71" t="n">
        <v>20403538.0656243</v>
      </c>
      <c r="BY71" t="n">
        <v>0</v>
      </c>
      <c r="BZ71" t="n">
        <v>0</v>
      </c>
      <c r="CA71" t="n">
        <v>7217570.85784413</v>
      </c>
      <c r="CB71" t="n">
        <v>-9463883.17863488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130980.178312198</v>
      </c>
      <c r="C72" t="n">
        <v>0</v>
      </c>
      <c r="D72" t="n">
        <v>0</v>
      </c>
      <c r="E72" t="n">
        <v>0</v>
      </c>
      <c r="F72" t="n">
        <v>387202.436949156</v>
      </c>
      <c r="G72" t="n">
        <v>218397.694586879</v>
      </c>
      <c r="H72" t="n">
        <v>266528.020833232</v>
      </c>
      <c r="I72" t="n">
        <v>11020.3981295784</v>
      </c>
      <c r="J72" t="n">
        <v>74461.2542198168</v>
      </c>
      <c r="K72" t="n">
        <v>16552.1235387187</v>
      </c>
      <c r="L72" t="n">
        <v>117790.751831118</v>
      </c>
      <c r="M72" t="n">
        <v>88344.394826423</v>
      </c>
      <c r="N72" t="n">
        <v>1639.35207249533</v>
      </c>
      <c r="O72" t="n">
        <v>1845.63196140879</v>
      </c>
      <c r="P72" t="n">
        <v>17459.1534448193</v>
      </c>
      <c r="Q72" t="n">
        <v>10072.3385145976</v>
      </c>
      <c r="R72" t="n">
        <v>6736.25273346501</v>
      </c>
      <c r="S72" t="n">
        <v>8242.28617628207</v>
      </c>
      <c r="T72" t="n">
        <v>52792.1197072662</v>
      </c>
      <c r="U72" t="n">
        <v>0</v>
      </c>
      <c r="V72" t="n">
        <v>0</v>
      </c>
      <c r="W72" t="n">
        <v>36238.7821531276</v>
      </c>
      <c r="X72" t="n">
        <v>11544.0807308088</v>
      </c>
      <c r="Y72" t="n">
        <v>31128.0840417294</v>
      </c>
      <c r="Z72" t="n">
        <v>10234.1322145791</v>
      </c>
      <c r="AA72" t="n">
        <v>95894.7425713103</v>
      </c>
      <c r="AB72" t="n">
        <v>1309534.49625148</v>
      </c>
      <c r="AC72" t="n">
        <v>28215.8073296981</v>
      </c>
      <c r="AD72" t="n">
        <v>75295.0179007051</v>
      </c>
      <c r="AE72" t="n">
        <v>10203.8016964466</v>
      </c>
      <c r="AF72" t="n">
        <v>895956.022679459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12628.960735629</v>
      </c>
      <c r="AN72" t="n">
        <v>3360.71781716325</v>
      </c>
      <c r="AO72" t="n">
        <v>62581.7657629117</v>
      </c>
      <c r="AP72" t="n">
        <v>6571.66837797681</v>
      </c>
      <c r="AQ72" t="n">
        <v>89685.9221972992</v>
      </c>
      <c r="AR72" t="n">
        <v>74119.9117120238</v>
      </c>
      <c r="AS72" t="n">
        <v>826447.116548331</v>
      </c>
      <c r="AT72" t="n">
        <v>157052.772050944</v>
      </c>
      <c r="AU72" t="n">
        <v>56300.5413998038</v>
      </c>
      <c r="AV72" t="n">
        <v>5128.39646520456</v>
      </c>
      <c r="AW72" t="n">
        <v>0</v>
      </c>
      <c r="AX72" t="n">
        <v>0</v>
      </c>
      <c r="AY72" t="n">
        <v>203878.078715975</v>
      </c>
      <c r="AZ72" t="n">
        <v>166886.007843545</v>
      </c>
      <c r="BA72" t="n">
        <v>269747.849123857</v>
      </c>
      <c r="BB72" t="n">
        <v>856544.966741875</v>
      </c>
      <c r="BC72" t="n">
        <v>1864132.79691513</v>
      </c>
      <c r="BD72" t="n">
        <v>1655147.94195132</v>
      </c>
      <c r="BE72" t="n">
        <v>66980.3380368764</v>
      </c>
      <c r="BF72" t="n">
        <v>80524.9834726798</v>
      </c>
      <c r="BG72" t="n">
        <v>974067.495496399</v>
      </c>
      <c r="BH72" t="n">
        <v>44357.7983981826</v>
      </c>
      <c r="BI72" t="n">
        <v>83622.273190768</v>
      </c>
      <c r="BJ72" t="n">
        <v>163727.314240572</v>
      </c>
      <c r="BK72" t="n">
        <v>240775.76680322</v>
      </c>
      <c r="BL72" t="n">
        <v>596731.956889674</v>
      </c>
      <c r="BM72" t="n">
        <v>532735.675132486</v>
      </c>
      <c r="BN72" t="n">
        <v>2874268.33091174</v>
      </c>
      <c r="BO72" t="n">
        <v>136921.399830266</v>
      </c>
      <c r="BP72" t="n">
        <v>17444.5585689239</v>
      </c>
      <c r="BQ72" t="n">
        <v>9015.56833054542</v>
      </c>
      <c r="BR72" t="n">
        <v>4129.28981784137</v>
      </c>
      <c r="BS72" t="n">
        <v>3137845.26300411</v>
      </c>
      <c r="BT72" t="n">
        <v>282279.248607205</v>
      </c>
      <c r="BU72" t="n">
        <v>579879978.141354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141846.364675011</v>
      </c>
      <c r="CB72" t="n">
        <v>-212598.868202298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10941.1706566705</v>
      </c>
      <c r="C73" t="n">
        <v>0</v>
      </c>
      <c r="D73" t="n">
        <v>63052.9784517541</v>
      </c>
      <c r="E73" t="n">
        <v>53559.7614113612</v>
      </c>
      <c r="F73" t="n">
        <v>10308284.0211796</v>
      </c>
      <c r="G73" t="n">
        <v>8577013.75675039</v>
      </c>
      <c r="H73" t="n">
        <v>1933479.88190616</v>
      </c>
      <c r="I73" t="n">
        <v>296422.639963063</v>
      </c>
      <c r="J73" t="n">
        <v>1707382.83389337</v>
      </c>
      <c r="K73" t="n">
        <v>489976.22802309</v>
      </c>
      <c r="L73" t="n">
        <v>3347369.98654467</v>
      </c>
      <c r="M73" t="n">
        <v>2777596.00139336</v>
      </c>
      <c r="N73" t="n">
        <v>57514.8165891933</v>
      </c>
      <c r="O73" t="n">
        <v>80939.8919949532</v>
      </c>
      <c r="P73" t="n">
        <v>640098.747642581</v>
      </c>
      <c r="Q73" t="n">
        <v>273866.884245558</v>
      </c>
      <c r="R73" t="n">
        <v>181977.042736738</v>
      </c>
      <c r="S73" t="n">
        <v>267483.456869158</v>
      </c>
      <c r="T73" t="n">
        <v>1519606.45847834</v>
      </c>
      <c r="U73" t="n">
        <v>20682.6837032341</v>
      </c>
      <c r="V73" t="n">
        <v>7404.39914436244</v>
      </c>
      <c r="W73" t="n">
        <v>1071605.83824907</v>
      </c>
      <c r="X73" t="n">
        <v>440449.504750089</v>
      </c>
      <c r="Y73" t="n">
        <v>882775.72800286</v>
      </c>
      <c r="Z73" t="n">
        <v>332940.030554333</v>
      </c>
      <c r="AA73" t="n">
        <v>2938866.34192708</v>
      </c>
      <c r="AB73" t="n">
        <v>16407053.6221637</v>
      </c>
      <c r="AC73" t="n">
        <v>261621.646556535</v>
      </c>
      <c r="AD73" t="n">
        <v>247121.226106889</v>
      </c>
      <c r="AE73" t="n">
        <v>438536.35612462</v>
      </c>
      <c r="AF73" t="n">
        <v>1284117.32232599</v>
      </c>
      <c r="AG73" t="n">
        <v>0</v>
      </c>
      <c r="AH73" t="n">
        <v>184605.000144094</v>
      </c>
      <c r="AI73" t="n">
        <v>0</v>
      </c>
      <c r="AJ73" t="n">
        <v>0</v>
      </c>
      <c r="AK73" t="n">
        <v>0</v>
      </c>
      <c r="AL73" t="n">
        <v>954028.524014715</v>
      </c>
      <c r="AM73" t="n">
        <v>1736845.48952292</v>
      </c>
      <c r="AN73" t="n">
        <v>88430.2427031257</v>
      </c>
      <c r="AO73" t="n">
        <v>2012643.04562679</v>
      </c>
      <c r="AP73" t="n">
        <v>252895.023346451</v>
      </c>
      <c r="AQ73" t="n">
        <v>2939757.39548037</v>
      </c>
      <c r="AR73" t="n">
        <v>2387652.3210493</v>
      </c>
      <c r="AS73" t="n">
        <v>26478531.1507956</v>
      </c>
      <c r="AT73" t="n">
        <v>5088158.34617059</v>
      </c>
      <c r="AU73" t="n">
        <v>1774530.96464674</v>
      </c>
      <c r="AV73" t="n">
        <v>168928.644330621</v>
      </c>
      <c r="AW73" t="n">
        <v>27292.8304597382</v>
      </c>
      <c r="AX73" t="n">
        <v>36786379.085622</v>
      </c>
      <c r="AY73" t="n">
        <v>7196329.16031566</v>
      </c>
      <c r="AZ73" t="n">
        <v>4197308.26228677</v>
      </c>
      <c r="BA73" t="n">
        <v>8825170.2100824</v>
      </c>
      <c r="BB73" t="n">
        <v>26407948.6301229</v>
      </c>
      <c r="BC73" t="n">
        <v>3704504.73121375</v>
      </c>
      <c r="BD73" t="n">
        <v>34915553.008597</v>
      </c>
      <c r="BE73" t="n">
        <v>2500996.43617991</v>
      </c>
      <c r="BF73" t="n">
        <v>2085609.29610508</v>
      </c>
      <c r="BG73" t="n">
        <v>20580619.204508</v>
      </c>
      <c r="BH73" t="n">
        <v>1539569.24051039</v>
      </c>
      <c r="BI73" t="n">
        <v>1552887.00725086</v>
      </c>
      <c r="BJ73" t="n">
        <v>1873699.40841934</v>
      </c>
      <c r="BK73" t="n">
        <v>377208.529205162</v>
      </c>
      <c r="BL73" t="n">
        <v>1067635.60696952</v>
      </c>
      <c r="BM73" t="n">
        <v>1490469.10972492</v>
      </c>
      <c r="BN73" t="n">
        <v>15965377.4851651</v>
      </c>
      <c r="BO73" t="n">
        <v>3692171.31534555</v>
      </c>
      <c r="BP73" t="n">
        <v>15127159.6346812</v>
      </c>
      <c r="BQ73" t="n">
        <v>8200104.35955945</v>
      </c>
      <c r="BR73" t="n">
        <v>376665.82505593</v>
      </c>
      <c r="BS73" t="n">
        <v>27941698.6629288</v>
      </c>
      <c r="BT73" t="n">
        <v>844151.106563784</v>
      </c>
      <c r="BU73" t="n">
        <v>941020767.649985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7353327.08163748</v>
      </c>
      <c r="C74" t="n">
        <v>26855.837473908</v>
      </c>
      <c r="D74" t="n">
        <v>1401769.15796089</v>
      </c>
      <c r="E74" t="n">
        <v>335844.009306462</v>
      </c>
      <c r="F74" t="n">
        <v>34436955.4071118</v>
      </c>
      <c r="G74" t="n">
        <v>28586745.919915</v>
      </c>
      <c r="H74" t="n">
        <v>4014428.53260214</v>
      </c>
      <c r="I74" t="n">
        <v>716299.152789128</v>
      </c>
      <c r="J74" t="n">
        <v>3653783.79250138</v>
      </c>
      <c r="K74" t="n">
        <v>1241362.94926483</v>
      </c>
      <c r="L74" t="n">
        <v>6713822.35686197</v>
      </c>
      <c r="M74" t="n">
        <v>6156695.03644063</v>
      </c>
      <c r="N74" t="n">
        <v>103275.327290914</v>
      </c>
      <c r="O74" t="n">
        <v>260224.397400341</v>
      </c>
      <c r="P74" t="n">
        <v>1251774.59738844</v>
      </c>
      <c r="Q74" t="n">
        <v>626979.679473636</v>
      </c>
      <c r="R74" t="n">
        <v>355660.874365472</v>
      </c>
      <c r="S74" t="n">
        <v>519244.655716463</v>
      </c>
      <c r="T74" t="n">
        <v>3923267.97103913</v>
      </c>
      <c r="U74" t="n">
        <v>72820.4829873316</v>
      </c>
      <c r="V74" t="n">
        <v>37987.3167782883</v>
      </c>
      <c r="W74" t="n">
        <v>2717807.25815284</v>
      </c>
      <c r="X74" t="n">
        <v>679632.395455832</v>
      </c>
      <c r="Y74" t="n">
        <v>3252763.41943218</v>
      </c>
      <c r="Z74" t="n">
        <v>675427.52547839</v>
      </c>
      <c r="AA74" t="n">
        <v>6091909.29339247</v>
      </c>
      <c r="AB74" t="n">
        <v>67391260.8961195</v>
      </c>
      <c r="AC74" t="n">
        <v>9649446.07902527</v>
      </c>
      <c r="AD74" t="n">
        <v>5676061.02320056</v>
      </c>
      <c r="AE74" t="n">
        <v>14922503.2117904</v>
      </c>
      <c r="AF74" t="n">
        <v>29743499.6578453</v>
      </c>
      <c r="AG74" t="n">
        <v>62310883.6748998</v>
      </c>
      <c r="AH74" t="n">
        <v>59193.2620274542</v>
      </c>
      <c r="AI74" t="n">
        <v>244.86113795992</v>
      </c>
      <c r="AJ74" t="n">
        <v>12644574.7429125</v>
      </c>
      <c r="AK74" t="n">
        <v>192005.300353357</v>
      </c>
      <c r="AL74" t="n">
        <v>8534035.82718651</v>
      </c>
      <c r="AM74" t="n">
        <v>11350486.4144209</v>
      </c>
      <c r="AN74" t="n">
        <v>2742243.42374267</v>
      </c>
      <c r="AO74" t="n">
        <v>2996859.41212346</v>
      </c>
      <c r="AP74" t="n">
        <v>581570.952622947</v>
      </c>
      <c r="AQ74" t="n">
        <v>4596872.61373809</v>
      </c>
      <c r="AR74" t="n">
        <v>3530190.05496649</v>
      </c>
      <c r="AS74" t="n">
        <v>64500783.0139348</v>
      </c>
      <c r="AT74" t="n">
        <v>8603226.1763968</v>
      </c>
      <c r="AU74" t="n">
        <v>17183737.014905</v>
      </c>
      <c r="AV74" t="n">
        <v>671794.871794872</v>
      </c>
      <c r="AW74" t="n">
        <v>37339.2943388104</v>
      </c>
      <c r="AX74" t="n">
        <v>175217505.636978</v>
      </c>
      <c r="AY74" t="n">
        <v>28696146.4601203</v>
      </c>
      <c r="AZ74" t="n">
        <v>12897721.108013</v>
      </c>
      <c r="BA74" t="n">
        <v>19603649.8492323</v>
      </c>
      <c r="BB74" t="n">
        <v>110144744.929318</v>
      </c>
      <c r="BC74" t="n">
        <v>30793528.805519</v>
      </c>
      <c r="BD74" t="n">
        <v>114191192.147239</v>
      </c>
      <c r="BE74" t="n">
        <v>3860794.00785547</v>
      </c>
      <c r="BF74" t="n">
        <v>7436441.60293623</v>
      </c>
      <c r="BG74" t="n">
        <v>225382743.739541</v>
      </c>
      <c r="BH74" t="n">
        <v>186837581.051942</v>
      </c>
      <c r="BI74" t="n">
        <v>65447846.2624836</v>
      </c>
      <c r="BJ74" t="n">
        <v>28721377.2259435</v>
      </c>
      <c r="BK74" t="n">
        <v>2457638.30074942</v>
      </c>
      <c r="BL74" t="n">
        <v>9884935.87421201</v>
      </c>
      <c r="BM74" t="n">
        <v>39347022.7495497</v>
      </c>
      <c r="BN74" t="n">
        <v>68241097.7963287</v>
      </c>
      <c r="BO74" t="n">
        <v>16802494.6428272</v>
      </c>
      <c r="BP74" t="n">
        <v>9245271.09385581</v>
      </c>
      <c r="BQ74" t="n">
        <v>4449016.97512027</v>
      </c>
      <c r="BR74" t="n">
        <v>3753384.40296248</v>
      </c>
      <c r="BS74" t="n">
        <v>163355998.813748</v>
      </c>
      <c r="BT74" t="n">
        <v>4822762.64976661</v>
      </c>
      <c r="BU74" t="n">
        <v>8298868424.86772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28721773.8684991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7723417.00221204</v>
      </c>
      <c r="C75" t="n">
        <v>176479.703852868</v>
      </c>
      <c r="D75" t="n">
        <v>9884760.98294841</v>
      </c>
      <c r="E75" t="n">
        <v>1458327.57639395</v>
      </c>
      <c r="F75" t="n">
        <v>44792683.194243</v>
      </c>
      <c r="G75" t="n">
        <v>15424101.9861971</v>
      </c>
      <c r="H75" t="n">
        <v>55712918.5112572</v>
      </c>
      <c r="I75" t="n">
        <v>2124215.45661616</v>
      </c>
      <c r="J75" t="n">
        <v>17055403.4136089</v>
      </c>
      <c r="K75" t="n">
        <v>7589457.20036884</v>
      </c>
      <c r="L75" t="n">
        <v>31287527.3226459</v>
      </c>
      <c r="M75" t="n">
        <v>21831605.6337535</v>
      </c>
      <c r="N75" t="n">
        <v>1479408.32469909</v>
      </c>
      <c r="O75" t="n">
        <v>981010.905010115</v>
      </c>
      <c r="P75" t="n">
        <v>4930682.07592836</v>
      </c>
      <c r="Q75" t="n">
        <v>3787345.24086531</v>
      </c>
      <c r="R75" t="n">
        <v>653151.308477785</v>
      </c>
      <c r="S75" t="n">
        <v>1465358.90634493</v>
      </c>
      <c r="T75" t="n">
        <v>16392077.0131548</v>
      </c>
      <c r="U75" t="n">
        <v>275471.524590922</v>
      </c>
      <c r="V75" t="n">
        <v>55473.0661171544</v>
      </c>
      <c r="W75" t="n">
        <v>19382996.8028817</v>
      </c>
      <c r="X75" t="n">
        <v>1614081.60061505</v>
      </c>
      <c r="Y75" t="n">
        <v>20136475.8498456</v>
      </c>
      <c r="Z75" t="n">
        <v>6518473.89789419</v>
      </c>
      <c r="AA75" t="n">
        <v>16836589.2451869</v>
      </c>
      <c r="AB75" t="n">
        <v>163235914.659137</v>
      </c>
      <c r="AC75" t="n">
        <v>26766170.3115245</v>
      </c>
      <c r="AD75" t="n">
        <v>17153140.0497328</v>
      </c>
      <c r="AE75" t="n">
        <v>34779363.4592837</v>
      </c>
      <c r="AF75" t="n">
        <v>57119372.1154013</v>
      </c>
      <c r="AG75" t="n">
        <v>3917048.66001392</v>
      </c>
      <c r="AH75" t="n">
        <v>2363221.29540948</v>
      </c>
      <c r="AI75" t="n">
        <v>5658.4189289795</v>
      </c>
      <c r="AJ75" t="n">
        <v>93806164.6114963</v>
      </c>
      <c r="AK75" t="n">
        <v>2619905.73345237</v>
      </c>
      <c r="AL75" t="n">
        <v>97017053.4327102</v>
      </c>
      <c r="AM75" t="n">
        <v>19152246.3165033</v>
      </c>
      <c r="AN75" t="n">
        <v>9083124.72568442</v>
      </c>
      <c r="AO75" t="n">
        <v>8580704.48546253</v>
      </c>
      <c r="AP75" t="n">
        <v>394810.118588691</v>
      </c>
      <c r="AQ75" t="n">
        <v>29078912.9859826</v>
      </c>
      <c r="AR75" t="n">
        <v>3271103.91450119</v>
      </c>
      <c r="AS75" t="n">
        <v>29887559.8481416</v>
      </c>
      <c r="AT75" t="n">
        <v>10449996.8165494</v>
      </c>
      <c r="AU75" t="n">
        <v>34508114.9081678</v>
      </c>
      <c r="AV75" t="n">
        <v>125367.109235546</v>
      </c>
      <c r="AW75" t="n">
        <v>178729617.560803</v>
      </c>
      <c r="AX75" t="n">
        <v>28666022.6833418</v>
      </c>
      <c r="AY75" t="n">
        <v>68153821.1152736</v>
      </c>
      <c r="AZ75" t="n">
        <v>6305321.53406605</v>
      </c>
      <c r="BA75" t="n">
        <v>7570413.44254698</v>
      </c>
      <c r="BB75" t="n">
        <v>56883051.1938865</v>
      </c>
      <c r="BC75" t="n">
        <v>48506969.2040665</v>
      </c>
      <c r="BD75" t="n">
        <v>154539153.235353</v>
      </c>
      <c r="BE75" t="n">
        <v>33499234.6509966</v>
      </c>
      <c r="BF75" t="n">
        <v>12506365.2306693</v>
      </c>
      <c r="BG75" t="n">
        <v>52317023.4893885</v>
      </c>
      <c r="BH75" t="n">
        <v>114013836.358506</v>
      </c>
      <c r="BI75" t="n">
        <v>13140040.837386</v>
      </c>
      <c r="BJ75" t="n">
        <v>6528786.44740234</v>
      </c>
      <c r="BK75" t="n">
        <v>3804356.8677383</v>
      </c>
      <c r="BL75" t="n">
        <v>11030036.1654637</v>
      </c>
      <c r="BM75" t="n">
        <v>9461296.30845699</v>
      </c>
      <c r="BN75" t="n">
        <v>103330497.79929</v>
      </c>
      <c r="BO75" t="n">
        <v>62822563.243992</v>
      </c>
      <c r="BP75" t="n">
        <v>38940374.9439455</v>
      </c>
      <c r="BQ75" t="n">
        <v>131228597.592478</v>
      </c>
      <c r="BR75" t="n">
        <v>8627199.54228154</v>
      </c>
      <c r="BS75" t="n">
        <v>349107998.567602</v>
      </c>
      <c r="BT75" t="n">
        <v>27183699.8916243</v>
      </c>
      <c r="BU75" t="n">
        <v>5670980901.72788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751802.682944301</v>
      </c>
      <c r="CB75" t="n">
        <v>-45077959.0947501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11716119493.3567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3757264063.48901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36833.0048452264</v>
      </c>
      <c r="C78" t="n">
        <v>1101.39545241762</v>
      </c>
      <c r="D78" t="n">
        <v>0</v>
      </c>
      <c r="E78" t="n">
        <v>5008.52090765558</v>
      </c>
      <c r="F78" t="n">
        <v>0</v>
      </c>
      <c r="G78" t="n">
        <v>620947.837529525</v>
      </c>
      <c r="H78" t="n">
        <v>10930.2790545428</v>
      </c>
      <c r="I78" t="n">
        <v>0</v>
      </c>
      <c r="J78" t="n">
        <v>0</v>
      </c>
      <c r="K78" t="n">
        <v>34618.820796219</v>
      </c>
      <c r="L78" t="n">
        <v>353598.69238009</v>
      </c>
      <c r="M78" t="n">
        <v>913314.590579126</v>
      </c>
      <c r="N78" t="n">
        <v>26219.5489628058</v>
      </c>
      <c r="O78" t="n">
        <v>134510.956294617</v>
      </c>
      <c r="P78" t="n">
        <v>0</v>
      </c>
      <c r="Q78" t="n">
        <v>0</v>
      </c>
      <c r="R78" t="n">
        <v>0</v>
      </c>
      <c r="S78" t="n">
        <v>9126.40692396248</v>
      </c>
      <c r="T78" t="n">
        <v>0</v>
      </c>
      <c r="U78" t="n">
        <v>682.621679087405</v>
      </c>
      <c r="V78" t="n">
        <v>0</v>
      </c>
      <c r="W78" t="n">
        <v>0</v>
      </c>
      <c r="X78" t="n">
        <v>34086.3286582168</v>
      </c>
      <c r="Y78" t="n">
        <v>137868.331990517</v>
      </c>
      <c r="Z78" t="n">
        <v>27929.15489748</v>
      </c>
      <c r="AA78" t="n">
        <v>0</v>
      </c>
      <c r="AB78" t="n">
        <v>26399824.1767441</v>
      </c>
      <c r="AC78" t="n">
        <v>1599388.77143173</v>
      </c>
      <c r="AD78" t="n">
        <v>724576.388156221</v>
      </c>
      <c r="AE78" t="n">
        <v>816230.996085274</v>
      </c>
      <c r="AF78" t="n">
        <v>6080382.48125641</v>
      </c>
      <c r="AG78" t="n">
        <v>3778.86355732045</v>
      </c>
      <c r="AH78" t="n">
        <v>0</v>
      </c>
      <c r="AI78" t="n">
        <v>5953.49362449862</v>
      </c>
      <c r="AJ78" t="n">
        <v>7195178.75997915</v>
      </c>
      <c r="AK78" t="n">
        <v>70359.9801692699</v>
      </c>
      <c r="AL78" t="n">
        <v>3007793.71303522</v>
      </c>
      <c r="AM78" t="n">
        <v>1156456.26594757</v>
      </c>
      <c r="AN78" t="n">
        <v>1035640.43713713</v>
      </c>
      <c r="AO78" t="n">
        <v>466745.909481793</v>
      </c>
      <c r="AP78" t="n">
        <v>73998.0207615219</v>
      </c>
      <c r="AQ78" t="n">
        <v>190536.611811817</v>
      </c>
      <c r="AR78" t="n">
        <v>351393.204200851</v>
      </c>
      <c r="AS78" t="n">
        <v>1574409.53721777</v>
      </c>
      <c r="AT78" t="n">
        <v>1236964.30806095</v>
      </c>
      <c r="AU78" t="n">
        <v>77757.045662261</v>
      </c>
      <c r="AV78" t="n">
        <v>0</v>
      </c>
      <c r="AW78" t="n">
        <v>0</v>
      </c>
      <c r="AX78" t="n">
        <v>433868.733759624</v>
      </c>
      <c r="AY78" t="n">
        <v>2081994.2361586</v>
      </c>
      <c r="AZ78" t="n">
        <v>294731.46287933</v>
      </c>
      <c r="BA78" t="n">
        <v>232654.010196657</v>
      </c>
      <c r="BB78" t="n">
        <v>2379869.74339306</v>
      </c>
      <c r="BC78" t="n">
        <v>254749.08867892</v>
      </c>
      <c r="BD78" t="n">
        <v>1911315.75595158</v>
      </c>
      <c r="BE78" t="n">
        <v>163746.923324668</v>
      </c>
      <c r="BF78" t="n">
        <v>418183.7105255</v>
      </c>
      <c r="BG78" t="n">
        <v>1687493.03319897</v>
      </c>
      <c r="BH78" t="n">
        <v>5183131.5672014</v>
      </c>
      <c r="BI78" t="n">
        <v>384694.952660464</v>
      </c>
      <c r="BJ78" t="n">
        <v>681920.296074565</v>
      </c>
      <c r="BK78" t="n">
        <v>117071.189007233</v>
      </c>
      <c r="BL78" t="n">
        <v>95937.6439335555</v>
      </c>
      <c r="BM78" t="n">
        <v>584709.442524237</v>
      </c>
      <c r="BN78" t="n">
        <v>10975129.8181884</v>
      </c>
      <c r="BO78" t="n">
        <v>832384.153031398</v>
      </c>
      <c r="BP78" t="n">
        <v>1430.79810179478</v>
      </c>
      <c r="BQ78" t="n">
        <v>221836.362375915</v>
      </c>
      <c r="BR78" t="n">
        <v>166632.165830624</v>
      </c>
      <c r="BS78" t="n">
        <v>4909575.79100414</v>
      </c>
      <c r="BT78" t="n">
        <v>136268.821455818</v>
      </c>
      <c r="BU78" t="n">
        <v>9738045.24891297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10509011.8009284</v>
      </c>
      <c r="CB78" t="n">
        <v>-2214882.86417758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17365378663.4233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8249776.53535433</v>
      </c>
      <c r="H80" t="n">
        <v>0</v>
      </c>
      <c r="I80" t="n">
        <v>369169.563360551</v>
      </c>
      <c r="J80" t="n">
        <v>2776237.46679144</v>
      </c>
      <c r="K80" t="n">
        <v>1179294.80180159</v>
      </c>
      <c r="L80" t="n">
        <v>4699675.64980338</v>
      </c>
      <c r="M80" t="n">
        <v>4688873.70324949</v>
      </c>
      <c r="N80" t="n">
        <v>154912.990936371</v>
      </c>
      <c r="O80" t="n">
        <v>243614.32948117</v>
      </c>
      <c r="P80" t="n">
        <v>806582.794969956</v>
      </c>
      <c r="Q80" t="n">
        <v>1193527.58261246</v>
      </c>
      <c r="R80" t="n">
        <v>189955.239717923</v>
      </c>
      <c r="S80" t="n">
        <v>287439.005843042</v>
      </c>
      <c r="T80" t="n">
        <v>7328232.65049143</v>
      </c>
      <c r="U80" t="n">
        <v>112351.602323312</v>
      </c>
      <c r="V80" t="n">
        <v>12662.4389260961</v>
      </c>
      <c r="W80" t="n">
        <v>3494323.61762508</v>
      </c>
      <c r="X80" t="n">
        <v>225101.175564989</v>
      </c>
      <c r="Y80" t="n">
        <v>6303201.84148342</v>
      </c>
      <c r="Z80" t="n">
        <v>3728806.50429392</v>
      </c>
      <c r="AA80" t="n">
        <v>3299784.20058759</v>
      </c>
      <c r="AB80" t="n">
        <v>12028368.0806175</v>
      </c>
      <c r="AC80" t="n">
        <v>5622797.52725157</v>
      </c>
      <c r="AD80" t="n">
        <v>2156757.46196068</v>
      </c>
      <c r="AE80" t="n">
        <v>2387600.51388647</v>
      </c>
      <c r="AF80" t="n">
        <v>6842361.52334127</v>
      </c>
      <c r="AG80" t="n">
        <v>61427.8582130867</v>
      </c>
      <c r="AH80" t="n">
        <v>0</v>
      </c>
      <c r="AI80" t="n">
        <v>0</v>
      </c>
      <c r="AJ80" t="n">
        <v>5464028.67128967</v>
      </c>
      <c r="AK80" t="n">
        <v>8127.20848056537</v>
      </c>
      <c r="AL80" t="n">
        <v>15311064.2781876</v>
      </c>
      <c r="AM80" t="n">
        <v>750132.279724747</v>
      </c>
      <c r="AN80" t="n">
        <v>1673575.03066648</v>
      </c>
      <c r="AO80" t="n">
        <v>382429.855375383</v>
      </c>
      <c r="AP80" t="n">
        <v>87482.0712631975</v>
      </c>
      <c r="AQ80" t="n">
        <v>584217.924154005</v>
      </c>
      <c r="AR80" t="n">
        <v>145827.891841152</v>
      </c>
      <c r="AS80" t="n">
        <v>2746322.40176519</v>
      </c>
      <c r="AT80" t="n">
        <v>542302.619789987</v>
      </c>
      <c r="AU80" t="n">
        <v>403169.479740955</v>
      </c>
      <c r="AV80" t="n">
        <v>0</v>
      </c>
      <c r="AW80" t="n">
        <v>0</v>
      </c>
      <c r="AX80" t="n">
        <v>13757337.3628143</v>
      </c>
      <c r="AY80" t="n">
        <v>11066860.6307895</v>
      </c>
      <c r="AZ80" t="n">
        <v>2916224.18065699</v>
      </c>
      <c r="BA80" t="n">
        <v>693611.44717954</v>
      </c>
      <c r="BB80" t="n">
        <v>7332882.60602336</v>
      </c>
      <c r="BC80" t="n">
        <v>3422977.35106588</v>
      </c>
      <c r="BD80" t="n">
        <v>13578860.3680982</v>
      </c>
      <c r="BE80" t="n">
        <v>6817387.18859238</v>
      </c>
      <c r="BF80" t="n">
        <v>596809.963038194</v>
      </c>
      <c r="BG80" t="n">
        <v>6923686.41736731</v>
      </c>
      <c r="BH80" t="n">
        <v>8782516.40087471</v>
      </c>
      <c r="BI80" t="n">
        <v>4705739.93745587</v>
      </c>
      <c r="BJ80" t="n">
        <v>1863303.24565703</v>
      </c>
      <c r="BK80" t="n">
        <v>526961.262267897</v>
      </c>
      <c r="BL80" t="n">
        <v>1868580.95169087</v>
      </c>
      <c r="BM80" t="n">
        <v>3630918.44956148</v>
      </c>
      <c r="BN80" t="n">
        <v>16305675.2389929</v>
      </c>
      <c r="BO80" t="n">
        <v>12943365.6856344</v>
      </c>
      <c r="BP80" t="n">
        <v>12123515.8683581</v>
      </c>
      <c r="BQ80" t="n">
        <v>11589080.6920306</v>
      </c>
      <c r="BR80" t="n">
        <v>2997752.55946178</v>
      </c>
      <c r="BS80" t="n">
        <v>91463648.1211543</v>
      </c>
      <c r="BT80" t="n">
        <v>15968344.5594279</v>
      </c>
      <c r="BU80" t="n">
        <v>234241219.053401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-336793.606792556</v>
      </c>
      <c r="C81" t="n">
        <v>832530.961691148</v>
      </c>
      <c r="D81" t="n">
        <v>0</v>
      </c>
      <c r="E81" t="n">
        <v>0</v>
      </c>
      <c r="F81" t="n">
        <v>77619804.2509504</v>
      </c>
      <c r="G81" t="n">
        <v>65035515.5072341</v>
      </c>
      <c r="H81" t="n">
        <v>23570192.4217096</v>
      </c>
      <c r="I81" t="n">
        <v>0</v>
      </c>
      <c r="J81" t="n">
        <v>1228564.85599391</v>
      </c>
      <c r="K81" t="n">
        <v>158155846.551086</v>
      </c>
      <c r="L81" t="n">
        <v>10106069.4424343</v>
      </c>
      <c r="M81" t="n">
        <v>142704.851838028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290529.747841355</v>
      </c>
      <c r="T81" t="n">
        <v>7198.65682759473</v>
      </c>
      <c r="U81" t="n">
        <v>41611.7045641895</v>
      </c>
      <c r="V81" t="n">
        <v>0</v>
      </c>
      <c r="W81" t="n">
        <v>27131481.5999601</v>
      </c>
      <c r="X81" t="n">
        <v>0</v>
      </c>
      <c r="Y81" t="n">
        <v>0</v>
      </c>
      <c r="Z81" t="n">
        <v>100476.821971992</v>
      </c>
      <c r="AA81" t="n">
        <v>812254.572452329</v>
      </c>
      <c r="AB81" t="n">
        <v>0</v>
      </c>
      <c r="AC81" t="n">
        <v>483681.507720565</v>
      </c>
      <c r="AD81" t="n">
        <v>0</v>
      </c>
      <c r="AE81" t="n">
        <v>0</v>
      </c>
      <c r="AF81" t="n">
        <v>1907721.61431448</v>
      </c>
      <c r="AG81" t="n">
        <v>-1919620.56915896</v>
      </c>
      <c r="AH81" t="n">
        <v>0</v>
      </c>
      <c r="AI81" t="n">
        <v>-2358.39938140344</v>
      </c>
      <c r="AJ81" t="n">
        <v>4232329.16265363</v>
      </c>
      <c r="AK81" t="n">
        <v>4063.60424028269</v>
      </c>
      <c r="AL81" t="n">
        <v>29367123.2876712</v>
      </c>
      <c r="AM81" t="n">
        <v>12252160.5688375</v>
      </c>
      <c r="AN81" t="n">
        <v>0</v>
      </c>
      <c r="AO81" t="n">
        <v>0</v>
      </c>
      <c r="AP81" t="n">
        <v>155249.872945956</v>
      </c>
      <c r="AQ81" t="n">
        <v>7687.0779493948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90915.210559137</v>
      </c>
      <c r="AZ81" t="n">
        <v>0</v>
      </c>
      <c r="BA81" t="n">
        <v>0</v>
      </c>
      <c r="BB81" t="n">
        <v>0</v>
      </c>
      <c r="BC81" t="n">
        <v>1565547.78072005</v>
      </c>
      <c r="BD81" t="n">
        <v>0</v>
      </c>
      <c r="BE81" t="n">
        <v>0</v>
      </c>
      <c r="BF81" t="n">
        <v>1302561.4272659</v>
      </c>
      <c r="BG81" t="n">
        <v>0</v>
      </c>
      <c r="BH81" t="n">
        <v>0</v>
      </c>
      <c r="BI81" t="n">
        <v>0</v>
      </c>
      <c r="BJ81" t="n">
        <v>0</v>
      </c>
      <c r="BK81" t="n">
        <v>-626902.191318706</v>
      </c>
      <c r="BL81" t="n">
        <v>3772821.8452079</v>
      </c>
      <c r="BM81" t="n">
        <v>0</v>
      </c>
      <c r="BN81" t="n">
        <v>0</v>
      </c>
      <c r="BO81" t="n">
        <v>259946723.544774</v>
      </c>
      <c r="BP81" t="n">
        <v>-654146.539659609</v>
      </c>
      <c r="BQ81" t="n">
        <v>0</v>
      </c>
      <c r="BR81" t="n">
        <v>0</v>
      </c>
      <c r="BS81" t="n">
        <v>0</v>
      </c>
      <c r="BT81" t="n">
        <v>0</v>
      </c>
      <c r="BU81" t="n">
        <v>877951503.641246</v>
      </c>
      <c r="BV81" t="n">
        <v>-41645751.091349</v>
      </c>
      <c r="BW81" t="n">
        <v>-1783378312.29214</v>
      </c>
      <c r="BX81" t="n">
        <v>0</v>
      </c>
      <c r="BY81" t="n">
        <v>-10170360.1685539</v>
      </c>
      <c r="BZ81" t="n">
        <v>35580166.6887692</v>
      </c>
      <c r="CA81" t="n">
        <v>347599342.525113</v>
      </c>
      <c r="CB81" t="n">
        <v>-181016663.255665</v>
      </c>
      <c r="CC81" t="n">
        <v>0</v>
      </c>
      <c r="CD81" t="n">
        <v>-55141.6763870891</v>
      </c>
      <c r="CE81" t="n">
        <v>0</v>
      </c>
      <c r="CF81" t="n">
        <v>0</v>
      </c>
      <c r="CG81" t="n">
        <v>0</v>
      </c>
      <c r="CH81" t="n">
        <v>-7623336.76051506</v>
      </c>
      <c r="CI81" t="n">
        <v>454918.830193485</v>
      </c>
      <c r="CJ81" t="n">
        <v>0</v>
      </c>
      <c r="CK81" t="n">
        <v>0</v>
      </c>
      <c r="CL81" t="n">
        <v>49279916.7973329</v>
      </c>
      <c r="CM81" t="n">
        <v>-204674319.91945</v>
      </c>
      <c r="CN81" t="n">
        <v>0</v>
      </c>
    </row>
    <row r="82">
      <c r="A82" t="s">
        <v>193</v>
      </c>
      <c r="B82" t="n">
        <v>17457135.2854142</v>
      </c>
      <c r="C82" t="n">
        <v>120851.268632586</v>
      </c>
      <c r="D82" t="n">
        <v>85292261.8420819</v>
      </c>
      <c r="E82" t="n">
        <v>203541.823822098</v>
      </c>
      <c r="F82" t="n">
        <v>30473972.443595</v>
      </c>
      <c r="G82" t="n">
        <v>20804946.9838109</v>
      </c>
      <c r="H82" t="n">
        <v>12634622.5808246</v>
      </c>
      <c r="I82" t="n">
        <v>1113018.68356465</v>
      </c>
      <c r="J82" t="n">
        <v>4722794.77109348</v>
      </c>
      <c r="K82" t="n">
        <v>3885466.03119892</v>
      </c>
      <c r="L82" t="n">
        <v>12791598.3851791</v>
      </c>
      <c r="M82" t="n">
        <v>27745900.4787937</v>
      </c>
      <c r="N82" t="n">
        <v>6238321.55564402</v>
      </c>
      <c r="O82" t="n">
        <v>1871400.9855599</v>
      </c>
      <c r="P82" t="n">
        <v>11758301.1344646</v>
      </c>
      <c r="Q82" t="n">
        <v>3542812.88762813</v>
      </c>
      <c r="R82" t="n">
        <v>472867.298872275</v>
      </c>
      <c r="S82" t="n">
        <v>1363017.22125572</v>
      </c>
      <c r="T82" t="n">
        <v>15923428.9026395</v>
      </c>
      <c r="U82" t="n">
        <v>201816.767136319</v>
      </c>
      <c r="V82" t="n">
        <v>94968.2919457209</v>
      </c>
      <c r="W82" t="n">
        <v>8929938.13393077</v>
      </c>
      <c r="X82" t="n">
        <v>1060572.84641197</v>
      </c>
      <c r="Y82" t="n">
        <v>103092367.896262</v>
      </c>
      <c r="Z82" t="n">
        <v>6639843.31864913</v>
      </c>
      <c r="AA82" t="n">
        <v>11236188.2522572</v>
      </c>
      <c r="AB82" t="n">
        <v>58440859.0583537</v>
      </c>
      <c r="AC82" t="n">
        <v>1366400.2593106</v>
      </c>
      <c r="AD82" t="n">
        <v>3147700.07961828</v>
      </c>
      <c r="AE82" t="n">
        <v>12703259.144396</v>
      </c>
      <c r="AF82" t="n">
        <v>28912580.9102772</v>
      </c>
      <c r="AG82" t="n">
        <v>129620459.311889</v>
      </c>
      <c r="AH82" t="n">
        <v>2565041.35452302</v>
      </c>
      <c r="AI82" t="n">
        <v>24086.6035182679</v>
      </c>
      <c r="AJ82" t="n">
        <v>13011463.9582509</v>
      </c>
      <c r="AK82" t="n">
        <v>21333.9222614841</v>
      </c>
      <c r="AL82" t="n">
        <v>26731612.223393</v>
      </c>
      <c r="AM82" t="n">
        <v>3667313.36754321</v>
      </c>
      <c r="AN82" t="n">
        <v>887196.4017991</v>
      </c>
      <c r="AO82" t="n">
        <v>4839475.98802303</v>
      </c>
      <c r="AP82" t="n">
        <v>635785.193969154</v>
      </c>
      <c r="AQ82" t="n">
        <v>47160223.2195371</v>
      </c>
      <c r="AR82" t="n">
        <v>1191168.42345495</v>
      </c>
      <c r="AS82" t="n">
        <v>20111142.578798</v>
      </c>
      <c r="AT82" t="n">
        <v>95030559.0796688</v>
      </c>
      <c r="AU82" t="n">
        <v>7899942.50843764</v>
      </c>
      <c r="AV82" t="n">
        <v>113390.313390313</v>
      </c>
      <c r="AW82" t="n">
        <v>214700.94244816</v>
      </c>
      <c r="AX82" t="n">
        <v>4442744.42245894</v>
      </c>
      <c r="AY82" t="n">
        <v>12736394.4974209</v>
      </c>
      <c r="AZ82" t="n">
        <v>1326694.26244481</v>
      </c>
      <c r="BA82" t="n">
        <v>6114732.49487226</v>
      </c>
      <c r="BB82" t="n">
        <v>20180577.750461</v>
      </c>
      <c r="BC82" t="n">
        <v>12531015.9227974</v>
      </c>
      <c r="BD82" t="n">
        <v>13900773.006135</v>
      </c>
      <c r="BE82" t="n">
        <v>803734.068549838</v>
      </c>
      <c r="BF82" t="n">
        <v>2050942.17456776</v>
      </c>
      <c r="BG82" t="n">
        <v>0</v>
      </c>
      <c r="BH82" t="n">
        <v>0</v>
      </c>
      <c r="BI82" t="n">
        <v>2698880.25824675</v>
      </c>
      <c r="BJ82" t="n">
        <v>0</v>
      </c>
      <c r="BK82" t="n">
        <v>1576341.01730138</v>
      </c>
      <c r="BL82" t="n">
        <v>1661753.28909913</v>
      </c>
      <c r="BM82" t="n">
        <v>3105748.19999897</v>
      </c>
      <c r="BN82" t="n">
        <v>21318746.9144114</v>
      </c>
      <c r="BO82" t="n">
        <v>39269502.8292569</v>
      </c>
      <c r="BP82" t="n">
        <v>76901467.2023836</v>
      </c>
      <c r="BQ82" t="n">
        <v>25477045.5353392</v>
      </c>
      <c r="BR82" t="n">
        <v>49549.6290820129</v>
      </c>
      <c r="BS82" t="n">
        <v>0</v>
      </c>
      <c r="BT82" t="n">
        <v>0</v>
      </c>
      <c r="BU82" t="n">
        <v>-793352598.60282</v>
      </c>
      <c r="BV82" t="n">
        <v>0</v>
      </c>
      <c r="BW82" t="n">
        <v>0</v>
      </c>
      <c r="BX82" t="n">
        <v>130164763.050539</v>
      </c>
      <c r="BY82" t="n">
        <v>0</v>
      </c>
      <c r="BZ82" t="n">
        <v>0</v>
      </c>
      <c r="CA82" t="n">
        <v>2802018334.94071</v>
      </c>
      <c r="CB82" t="n">
        <v>-2611404374.97325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226</v>
      </c>
    </row>
    <row r="2">
      <c r="A2" t="s">
        <v>227</v>
      </c>
    </row>
    <row r="3">
      <c r="A3" t="s">
        <v>228</v>
      </c>
    </row>
    <row r="4">
      <c r="A4" t="s">
        <v>64</v>
      </c>
    </row>
    <row r="5">
      <c r="A5" t="s">
        <v>1</v>
      </c>
    </row>
    <row r="6">
      <c r="A6" t="s">
        <v>229</v>
      </c>
    </row>
    <row r="7">
      <c r="A7" t="s">
        <v>1</v>
      </c>
    </row>
    <row r="9">
      <c r="A9" t="s">
        <v>230</v>
      </c>
      <c r="B9" t="s">
        <v>231</v>
      </c>
      <c r="C9" t="s">
        <v>232</v>
      </c>
      <c r="D9" t="s">
        <v>233</v>
      </c>
      <c r="E9" t="s">
        <v>234</v>
      </c>
    </row>
    <row r="10">
      <c r="A10" t="s">
        <v>235</v>
      </c>
      <c r="B10" t="n">
        <v>12031000</v>
      </c>
      <c r="C10" t="s">
        <v>236</v>
      </c>
      <c r="D10" t="n">
        <v>600000000</v>
      </c>
      <c r="E10" t="s">
        <v>237</v>
      </c>
    </row>
    <row r="11">
      <c r="A11" t="s">
        <v>238</v>
      </c>
      <c r="B11" t="n">
        <v>1000000</v>
      </c>
      <c r="C11" t="s">
        <v>236</v>
      </c>
      <c r="D11" t="n">
        <v>40000000</v>
      </c>
      <c r="E11" t="s">
        <v>239</v>
      </c>
    </row>
    <row r="12">
      <c r="A12" t="s">
        <v>240</v>
      </c>
      <c r="B12" t="n">
        <v>4220000</v>
      </c>
      <c r="C12" t="s">
        <v>236</v>
      </c>
      <c r="D12" t="n">
        <v>125000000</v>
      </c>
      <c r="E12" t="s">
        <v>241</v>
      </c>
    </row>
    <row r="13">
      <c r="A13" t="s">
        <v>242</v>
      </c>
      <c r="B13" t="n">
        <v>0</v>
      </c>
      <c r="C13" t="s">
        <v>236</v>
      </c>
      <c r="D13" t="n">
        <v>0</v>
      </c>
      <c r="E13"/>
    </row>
    <row r="14">
      <c r="A14" t="s">
        <v>243</v>
      </c>
      <c r="B14" t="n">
        <v>0</v>
      </c>
      <c r="C14" t="s">
        <v>236</v>
      </c>
      <c r="D14" t="n">
        <v>0</v>
      </c>
      <c r="E14"/>
    </row>
    <row r="15">
      <c r="A15" t="s">
        <v>244</v>
      </c>
      <c r="B15" t="n">
        <v>10710000</v>
      </c>
      <c r="C15" t="s">
        <v>236</v>
      </c>
      <c r="D15" t="n">
        <v>330000000</v>
      </c>
      <c r="E15" t="s">
        <v>245</v>
      </c>
    </row>
    <row r="16">
      <c r="A16" t="s">
        <v>246</v>
      </c>
      <c r="B16" t="n">
        <v>0</v>
      </c>
      <c r="C16" t="s">
        <v>236</v>
      </c>
      <c r="D16" t="n">
        <v>0</v>
      </c>
      <c r="E16"/>
    </row>
    <row r="17">
      <c r="A17" t="s">
        <v>247</v>
      </c>
      <c r="B17" t="n">
        <v>0</v>
      </c>
      <c r="C17" t="s">
        <v>236</v>
      </c>
      <c r="D17" t="n">
        <v>0</v>
      </c>
      <c r="E17"/>
    </row>
    <row r="18">
      <c r="A18" t="s">
        <v>248</v>
      </c>
      <c r="B18" t="n">
        <v>0</v>
      </c>
      <c r="C18" t="s">
        <v>236</v>
      </c>
      <c r="D18" t="n">
        <v>0</v>
      </c>
      <c r="E18"/>
    </row>
    <row r="19">
      <c r="A19" t="s">
        <v>249</v>
      </c>
      <c r="B19" t="n">
        <v>0</v>
      </c>
      <c r="C19" t="s">
        <v>236</v>
      </c>
      <c r="D19" t="n">
        <v>0</v>
      </c>
      <c r="E19"/>
    </row>
    <row r="20">
      <c r="A20" t="s">
        <v>250</v>
      </c>
      <c r="B20" t="n">
        <v>0</v>
      </c>
      <c r="C20" t="s">
        <v>236</v>
      </c>
      <c r="D20" t="n">
        <v>0</v>
      </c>
      <c r="E20"/>
    </row>
    <row r="21">
      <c r="A21" t="s">
        <v>251</v>
      </c>
      <c r="B21" t="n">
        <v>0</v>
      </c>
      <c r="C21" t="s">
        <v>236</v>
      </c>
      <c r="D21" t="n">
        <v>0</v>
      </c>
      <c r="E21"/>
    </row>
    <row r="22">
      <c r="A22" t="s">
        <v>252</v>
      </c>
      <c r="B22" t="n">
        <v>0</v>
      </c>
      <c r="C22" t="s">
        <v>236</v>
      </c>
      <c r="D22" t="n">
        <v>0</v>
      </c>
      <c r="E22"/>
    </row>
    <row r="23">
      <c r="A23" t="s">
        <v>253</v>
      </c>
      <c r="B23" t="n">
        <v>45919000</v>
      </c>
      <c r="C23" t="s">
        <v>236</v>
      </c>
      <c r="D23" t="n">
        <v>1950000000</v>
      </c>
      <c r="E23" t="s">
        <v>254</v>
      </c>
    </row>
    <row r="24">
      <c r="A24" t="s">
        <v>255</v>
      </c>
      <c r="B24" t="n">
        <v>28820000</v>
      </c>
      <c r="C24" t="s">
        <v>236</v>
      </c>
      <c r="D24" t="n">
        <v>1210000000</v>
      </c>
      <c r="E24" t="s">
        <v>254</v>
      </c>
    </row>
    <row r="25">
      <c r="A25" t="s">
        <v>256</v>
      </c>
      <c r="B25" t="n">
        <v>0</v>
      </c>
      <c r="C25" t="s">
        <v>236</v>
      </c>
      <c r="D25" t="n">
        <v>0</v>
      </c>
      <c r="E25"/>
    </row>
    <row r="26">
      <c r="A26" t="s">
        <v>257</v>
      </c>
      <c r="B26" t="n">
        <v>0</v>
      </c>
      <c r="C26" t="s">
        <v>236</v>
      </c>
      <c r="D26" t="n">
        <v>0</v>
      </c>
      <c r="E26"/>
    </row>
    <row r="27">
      <c r="A27" t="s">
        <v>258</v>
      </c>
      <c r="B27" t="n">
        <v>36140000</v>
      </c>
      <c r="C27" t="s">
        <v>236</v>
      </c>
      <c r="D27" t="n">
        <v>1730000000</v>
      </c>
      <c r="E27" t="s">
        <v>259</v>
      </c>
    </row>
    <row r="28">
      <c r="A28" t="s">
        <v>260</v>
      </c>
      <c r="B28" t="n">
        <v>2720000</v>
      </c>
      <c r="C28" t="s">
        <v>236</v>
      </c>
      <c r="D28" t="n">
        <v>60000000</v>
      </c>
      <c r="E28" t="s">
        <v>261</v>
      </c>
    </row>
    <row r="29">
      <c r="A29" t="s">
        <v>262</v>
      </c>
      <c r="B29" t="n">
        <v>0</v>
      </c>
      <c r="C29" t="s">
        <v>236</v>
      </c>
      <c r="D29" t="n">
        <v>0</v>
      </c>
      <c r="E29"/>
    </row>
    <row r="30">
      <c r="A30" t="s">
        <v>263</v>
      </c>
      <c r="B30" t="n">
        <v>1320000</v>
      </c>
      <c r="C30" t="s">
        <v>236</v>
      </c>
      <c r="D30" t="n">
        <v>70000000</v>
      </c>
      <c r="E30" t="s">
        <v>264</v>
      </c>
    </row>
    <row r="31">
      <c r="A31" t="s">
        <v>265</v>
      </c>
      <c r="B31" t="n">
        <v>0</v>
      </c>
      <c r="C31" t="s">
        <v>236</v>
      </c>
      <c r="D31" t="n">
        <v>0</v>
      </c>
      <c r="E31"/>
    </row>
    <row r="32">
      <c r="A32" t="s">
        <v>266</v>
      </c>
      <c r="B32" t="n">
        <v>0</v>
      </c>
      <c r="C32" t="s">
        <v>236</v>
      </c>
      <c r="D32" t="n">
        <v>0</v>
      </c>
      <c r="E32"/>
    </row>
    <row r="33">
      <c r="A33" t="s">
        <v>267</v>
      </c>
      <c r="B33" t="n">
        <v>0</v>
      </c>
      <c r="C33" t="s">
        <v>236</v>
      </c>
      <c r="D33" t="n">
        <v>0</v>
      </c>
      <c r="E33"/>
    </row>
    <row r="34">
      <c r="A34" t="s">
        <v>268</v>
      </c>
      <c r="B34" t="n">
        <v>2800000</v>
      </c>
      <c r="C34" t="s">
        <v>236</v>
      </c>
      <c r="D34" t="n">
        <v>65000000</v>
      </c>
      <c r="E34" t="s">
        <v>269</v>
      </c>
    </row>
    <row r="35">
      <c r="A35" t="s">
        <v>270</v>
      </c>
      <c r="B35" t="n">
        <v>264000</v>
      </c>
      <c r="C35" t="s">
        <v>236</v>
      </c>
      <c r="D35" t="n">
        <v>12000000</v>
      </c>
      <c r="E35"/>
    </row>
    <row r="36">
      <c r="A36" t="s">
        <v>271</v>
      </c>
      <c r="B36" t="n">
        <v>38660000</v>
      </c>
      <c r="C36" t="s">
        <v>236</v>
      </c>
      <c r="D36" t="n">
        <v>590000000</v>
      </c>
      <c r="E36" t="s">
        <v>272</v>
      </c>
    </row>
    <row r="37">
      <c r="A37" t="s">
        <v>273</v>
      </c>
      <c r="B37" t="n">
        <v>0</v>
      </c>
      <c r="C37" t="s">
        <v>236</v>
      </c>
      <c r="D37" t="n">
        <v>0</v>
      </c>
      <c r="E37"/>
    </row>
    <row r="38">
      <c r="A38" t="s">
        <v>274</v>
      </c>
      <c r="B38" t="n">
        <v>0</v>
      </c>
      <c r="C38" t="s">
        <v>236</v>
      </c>
      <c r="D38" t="n">
        <v>0</v>
      </c>
      <c r="E38"/>
    </row>
    <row r="39">
      <c r="A39" t="s">
        <v>275</v>
      </c>
      <c r="B39" t="n">
        <v>0</v>
      </c>
      <c r="C39" t="s">
        <v>236</v>
      </c>
      <c r="D39" t="n">
        <v>0</v>
      </c>
      <c r="E39"/>
    </row>
    <row r="40">
      <c r="A40" t="s">
        <v>276</v>
      </c>
      <c r="B40" t="n">
        <v>0</v>
      </c>
      <c r="C40" t="s">
        <v>236</v>
      </c>
      <c r="D40" t="n">
        <v>0</v>
      </c>
      <c r="E40"/>
    </row>
    <row r="41">
      <c r="A41" t="s">
        <v>277</v>
      </c>
      <c r="B41" t="n">
        <v>10720000</v>
      </c>
      <c r="C41" t="s">
        <v>236</v>
      </c>
      <c r="D41" t="n">
        <v>260000000</v>
      </c>
      <c r="E41" t="s">
        <v>278</v>
      </c>
    </row>
    <row r="42">
      <c r="A42" t="s">
        <v>279</v>
      </c>
      <c r="B42" t="n">
        <v>0</v>
      </c>
      <c r="C42" t="s">
        <v>236</v>
      </c>
      <c r="D42" t="n">
        <v>0</v>
      </c>
      <c r="E42"/>
    </row>
    <row r="43">
      <c r="A43" t="s">
        <v>280</v>
      </c>
      <c r="B43" t="n">
        <v>0</v>
      </c>
      <c r="C43" t="s">
        <v>236</v>
      </c>
      <c r="D43" t="n">
        <v>0</v>
      </c>
      <c r="E43"/>
    </row>
    <row r="44">
      <c r="A44" t="s">
        <v>281</v>
      </c>
      <c r="B44" t="n">
        <v>27870000</v>
      </c>
      <c r="C44" t="s">
        <v>236</v>
      </c>
      <c r="D44" t="n">
        <v>560000000</v>
      </c>
      <c r="E44" t="s">
        <v>282</v>
      </c>
    </row>
    <row r="45">
      <c r="A45" t="s">
        <v>283</v>
      </c>
      <c r="B45" t="n">
        <v>8220000</v>
      </c>
      <c r="C45" t="s">
        <v>236</v>
      </c>
      <c r="D45" t="n">
        <v>430000000</v>
      </c>
      <c r="E45" t="s">
        <v>284</v>
      </c>
    </row>
    <row r="46">
      <c r="A46" t="s">
        <v>285</v>
      </c>
      <c r="B46" t="n">
        <v>930000</v>
      </c>
      <c r="C46" t="s">
        <v>236</v>
      </c>
      <c r="D46" t="n">
        <v>40000000</v>
      </c>
      <c r="E46"/>
    </row>
    <row r="47">
      <c r="A47" t="s">
        <v>286</v>
      </c>
      <c r="B47" t="n">
        <v>0</v>
      </c>
      <c r="C47" t="s">
        <v>236</v>
      </c>
      <c r="D47" t="n">
        <v>0</v>
      </c>
      <c r="E47"/>
    </row>
    <row r="48">
      <c r="A48" t="s">
        <v>287</v>
      </c>
      <c r="B48" t="n">
        <v>50110000</v>
      </c>
      <c r="C48" t="s">
        <v>236</v>
      </c>
      <c r="D48" t="n">
        <v>3000000000</v>
      </c>
      <c r="E48" t="s">
        <v>288</v>
      </c>
    </row>
    <row r="49">
      <c r="A49" t="s">
        <v>289</v>
      </c>
      <c r="B49" t="n">
        <v>0</v>
      </c>
      <c r="C49" t="s">
        <v>236</v>
      </c>
      <c r="D49" t="n">
        <v>0</v>
      </c>
      <c r="E49"/>
    </row>
    <row r="50">
      <c r="A50" t="s">
        <v>290</v>
      </c>
      <c r="B50" t="n">
        <v>0</v>
      </c>
      <c r="C50" t="s">
        <v>236</v>
      </c>
      <c r="D50" t="n">
        <v>0</v>
      </c>
      <c r="E50"/>
    </row>
    <row r="51">
      <c r="A51" t="s">
        <v>291</v>
      </c>
      <c r="B51" t="n">
        <v>0</v>
      </c>
      <c r="C51" t="s">
        <v>236</v>
      </c>
      <c r="D51" t="n">
        <v>0</v>
      </c>
      <c r="E51"/>
    </row>
    <row r="52">
      <c r="A52" t="s">
        <v>292</v>
      </c>
      <c r="B52" t="n">
        <v>400000</v>
      </c>
      <c r="C52" t="s">
        <v>236</v>
      </c>
      <c r="D52" t="n">
        <v>22000000</v>
      </c>
      <c r="E52" t="s">
        <v>293</v>
      </c>
    </row>
    <row r="53">
      <c r="A53" t="s">
        <v>294</v>
      </c>
      <c r="B53" t="n">
        <v>22820000</v>
      </c>
      <c r="C53" t="s">
        <v>236</v>
      </c>
      <c r="D53" t="n">
        <v>500000000</v>
      </c>
      <c r="E53" t="s">
        <v>261</v>
      </c>
    </row>
    <row r="54">
      <c r="A54" t="s">
        <v>295</v>
      </c>
      <c r="B54" t="n">
        <v>12810000</v>
      </c>
      <c r="C54" t="s">
        <v>236</v>
      </c>
      <c r="D54" t="n">
        <v>380000000</v>
      </c>
      <c r="E54" t="s">
        <v>296</v>
      </c>
    </row>
    <row r="55">
      <c r="A55" t="s">
        <v>297</v>
      </c>
      <c r="B55" t="n">
        <v>0</v>
      </c>
      <c r="C55" t="s">
        <v>236</v>
      </c>
      <c r="D55" t="n">
        <v>0</v>
      </c>
      <c r="E55"/>
    </row>
    <row r="56">
      <c r="A56" t="s">
        <v>298</v>
      </c>
      <c r="B56" t="n">
        <v>11480000</v>
      </c>
      <c r="C56" t="s">
        <v>236</v>
      </c>
      <c r="D56" t="n">
        <v>620000000</v>
      </c>
      <c r="E56" t="s">
        <v>299</v>
      </c>
    </row>
    <row r="57">
      <c r="A57" t="s">
        <v>300</v>
      </c>
      <c r="B57" t="n">
        <v>3050000</v>
      </c>
      <c r="C57" t="s">
        <v>236</v>
      </c>
      <c r="D57" t="n">
        <v>90000000</v>
      </c>
      <c r="E57" t="s">
        <v>301</v>
      </c>
    </row>
    <row r="58">
      <c r="A58" t="s">
        <v>302</v>
      </c>
      <c r="B58" t="n">
        <v>93320000</v>
      </c>
      <c r="C58" t="s">
        <v>236</v>
      </c>
      <c r="D58" t="n">
        <v>5050000000</v>
      </c>
      <c r="E58" t="s">
        <v>303</v>
      </c>
    </row>
    <row r="59">
      <c r="A59" t="s">
        <v>304</v>
      </c>
      <c r="B59" t="n">
        <v>0</v>
      </c>
      <c r="C59" t="s">
        <v>236</v>
      </c>
      <c r="D59" t="n">
        <v>0</v>
      </c>
      <c r="E59"/>
    </row>
    <row r="60">
      <c r="A60" t="s">
        <v>305</v>
      </c>
      <c r="B60" t="n">
        <v>276040000</v>
      </c>
      <c r="C60" t="s">
        <v>236</v>
      </c>
      <c r="D60" t="n">
        <v>3690000000</v>
      </c>
      <c r="E60" t="s">
        <v>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307</v>
      </c>
    </row>
    <row r="2">
      <c r="A2" t="s">
        <v>308</v>
      </c>
    </row>
    <row r="3">
      <c r="A3" t="s">
        <v>309</v>
      </c>
    </row>
    <row r="4">
      <c r="A4" t="s">
        <v>1</v>
      </c>
    </row>
    <row r="5">
      <c r="A5" t="s">
        <v>310</v>
      </c>
    </row>
    <row r="6">
      <c r="A6" t="s">
        <v>311</v>
      </c>
    </row>
    <row r="7">
      <c r="A7" t="s">
        <v>312</v>
      </c>
    </row>
    <row r="8">
      <c r="A8" t="s">
        <v>313</v>
      </c>
    </row>
    <row r="9">
      <c r="A9" t="s">
        <v>314</v>
      </c>
    </row>
    <row r="10">
      <c r="A10" t="s">
        <v>315</v>
      </c>
    </row>
    <row r="11">
      <c r="A11" t="s">
        <v>316</v>
      </c>
    </row>
    <row r="12">
      <c r="A12" t="s">
        <v>317</v>
      </c>
    </row>
    <row r="13">
      <c r="A13" t="s">
        <v>1</v>
      </c>
    </row>
    <row r="14">
      <c r="A14" t="s">
        <v>318</v>
      </c>
    </row>
    <row r="15">
      <c r="A15" t="s">
        <v>1</v>
      </c>
    </row>
    <row r="17">
      <c r="A17" t="s">
        <v>319</v>
      </c>
    </row>
    <row r="18">
      <c r="A18" t="s">
        <v>320</v>
      </c>
    </row>
    <row r="20">
      <c r="A20" t="s">
        <v>321</v>
      </c>
    </row>
    <row r="21">
      <c r="A21" t="s">
        <v>322</v>
      </c>
    </row>
    <row r="23">
      <c r="A23" t="s">
        <v>323</v>
      </c>
    </row>
    <row r="25">
      <c r="A25" t="s">
        <v>230</v>
      </c>
      <c r="B25" t="s">
        <v>324</v>
      </c>
      <c r="C25" t="s">
        <v>325</v>
      </c>
      <c r="D25" t="s">
        <v>326</v>
      </c>
      <c r="E25" t="s">
        <v>327</v>
      </c>
    </row>
    <row r="26">
      <c r="A26" t="s">
        <v>238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235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242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240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243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244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246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248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247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249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250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251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256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252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253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255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257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258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260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265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263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262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266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267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270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268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271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280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281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273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275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276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277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274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279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283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285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286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287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289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290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291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292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294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295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298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297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300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304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302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305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1.71" hidden="0" customWidth="1"/>
  </cols>
  <sheetData>
    <row r="1">
      <c r="A1" t="s">
        <v>328</v>
      </c>
    </row>
    <row r="2">
      <c r="A2" t="s">
        <v>1</v>
      </c>
    </row>
    <row r="3">
      <c r="A3" t="s">
        <v>329</v>
      </c>
    </row>
    <row r="4">
      <c r="A4" t="s">
        <v>330</v>
      </c>
    </row>
    <row r="5">
      <c r="A5" t="s">
        <v>331</v>
      </c>
    </row>
    <row r="6">
      <c r="A6" t="s">
        <v>1</v>
      </c>
    </row>
    <row r="8">
      <c r="A8" t="s">
        <v>332</v>
      </c>
      <c r="B8" t="s">
        <v>333</v>
      </c>
      <c r="C8" t="s">
        <v>334</v>
      </c>
      <c r="D8" t="s">
        <v>335</v>
      </c>
      <c r="E8" t="s">
        <v>336</v>
      </c>
      <c r="F8" t="s">
        <v>337</v>
      </c>
      <c r="G8" t="s">
        <v>338</v>
      </c>
    </row>
    <row r="9">
      <c r="A9" t="s">
        <v>121</v>
      </c>
      <c r="B9" t="s">
        <v>339</v>
      </c>
      <c r="C9" t="s">
        <v>340</v>
      </c>
      <c r="D9" t="s">
        <v>341</v>
      </c>
      <c r="E9" t="n">
        <v>1</v>
      </c>
      <c r="F9"/>
      <c r="G9"/>
    </row>
    <row r="10">
      <c r="A10" t="s">
        <v>122</v>
      </c>
      <c r="B10" t="s">
        <v>342</v>
      </c>
      <c r="C10" t="s">
        <v>340</v>
      </c>
      <c r="D10" t="s">
        <v>341</v>
      </c>
      <c r="E10" t="n">
        <v>1</v>
      </c>
      <c r="F10"/>
      <c r="G10"/>
    </row>
    <row r="11">
      <c r="A11" t="s">
        <v>123</v>
      </c>
      <c r="B11" t="s">
        <v>343</v>
      </c>
      <c r="C11" t="s">
        <v>344</v>
      </c>
      <c r="D11" t="s">
        <v>345</v>
      </c>
      <c r="E11" t="n">
        <v>1</v>
      </c>
      <c r="F11"/>
      <c r="G11"/>
    </row>
    <row r="12">
      <c r="A12" t="s">
        <v>125</v>
      </c>
      <c r="B12" t="s">
        <v>346</v>
      </c>
      <c r="C12" t="s">
        <v>347</v>
      </c>
      <c r="D12" t="s">
        <v>348</v>
      </c>
      <c r="E12" t="n">
        <v>1</v>
      </c>
      <c r="F12"/>
      <c r="G12"/>
    </row>
    <row r="13">
      <c r="A13" t="s">
        <v>126</v>
      </c>
      <c r="B13" t="s">
        <v>349</v>
      </c>
      <c r="C13" t="s">
        <v>350</v>
      </c>
      <c r="D13" t="s">
        <v>351</v>
      </c>
      <c r="E13" t="n">
        <v>0.72</v>
      </c>
      <c r="F13" t="s">
        <v>352</v>
      </c>
      <c r="G13"/>
    </row>
    <row r="14">
      <c r="A14" t="s">
        <v>126</v>
      </c>
      <c r="B14" t="s">
        <v>349</v>
      </c>
      <c r="C14" t="s">
        <v>353</v>
      </c>
      <c r="D14" t="s">
        <v>354</v>
      </c>
      <c r="E14" t="n">
        <v>0.2</v>
      </c>
      <c r="F14" t="s">
        <v>355</v>
      </c>
      <c r="G14"/>
    </row>
    <row r="15">
      <c r="A15" t="s">
        <v>126</v>
      </c>
      <c r="B15" t="s">
        <v>349</v>
      </c>
      <c r="C15" t="s">
        <v>356</v>
      </c>
      <c r="D15" t="s">
        <v>357</v>
      </c>
      <c r="E15" t="n">
        <v>0.08</v>
      </c>
      <c r="F15" t="s">
        <v>358</v>
      </c>
      <c r="G15"/>
    </row>
    <row r="16">
      <c r="A16" t="s">
        <v>127</v>
      </c>
      <c r="B16" t="s">
        <v>359</v>
      </c>
      <c r="C16" t="s">
        <v>360</v>
      </c>
      <c r="D16" t="s">
        <v>359</v>
      </c>
      <c r="E16" t="n">
        <v>1</v>
      </c>
      <c r="F16"/>
      <c r="G16"/>
    </row>
    <row r="17">
      <c r="A17" t="s">
        <v>139</v>
      </c>
      <c r="B17" t="s">
        <v>361</v>
      </c>
      <c r="C17" t="s">
        <v>362</v>
      </c>
      <c r="D17" t="s">
        <v>363</v>
      </c>
      <c r="E17" t="n">
        <v>1</v>
      </c>
      <c r="F17"/>
      <c r="G17"/>
    </row>
    <row r="18">
      <c r="A18" t="s">
        <v>140</v>
      </c>
      <c r="B18" t="s">
        <v>364</v>
      </c>
      <c r="C18" t="s">
        <v>365</v>
      </c>
      <c r="D18" t="s">
        <v>366</v>
      </c>
      <c r="E18" t="n">
        <v>1</v>
      </c>
      <c r="F18"/>
      <c r="G18"/>
    </row>
    <row r="19">
      <c r="A19" t="s">
        <v>141</v>
      </c>
      <c r="B19" t="s">
        <v>367</v>
      </c>
      <c r="C19" t="s">
        <v>365</v>
      </c>
      <c r="D19" t="s">
        <v>366</v>
      </c>
      <c r="E19" t="n">
        <v>1</v>
      </c>
      <c r="F19"/>
      <c r="G19"/>
    </row>
    <row r="20">
      <c r="A20" t="s">
        <v>128</v>
      </c>
      <c r="B20" t="s">
        <v>368</v>
      </c>
      <c r="C20" t="s">
        <v>369</v>
      </c>
      <c r="D20" t="s">
        <v>370</v>
      </c>
      <c r="E20" t="n">
        <v>1</v>
      </c>
      <c r="F20"/>
      <c r="G20"/>
    </row>
    <row r="21">
      <c r="A21" t="s">
        <v>142</v>
      </c>
      <c r="B21" t="s">
        <v>371</v>
      </c>
      <c r="C21" t="s">
        <v>372</v>
      </c>
      <c r="D21" t="s">
        <v>373</v>
      </c>
      <c r="E21" t="n">
        <v>1</v>
      </c>
      <c r="F21"/>
      <c r="G21"/>
    </row>
    <row r="22">
      <c r="A22" t="s">
        <v>143</v>
      </c>
      <c r="B22" t="s">
        <v>374</v>
      </c>
      <c r="C22" t="s">
        <v>372</v>
      </c>
      <c r="D22" t="s">
        <v>373</v>
      </c>
      <c r="E22" t="n">
        <v>1</v>
      </c>
      <c r="F22"/>
      <c r="G22"/>
    </row>
    <row r="23">
      <c r="A23" t="s">
        <v>144</v>
      </c>
      <c r="B23" t="s">
        <v>375</v>
      </c>
      <c r="C23" t="s">
        <v>376</v>
      </c>
      <c r="D23" t="s">
        <v>377</v>
      </c>
      <c r="E23" t="n">
        <v>0.961</v>
      </c>
      <c r="F23" t="s">
        <v>378</v>
      </c>
      <c r="G23"/>
    </row>
    <row r="24">
      <c r="A24" t="s">
        <v>144</v>
      </c>
      <c r="B24" t="s">
        <v>375</v>
      </c>
      <c r="C24" t="s">
        <v>379</v>
      </c>
      <c r="D24" t="s">
        <v>380</v>
      </c>
      <c r="E24" t="n">
        <v>0.039</v>
      </c>
      <c r="F24" t="s">
        <v>381</v>
      </c>
      <c r="G24"/>
    </row>
    <row r="25">
      <c r="A25" t="s">
        <v>146</v>
      </c>
      <c r="B25" t="s">
        <v>382</v>
      </c>
      <c r="C25" t="s">
        <v>126</v>
      </c>
      <c r="D25" t="s">
        <v>383</v>
      </c>
      <c r="E25" t="n">
        <v>1</v>
      </c>
      <c r="F25"/>
      <c r="G25"/>
    </row>
    <row r="26">
      <c r="A26" t="s">
        <v>131</v>
      </c>
      <c r="B26" t="s">
        <v>384</v>
      </c>
      <c r="C26" t="s">
        <v>385</v>
      </c>
      <c r="D26" t="s">
        <v>384</v>
      </c>
      <c r="E26" t="n">
        <v>1</v>
      </c>
      <c r="F26"/>
      <c r="G26"/>
    </row>
    <row r="27">
      <c r="A27" t="s">
        <v>132</v>
      </c>
      <c r="B27" t="s">
        <v>386</v>
      </c>
      <c r="C27" t="s">
        <v>387</v>
      </c>
      <c r="D27" t="s">
        <v>388</v>
      </c>
      <c r="E27" t="n">
        <v>1</v>
      </c>
      <c r="F27"/>
      <c r="G27"/>
    </row>
    <row r="28">
      <c r="A28" t="s">
        <v>133</v>
      </c>
      <c r="B28" t="s">
        <v>389</v>
      </c>
      <c r="C28" t="s">
        <v>390</v>
      </c>
      <c r="D28" t="s">
        <v>391</v>
      </c>
      <c r="E28" t="n">
        <v>1</v>
      </c>
      <c r="F28"/>
      <c r="G28"/>
    </row>
    <row r="29">
      <c r="A29" t="s">
        <v>134</v>
      </c>
      <c r="B29" t="s">
        <v>392</v>
      </c>
      <c r="C29" t="s">
        <v>393</v>
      </c>
      <c r="D29" t="s">
        <v>394</v>
      </c>
      <c r="E29" t="n">
        <v>1</v>
      </c>
      <c r="F29"/>
      <c r="G29"/>
    </row>
    <row r="30">
      <c r="A30" t="s">
        <v>135</v>
      </c>
      <c r="B30" t="s">
        <v>395</v>
      </c>
      <c r="C30" t="s">
        <v>396</v>
      </c>
      <c r="D30" t="s">
        <v>397</v>
      </c>
      <c r="E30" t="n">
        <v>1</v>
      </c>
      <c r="F30"/>
      <c r="G30"/>
    </row>
    <row r="31">
      <c r="A31" t="s">
        <v>136</v>
      </c>
      <c r="B31" t="s">
        <v>398</v>
      </c>
      <c r="C31" t="s">
        <v>399</v>
      </c>
      <c r="D31" t="s">
        <v>400</v>
      </c>
      <c r="E31" t="n">
        <v>1</v>
      </c>
      <c r="F31"/>
      <c r="G31"/>
    </row>
    <row r="32">
      <c r="A32" t="s">
        <v>137</v>
      </c>
      <c r="B32" t="s">
        <v>401</v>
      </c>
      <c r="C32" t="s">
        <v>402</v>
      </c>
      <c r="D32" t="s">
        <v>403</v>
      </c>
      <c r="E32" t="n">
        <v>1</v>
      </c>
      <c r="F32"/>
      <c r="G32"/>
    </row>
    <row r="33">
      <c r="A33" t="s">
        <v>138</v>
      </c>
      <c r="B33" t="s">
        <v>404</v>
      </c>
      <c r="C33" t="s">
        <v>402</v>
      </c>
      <c r="D33" t="s">
        <v>403</v>
      </c>
      <c r="E33" t="n">
        <v>1</v>
      </c>
      <c r="F33"/>
      <c r="G33"/>
    </row>
    <row r="34">
      <c r="A34" t="s">
        <v>147</v>
      </c>
      <c r="B34" t="s">
        <v>405</v>
      </c>
      <c r="C34" t="s">
        <v>406</v>
      </c>
      <c r="D34" t="s">
        <v>407</v>
      </c>
      <c r="E34" t="n">
        <v>1</v>
      </c>
      <c r="F34"/>
      <c r="G34"/>
    </row>
    <row r="35">
      <c r="A35" t="s">
        <v>148</v>
      </c>
      <c r="B35" t="s">
        <v>408</v>
      </c>
      <c r="C35" t="s">
        <v>406</v>
      </c>
      <c r="D35" t="s">
        <v>407</v>
      </c>
      <c r="E35" t="n">
        <v>1</v>
      </c>
      <c r="F35"/>
      <c r="G35"/>
    </row>
    <row r="36">
      <c r="A36" t="s">
        <v>149</v>
      </c>
      <c r="B36" t="s">
        <v>409</v>
      </c>
      <c r="C36" t="s">
        <v>406</v>
      </c>
      <c r="D36" t="s">
        <v>407</v>
      </c>
      <c r="E36" t="n">
        <v>1</v>
      </c>
      <c r="F36"/>
      <c r="G36"/>
    </row>
    <row r="37">
      <c r="A37" t="s">
        <v>150</v>
      </c>
      <c r="B37" t="s">
        <v>410</v>
      </c>
      <c r="C37" t="s">
        <v>406</v>
      </c>
      <c r="D37" t="s">
        <v>407</v>
      </c>
      <c r="E37" t="n">
        <v>1</v>
      </c>
      <c r="F37"/>
      <c r="G37"/>
    </row>
    <row r="38">
      <c r="A38" t="s">
        <v>151</v>
      </c>
      <c r="B38" t="s">
        <v>411</v>
      </c>
      <c r="C38" t="s">
        <v>406</v>
      </c>
      <c r="D38" t="s">
        <v>407</v>
      </c>
      <c r="E38" t="n">
        <v>1</v>
      </c>
      <c r="F38"/>
      <c r="G38"/>
    </row>
    <row r="39">
      <c r="A39" t="s">
        <v>152</v>
      </c>
      <c r="B39" t="s">
        <v>412</v>
      </c>
      <c r="C39" t="s">
        <v>413</v>
      </c>
      <c r="D39" t="s">
        <v>414</v>
      </c>
      <c r="E39" t="n">
        <v>1</v>
      </c>
      <c r="F39"/>
      <c r="G39"/>
    </row>
    <row r="40">
      <c r="A40" t="s">
        <v>153</v>
      </c>
      <c r="B40" t="s">
        <v>415</v>
      </c>
      <c r="C40" t="s">
        <v>413</v>
      </c>
      <c r="D40" t="s">
        <v>414</v>
      </c>
      <c r="E40" t="n">
        <v>1</v>
      </c>
      <c r="F40"/>
      <c r="G40"/>
    </row>
    <row r="41">
      <c r="A41" t="s">
        <v>154</v>
      </c>
      <c r="B41" t="s">
        <v>416</v>
      </c>
      <c r="C41" t="s">
        <v>413</v>
      </c>
      <c r="D41" t="s">
        <v>414</v>
      </c>
      <c r="E41" t="n">
        <v>1</v>
      </c>
      <c r="F41"/>
      <c r="G41"/>
    </row>
    <row r="42">
      <c r="A42" t="s">
        <v>155</v>
      </c>
      <c r="B42" t="s">
        <v>417</v>
      </c>
      <c r="C42" t="s">
        <v>413</v>
      </c>
      <c r="D42" t="s">
        <v>414</v>
      </c>
      <c r="E42" t="n">
        <v>1</v>
      </c>
      <c r="F42"/>
      <c r="G42"/>
    </row>
    <row r="43">
      <c r="A43" t="s">
        <v>156</v>
      </c>
      <c r="B43" t="s">
        <v>418</v>
      </c>
      <c r="C43" t="s">
        <v>413</v>
      </c>
      <c r="D43" t="s">
        <v>414</v>
      </c>
      <c r="E43" t="n">
        <v>1</v>
      </c>
      <c r="F43"/>
      <c r="G43"/>
    </row>
    <row r="44">
      <c r="A44" t="s">
        <v>157</v>
      </c>
      <c r="B44" t="s">
        <v>419</v>
      </c>
      <c r="C44" t="s">
        <v>353</v>
      </c>
      <c r="D44" t="s">
        <v>420</v>
      </c>
      <c r="E44" t="n">
        <v>1</v>
      </c>
      <c r="F44" t="s">
        <v>421</v>
      </c>
      <c r="G44"/>
    </row>
    <row r="45">
      <c r="A45" t="s">
        <v>158</v>
      </c>
      <c r="B45" t="s">
        <v>422</v>
      </c>
      <c r="C45" t="s">
        <v>413</v>
      </c>
      <c r="D45" t="s">
        <v>414</v>
      </c>
      <c r="E45" t="n">
        <v>1</v>
      </c>
      <c r="F45"/>
      <c r="G45"/>
    </row>
    <row r="46">
      <c r="A46" t="s">
        <v>159</v>
      </c>
      <c r="B46" t="s">
        <v>423</v>
      </c>
      <c r="C46" t="s">
        <v>413</v>
      </c>
      <c r="D46" t="s">
        <v>414</v>
      </c>
      <c r="E46" t="n">
        <v>1</v>
      </c>
      <c r="F46"/>
      <c r="G46"/>
    </row>
    <row r="47">
      <c r="A47" t="s">
        <v>160</v>
      </c>
      <c r="B47" t="s">
        <v>424</v>
      </c>
      <c r="C47" t="s">
        <v>425</v>
      </c>
      <c r="D47" t="s">
        <v>426</v>
      </c>
      <c r="E47" t="n">
        <v>1</v>
      </c>
      <c r="F47"/>
      <c r="G47"/>
    </row>
    <row r="48">
      <c r="A48" t="s">
        <v>161</v>
      </c>
      <c r="B48" t="s">
        <v>427</v>
      </c>
      <c r="C48" t="s">
        <v>425</v>
      </c>
      <c r="D48" t="s">
        <v>426</v>
      </c>
      <c r="E48" t="n">
        <v>1</v>
      </c>
      <c r="F48"/>
      <c r="G48"/>
    </row>
    <row r="49">
      <c r="A49" t="s">
        <v>162</v>
      </c>
      <c r="B49" t="s">
        <v>428</v>
      </c>
      <c r="C49" t="s">
        <v>425</v>
      </c>
      <c r="D49" t="s">
        <v>426</v>
      </c>
      <c r="E49" t="n">
        <v>0.25</v>
      </c>
      <c r="F49" t="s">
        <v>429</v>
      </c>
      <c r="G49"/>
    </row>
    <row r="50">
      <c r="A50" t="s">
        <v>162</v>
      </c>
      <c r="B50" t="s">
        <v>428</v>
      </c>
      <c r="C50" t="s">
        <v>177</v>
      </c>
      <c r="D50" t="s">
        <v>430</v>
      </c>
      <c r="E50" t="n">
        <v>0.75</v>
      </c>
      <c r="F50"/>
      <c r="G50"/>
    </row>
    <row r="51">
      <c r="A51" t="s">
        <v>163</v>
      </c>
      <c r="B51" t="s">
        <v>431</v>
      </c>
      <c r="C51" t="s">
        <v>432</v>
      </c>
      <c r="D51" t="s">
        <v>433</v>
      </c>
      <c r="E51" t="n">
        <v>1</v>
      </c>
      <c r="F51"/>
      <c r="G51"/>
    </row>
    <row r="52">
      <c r="A52" t="s">
        <v>164</v>
      </c>
      <c r="B52" t="s">
        <v>434</v>
      </c>
      <c r="C52" t="s">
        <v>435</v>
      </c>
      <c r="D52" t="s">
        <v>436</v>
      </c>
      <c r="E52" t="n">
        <v>1</v>
      </c>
      <c r="F52"/>
      <c r="G52"/>
    </row>
    <row r="53">
      <c r="A53" t="s">
        <v>165</v>
      </c>
      <c r="B53" t="s">
        <v>437</v>
      </c>
      <c r="C53" t="s">
        <v>435</v>
      </c>
      <c r="D53" t="s">
        <v>436</v>
      </c>
      <c r="E53" t="n">
        <v>1</v>
      </c>
      <c r="F53"/>
      <c r="G53"/>
    </row>
    <row r="54">
      <c r="A54" t="s">
        <v>166</v>
      </c>
      <c r="B54" t="s">
        <v>438</v>
      </c>
      <c r="C54" t="s">
        <v>435</v>
      </c>
      <c r="D54" t="s">
        <v>436</v>
      </c>
      <c r="E54" t="n">
        <v>1</v>
      </c>
      <c r="F54"/>
      <c r="G54"/>
    </row>
    <row r="55">
      <c r="A55" t="s">
        <v>167</v>
      </c>
      <c r="B55" t="s">
        <v>439</v>
      </c>
      <c r="C55" t="s">
        <v>435</v>
      </c>
      <c r="D55" t="s">
        <v>436</v>
      </c>
      <c r="E55" t="n">
        <v>1</v>
      </c>
      <c r="F55"/>
      <c r="G55"/>
    </row>
    <row r="56">
      <c r="A56" t="s">
        <v>168</v>
      </c>
      <c r="B56" t="s">
        <v>440</v>
      </c>
      <c r="C56" t="s">
        <v>441</v>
      </c>
      <c r="D56" t="s">
        <v>442</v>
      </c>
      <c r="E56" t="n">
        <v>1</v>
      </c>
      <c r="F56"/>
      <c r="G56"/>
    </row>
    <row r="57">
      <c r="A57" t="s">
        <v>169</v>
      </c>
      <c r="B57" t="s">
        <v>443</v>
      </c>
      <c r="C57" t="s">
        <v>441</v>
      </c>
      <c r="D57" t="s">
        <v>442</v>
      </c>
      <c r="E57" t="n">
        <v>1</v>
      </c>
      <c r="F57"/>
      <c r="G57"/>
    </row>
    <row r="58">
      <c r="A58" t="s">
        <v>170</v>
      </c>
      <c r="B58" t="s">
        <v>444</v>
      </c>
      <c r="C58" t="s">
        <v>445</v>
      </c>
      <c r="D58" t="s">
        <v>446</v>
      </c>
      <c r="E58" t="n">
        <v>1</v>
      </c>
      <c r="F58" t="s">
        <v>447</v>
      </c>
      <c r="G58"/>
    </row>
    <row r="59">
      <c r="A59" t="s">
        <v>171</v>
      </c>
      <c r="B59" t="s">
        <v>448</v>
      </c>
      <c r="C59" t="s">
        <v>445</v>
      </c>
      <c r="D59" t="s">
        <v>446</v>
      </c>
      <c r="E59" t="n">
        <v>1</v>
      </c>
      <c r="F59"/>
      <c r="G59"/>
    </row>
    <row r="60">
      <c r="A60" t="s">
        <v>173</v>
      </c>
      <c r="B60" t="s">
        <v>449</v>
      </c>
      <c r="C60" t="s">
        <v>445</v>
      </c>
      <c r="D60" t="s">
        <v>446</v>
      </c>
      <c r="E60" t="n">
        <v>1</v>
      </c>
      <c r="F60"/>
      <c r="G60"/>
    </row>
    <row r="61">
      <c r="A61" t="s">
        <v>172</v>
      </c>
      <c r="B61" t="s">
        <v>450</v>
      </c>
      <c r="C61" t="s">
        <v>432</v>
      </c>
      <c r="D61" t="s">
        <v>433</v>
      </c>
      <c r="E61" t="n">
        <v>1</v>
      </c>
      <c r="F61" t="s">
        <v>451</v>
      </c>
      <c r="G61"/>
    </row>
    <row r="62">
      <c r="A62" t="s">
        <v>174</v>
      </c>
      <c r="B62" t="s">
        <v>452</v>
      </c>
      <c r="C62" t="s">
        <v>445</v>
      </c>
      <c r="D62" t="s">
        <v>446</v>
      </c>
      <c r="E62" t="n">
        <v>1</v>
      </c>
      <c r="F62"/>
      <c r="G62"/>
    </row>
    <row r="63">
      <c r="A63" t="s">
        <v>175</v>
      </c>
      <c r="B63" t="s">
        <v>453</v>
      </c>
      <c r="C63" t="s">
        <v>445</v>
      </c>
      <c r="D63" t="s">
        <v>446</v>
      </c>
      <c r="E63" t="n">
        <v>1</v>
      </c>
      <c r="F63"/>
      <c r="G63"/>
    </row>
    <row r="64">
      <c r="A64" t="s">
        <v>176</v>
      </c>
      <c r="B64" t="s">
        <v>454</v>
      </c>
      <c r="C64" t="s">
        <v>356</v>
      </c>
      <c r="D64" t="s">
        <v>455</v>
      </c>
      <c r="E64" t="n">
        <v>1</v>
      </c>
      <c r="F64"/>
      <c r="G64"/>
    </row>
    <row r="65">
      <c r="A65" t="s">
        <v>177</v>
      </c>
      <c r="B65" t="s">
        <v>456</v>
      </c>
      <c r="C65" t="s">
        <v>457</v>
      </c>
      <c r="D65" t="s">
        <v>458</v>
      </c>
      <c r="E65" t="n">
        <v>1</v>
      </c>
      <c r="F65"/>
      <c r="G65"/>
    </row>
    <row r="66">
      <c r="A66" t="s">
        <v>178</v>
      </c>
      <c r="B66" t="s">
        <v>459</v>
      </c>
      <c r="C66" t="s">
        <v>460</v>
      </c>
      <c r="D66" t="s">
        <v>461</v>
      </c>
      <c r="E66" t="n">
        <v>1</v>
      </c>
      <c r="F66"/>
      <c r="G66"/>
    </row>
    <row r="67">
      <c r="A67" t="s">
        <v>179</v>
      </c>
      <c r="B67" t="s">
        <v>462</v>
      </c>
      <c r="C67" t="s">
        <v>460</v>
      </c>
      <c r="D67" t="s">
        <v>461</v>
      </c>
      <c r="E67" t="n">
        <v>1</v>
      </c>
      <c r="F67"/>
      <c r="G67"/>
    </row>
    <row r="68">
      <c r="A68" t="s">
        <v>180</v>
      </c>
      <c r="B68" t="s">
        <v>463</v>
      </c>
      <c r="C68" t="s">
        <v>460</v>
      </c>
      <c r="D68" t="s">
        <v>461</v>
      </c>
      <c r="E68" t="n">
        <v>1</v>
      </c>
      <c r="F68"/>
      <c r="G68"/>
    </row>
    <row r="69">
      <c r="A69" t="s">
        <v>181</v>
      </c>
      <c r="B69" t="s">
        <v>464</v>
      </c>
      <c r="C69" t="s">
        <v>460</v>
      </c>
      <c r="D69" t="s">
        <v>461</v>
      </c>
      <c r="E69" t="n">
        <v>1</v>
      </c>
      <c r="F69"/>
      <c r="G69"/>
    </row>
    <row r="70">
      <c r="A70" t="s">
        <v>182</v>
      </c>
      <c r="B70" t="s">
        <v>465</v>
      </c>
      <c r="C70" t="s">
        <v>466</v>
      </c>
      <c r="D70" t="s">
        <v>467</v>
      </c>
      <c r="E70" t="n">
        <v>1</v>
      </c>
      <c r="F70"/>
      <c r="G70"/>
    </row>
    <row r="71">
      <c r="A71" t="s">
        <v>183</v>
      </c>
      <c r="B71" t="s">
        <v>468</v>
      </c>
      <c r="C71" t="s">
        <v>466</v>
      </c>
      <c r="D71" t="s">
        <v>467</v>
      </c>
      <c r="E71" t="n">
        <v>1</v>
      </c>
      <c r="F71"/>
      <c r="G71"/>
    </row>
    <row r="72">
      <c r="A72" t="s">
        <v>184</v>
      </c>
      <c r="B72" t="s">
        <v>469</v>
      </c>
      <c r="C72" t="s">
        <v>470</v>
      </c>
      <c r="D72" t="s">
        <v>471</v>
      </c>
      <c r="E72" t="n">
        <v>1</v>
      </c>
      <c r="F72"/>
      <c r="G72"/>
    </row>
    <row r="73">
      <c r="A73" t="s">
        <v>185</v>
      </c>
      <c r="B73" t="s">
        <v>472</v>
      </c>
      <c r="C73" t="s">
        <v>470</v>
      </c>
      <c r="D73" t="s">
        <v>471</v>
      </c>
      <c r="E73" t="n">
        <v>1</v>
      </c>
      <c r="F73"/>
      <c r="G73"/>
    </row>
    <row r="74">
      <c r="A74" t="s">
        <v>186</v>
      </c>
      <c r="B74" t="s">
        <v>473</v>
      </c>
      <c r="C74" t="s">
        <v>466</v>
      </c>
      <c r="D74" t="s">
        <v>467</v>
      </c>
      <c r="E74" t="n">
        <v>1</v>
      </c>
      <c r="F74"/>
      <c r="G74"/>
    </row>
    <row r="75">
      <c r="A75" t="s">
        <v>187</v>
      </c>
      <c r="B75" t="s">
        <v>474</v>
      </c>
      <c r="C75" t="s">
        <v>475</v>
      </c>
      <c r="D75" t="s">
        <v>476</v>
      </c>
      <c r="E75" t="n">
        <v>1</v>
      </c>
      <c r="F75"/>
      <c r="G75"/>
    </row>
    <row r="76">
      <c r="A76" t="s">
        <v>188</v>
      </c>
      <c r="B76" t="s">
        <v>477</v>
      </c>
      <c r="C76" t="s">
        <v>475</v>
      </c>
      <c r="D76" t="s">
        <v>476</v>
      </c>
      <c r="E76" t="n">
        <v>1</v>
      </c>
      <c r="F76"/>
      <c r="G76"/>
    </row>
    <row r="77">
      <c r="A77" t="s">
        <v>189</v>
      </c>
      <c r="B77" t="s">
        <v>478</v>
      </c>
      <c r="C77" t="s">
        <v>475</v>
      </c>
      <c r="D77" t="s">
        <v>476</v>
      </c>
      <c r="E77" t="n">
        <v>1</v>
      </c>
      <c r="F77"/>
      <c r="G77"/>
    </row>
    <row r="78">
      <c r="A78" t="s">
        <v>190</v>
      </c>
      <c r="B78" t="s">
        <v>479</v>
      </c>
      <c r="C78" t="s">
        <v>475</v>
      </c>
      <c r="D78" t="s">
        <v>476</v>
      </c>
      <c r="E78" t="n">
        <v>1</v>
      </c>
      <c r="F78"/>
      <c r="G78"/>
    </row>
    <row r="79">
      <c r="A79" t="s">
        <v>191</v>
      </c>
      <c r="B79" t="s">
        <v>480</v>
      </c>
      <c r="C79" t="s">
        <v>475</v>
      </c>
      <c r="D79" t="s">
        <v>476</v>
      </c>
      <c r="E79" t="n">
        <v>1</v>
      </c>
      <c r="F79"/>
      <c r="G79"/>
    </row>
    <row r="80">
      <c r="A80" t="s">
        <v>124</v>
      </c>
      <c r="B80" t="s">
        <v>481</v>
      </c>
      <c r="C80" t="s">
        <v>482</v>
      </c>
      <c r="D80" t="s">
        <v>483</v>
      </c>
      <c r="E80" t="n">
        <v>0.0429721918821437</v>
      </c>
      <c r="F80"/>
      <c r="G80" t="s">
        <v>484</v>
      </c>
    </row>
    <row r="81">
      <c r="A81" t="s">
        <v>124</v>
      </c>
      <c r="B81" t="s">
        <v>481</v>
      </c>
      <c r="C81" t="s">
        <v>485</v>
      </c>
      <c r="D81" t="s">
        <v>486</v>
      </c>
      <c r="E81" t="n">
        <v>0.957027808117856</v>
      </c>
      <c r="F81"/>
      <c r="G81" t="s">
        <v>484</v>
      </c>
    </row>
    <row r="82">
      <c r="A82" t="s">
        <v>129</v>
      </c>
      <c r="B82" t="s">
        <v>487</v>
      </c>
      <c r="C82" t="s">
        <v>488</v>
      </c>
      <c r="D82" t="s">
        <v>489</v>
      </c>
      <c r="E82" t="n">
        <v>0.1</v>
      </c>
      <c r="F82"/>
      <c r="G82" t="s">
        <v>490</v>
      </c>
    </row>
    <row r="83">
      <c r="A83" t="s">
        <v>129</v>
      </c>
      <c r="B83" t="s">
        <v>487</v>
      </c>
      <c r="C83" t="s">
        <v>491</v>
      </c>
      <c r="D83" t="s">
        <v>492</v>
      </c>
      <c r="E83" t="n">
        <v>0.9</v>
      </c>
      <c r="F83"/>
      <c r="G83" t="s">
        <v>490</v>
      </c>
    </row>
    <row r="84">
      <c r="A84" t="s">
        <v>130</v>
      </c>
      <c r="B84" t="s">
        <v>493</v>
      </c>
      <c r="C84" t="s">
        <v>379</v>
      </c>
      <c r="D84" t="s">
        <v>380</v>
      </c>
      <c r="E84" t="n">
        <v>0.45</v>
      </c>
      <c r="F84"/>
      <c r="G84" t="s">
        <v>494</v>
      </c>
    </row>
    <row r="85">
      <c r="A85" t="s">
        <v>130</v>
      </c>
      <c r="B85" t="s">
        <v>493</v>
      </c>
      <c r="C85" t="s">
        <v>495</v>
      </c>
      <c r="D85" t="s">
        <v>496</v>
      </c>
      <c r="E85" t="n">
        <v>0.55</v>
      </c>
      <c r="F85"/>
      <c r="G85" t="s">
        <v>494</v>
      </c>
    </row>
    <row r="86">
      <c r="A86" t="s">
        <v>145</v>
      </c>
      <c r="B86" t="s">
        <v>497</v>
      </c>
      <c r="C86" t="s">
        <v>498</v>
      </c>
      <c r="D86" t="s">
        <v>499</v>
      </c>
      <c r="E86" t="n">
        <v>0.85</v>
      </c>
      <c r="F86"/>
      <c r="G86" t="s">
        <v>500</v>
      </c>
    </row>
    <row r="87">
      <c r="A87" t="s">
        <v>145</v>
      </c>
      <c r="B87" t="s">
        <v>497</v>
      </c>
      <c r="C87" t="s">
        <v>501</v>
      </c>
      <c r="D87" t="s">
        <v>502</v>
      </c>
      <c r="E87" t="n">
        <v>0.15</v>
      </c>
      <c r="F87"/>
      <c r="G87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503</v>
      </c>
    </row>
    <row r="2">
      <c r="A2" t="s">
        <v>1</v>
      </c>
    </row>
    <row r="3">
      <c r="A3" t="s">
        <v>504</v>
      </c>
    </row>
    <row r="4">
      <c r="A4" t="s">
        <v>505</v>
      </c>
    </row>
    <row r="5">
      <c r="A5" t="s">
        <v>506</v>
      </c>
    </row>
    <row r="6">
      <c r="A6" t="s">
        <v>507</v>
      </c>
    </row>
    <row r="7">
      <c r="A7" t="s">
        <v>508</v>
      </c>
    </row>
    <row r="8">
      <c r="A8" t="s">
        <v>509</v>
      </c>
    </row>
    <row r="9">
      <c r="A9" t="s">
        <v>1</v>
      </c>
    </row>
    <row r="11">
      <c r="A11" t="s">
        <v>332</v>
      </c>
      <c r="B11" t="s">
        <v>334</v>
      </c>
      <c r="C11" t="s">
        <v>336</v>
      </c>
      <c r="D11" t="s">
        <v>338</v>
      </c>
    </row>
    <row r="12">
      <c r="A12" t="n">
        <v>212</v>
      </c>
      <c r="B12" t="s">
        <v>482</v>
      </c>
      <c r="C12" t="n">
        <v>0.0429721918821437</v>
      </c>
      <c r="D12" t="s">
        <v>484</v>
      </c>
    </row>
    <row r="13">
      <c r="A13" t="n">
        <v>212</v>
      </c>
      <c r="B13" t="s">
        <v>485</v>
      </c>
      <c r="C13" t="n">
        <v>0.957027808117856</v>
      </c>
      <c r="D13" t="s">
        <v>484</v>
      </c>
    </row>
    <row r="14">
      <c r="A14" t="n">
        <v>327</v>
      </c>
      <c r="B14" t="s">
        <v>488</v>
      </c>
      <c r="C14" t="n">
        <v>0.1</v>
      </c>
      <c r="D14" t="s">
        <v>490</v>
      </c>
    </row>
    <row r="15">
      <c r="A15" t="n">
        <v>327</v>
      </c>
      <c r="B15" t="s">
        <v>491</v>
      </c>
      <c r="C15" t="n">
        <v>0.9</v>
      </c>
      <c r="D15" t="s">
        <v>490</v>
      </c>
    </row>
    <row r="16">
      <c r="A16" t="n">
        <v>331</v>
      </c>
      <c r="B16" t="s">
        <v>379</v>
      </c>
      <c r="C16" t="n">
        <v>0.45</v>
      </c>
      <c r="D16" t="s">
        <v>494</v>
      </c>
    </row>
    <row r="17">
      <c r="A17" t="n">
        <v>331</v>
      </c>
      <c r="B17" t="s">
        <v>495</v>
      </c>
      <c r="C17" t="n">
        <v>0.55</v>
      </c>
      <c r="D17" t="s">
        <v>494</v>
      </c>
    </row>
    <row r="18">
      <c r="A18" t="n">
        <v>325</v>
      </c>
      <c r="B18" t="s">
        <v>498</v>
      </c>
      <c r="C18" t="n">
        <v>0.85</v>
      </c>
      <c r="D18" t="s">
        <v>500</v>
      </c>
    </row>
    <row r="19">
      <c r="A19" t="n">
        <v>325</v>
      </c>
      <c r="B19" t="s">
        <v>501</v>
      </c>
      <c r="C19" t="n">
        <v>0.15</v>
      </c>
      <c r="D19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510</v>
      </c>
    </row>
    <row r="2">
      <c r="A2" t="s">
        <v>511</v>
      </c>
    </row>
    <row r="3">
      <c r="A3" t="s">
        <v>512</v>
      </c>
    </row>
    <row r="4">
      <c r="A4" t="s">
        <v>513</v>
      </c>
    </row>
    <row r="5">
      <c r="A5" t="s">
        <v>1</v>
      </c>
    </row>
    <row r="7">
      <c r="A7" t="s">
        <v>514</v>
      </c>
      <c r="B7" t="s">
        <v>515</v>
      </c>
      <c r="C7" t="s">
        <v>516</v>
      </c>
    </row>
    <row r="8">
      <c r="A8" t="s">
        <v>340</v>
      </c>
      <c r="B8" t="s">
        <v>517</v>
      </c>
      <c r="C8" t="s">
        <v>518</v>
      </c>
    </row>
    <row r="9">
      <c r="A9" t="s">
        <v>482</v>
      </c>
      <c r="B9" t="s">
        <v>483</v>
      </c>
      <c r="C9" t="s">
        <v>519</v>
      </c>
    </row>
    <row r="10">
      <c r="A10" t="s">
        <v>344</v>
      </c>
      <c r="B10" t="s">
        <v>345</v>
      </c>
      <c r="C10" t="s">
        <v>520</v>
      </c>
    </row>
    <row r="11">
      <c r="A11" t="s">
        <v>485</v>
      </c>
      <c r="B11" t="s">
        <v>521</v>
      </c>
      <c r="C11" t="s">
        <v>522</v>
      </c>
    </row>
    <row r="12">
      <c r="A12" t="s">
        <v>347</v>
      </c>
      <c r="B12" t="s">
        <v>348</v>
      </c>
      <c r="C12" t="s">
        <v>523</v>
      </c>
    </row>
    <row r="13">
      <c r="A13" t="s">
        <v>362</v>
      </c>
      <c r="B13" t="s">
        <v>524</v>
      </c>
      <c r="C13" t="s">
        <v>525</v>
      </c>
    </row>
    <row r="14">
      <c r="A14" t="s">
        <v>365</v>
      </c>
      <c r="B14" t="s">
        <v>526</v>
      </c>
      <c r="C14" t="s">
        <v>527</v>
      </c>
    </row>
    <row r="15">
      <c r="A15" t="s">
        <v>369</v>
      </c>
      <c r="B15" t="s">
        <v>528</v>
      </c>
      <c r="C15" t="s">
        <v>529</v>
      </c>
    </row>
    <row r="16">
      <c r="A16" t="s">
        <v>372</v>
      </c>
      <c r="B16" t="s">
        <v>373</v>
      </c>
      <c r="C16" t="s">
        <v>530</v>
      </c>
    </row>
    <row r="17">
      <c r="A17" t="s">
        <v>376</v>
      </c>
      <c r="B17" t="s">
        <v>377</v>
      </c>
      <c r="C17" t="s">
        <v>531</v>
      </c>
    </row>
    <row r="18">
      <c r="A18" t="s">
        <v>498</v>
      </c>
      <c r="B18" t="s">
        <v>532</v>
      </c>
      <c r="C18" t="s">
        <v>533</v>
      </c>
    </row>
    <row r="19">
      <c r="A19" t="s">
        <v>501</v>
      </c>
      <c r="B19" t="s">
        <v>534</v>
      </c>
      <c r="C19" t="s">
        <v>535</v>
      </c>
    </row>
    <row r="20">
      <c r="A20" t="s">
        <v>126</v>
      </c>
      <c r="B20" t="s">
        <v>383</v>
      </c>
      <c r="C20" t="s">
        <v>536</v>
      </c>
    </row>
    <row r="21">
      <c r="A21" t="s">
        <v>488</v>
      </c>
      <c r="B21" t="s">
        <v>537</v>
      </c>
      <c r="C21" t="s">
        <v>538</v>
      </c>
    </row>
    <row r="22">
      <c r="A22" t="s">
        <v>491</v>
      </c>
      <c r="B22" t="s">
        <v>539</v>
      </c>
      <c r="C22" t="s">
        <v>540</v>
      </c>
    </row>
    <row r="23">
      <c r="A23" t="s">
        <v>379</v>
      </c>
      <c r="B23" t="s">
        <v>541</v>
      </c>
      <c r="C23" t="s">
        <v>542</v>
      </c>
    </row>
    <row r="24">
      <c r="A24" t="s">
        <v>495</v>
      </c>
      <c r="B24" t="s">
        <v>543</v>
      </c>
      <c r="C24" t="s">
        <v>544</v>
      </c>
    </row>
    <row r="25">
      <c r="A25" t="s">
        <v>385</v>
      </c>
      <c r="B25" t="s">
        <v>545</v>
      </c>
      <c r="C25" t="s">
        <v>546</v>
      </c>
    </row>
    <row r="26">
      <c r="A26" t="s">
        <v>390</v>
      </c>
      <c r="B26" t="s">
        <v>391</v>
      </c>
      <c r="C26" t="s">
        <v>547</v>
      </c>
    </row>
    <row r="27">
      <c r="A27" t="s">
        <v>393</v>
      </c>
      <c r="B27" t="s">
        <v>394</v>
      </c>
      <c r="C27" t="s">
        <v>548</v>
      </c>
    </row>
    <row r="28">
      <c r="A28" t="s">
        <v>387</v>
      </c>
      <c r="B28" t="s">
        <v>388</v>
      </c>
      <c r="C28" t="s">
        <v>549</v>
      </c>
    </row>
    <row r="29">
      <c r="A29" t="s">
        <v>396</v>
      </c>
      <c r="B29" t="s">
        <v>550</v>
      </c>
      <c r="C29" t="s">
        <v>551</v>
      </c>
    </row>
    <row r="30">
      <c r="A30" t="s">
        <v>399</v>
      </c>
      <c r="B30" t="s">
        <v>400</v>
      </c>
      <c r="C30" t="s">
        <v>552</v>
      </c>
    </row>
    <row r="31">
      <c r="A31" t="s">
        <v>402</v>
      </c>
      <c r="B31" t="s">
        <v>553</v>
      </c>
      <c r="C31" t="s">
        <v>554</v>
      </c>
    </row>
    <row r="32">
      <c r="A32" t="s">
        <v>350</v>
      </c>
      <c r="B32" t="s">
        <v>555</v>
      </c>
      <c r="C32" t="s">
        <v>556</v>
      </c>
    </row>
    <row r="33">
      <c r="A33" t="s">
        <v>353</v>
      </c>
      <c r="B33" t="s">
        <v>557</v>
      </c>
      <c r="C33" t="s">
        <v>558</v>
      </c>
    </row>
    <row r="34">
      <c r="A34" t="s">
        <v>356</v>
      </c>
      <c r="B34" t="s">
        <v>559</v>
      </c>
      <c r="C34" t="s">
        <v>560</v>
      </c>
    </row>
    <row r="35">
      <c r="A35" t="s">
        <v>360</v>
      </c>
      <c r="B35" t="s">
        <v>359</v>
      </c>
      <c r="C35" t="s">
        <v>561</v>
      </c>
    </row>
    <row r="36">
      <c r="A36" t="s">
        <v>406</v>
      </c>
      <c r="B36" t="s">
        <v>562</v>
      </c>
      <c r="C36" t="s">
        <v>563</v>
      </c>
    </row>
    <row r="37">
      <c r="A37" t="s">
        <v>413</v>
      </c>
      <c r="B37" t="s">
        <v>414</v>
      </c>
      <c r="C37" t="s">
        <v>564</v>
      </c>
    </row>
    <row r="38">
      <c r="A38" t="s">
        <v>470</v>
      </c>
      <c r="B38" t="s">
        <v>565</v>
      </c>
      <c r="C38" t="s">
        <v>566</v>
      </c>
    </row>
    <row r="39">
      <c r="A39" t="s">
        <v>425</v>
      </c>
      <c r="B39" t="s">
        <v>567</v>
      </c>
      <c r="C39" t="s">
        <v>568</v>
      </c>
    </row>
    <row r="40">
      <c r="A40" t="s">
        <v>177</v>
      </c>
      <c r="B40" t="s">
        <v>430</v>
      </c>
      <c r="C40" t="s">
        <v>569</v>
      </c>
    </row>
    <row r="41">
      <c r="A41" t="s">
        <v>432</v>
      </c>
      <c r="B41" t="s">
        <v>433</v>
      </c>
      <c r="C41" t="s">
        <v>570</v>
      </c>
    </row>
    <row r="42">
      <c r="A42" t="s">
        <v>435</v>
      </c>
      <c r="B42" t="s">
        <v>571</v>
      </c>
      <c r="C42" t="s">
        <v>572</v>
      </c>
    </row>
    <row r="43">
      <c r="A43" t="s">
        <v>441</v>
      </c>
      <c r="B43" t="s">
        <v>442</v>
      </c>
      <c r="C43" t="s">
        <v>573</v>
      </c>
    </row>
    <row r="44">
      <c r="A44" t="s">
        <v>445</v>
      </c>
      <c r="B44" t="s">
        <v>574</v>
      </c>
      <c r="C44" t="s">
        <v>575</v>
      </c>
    </row>
    <row r="45">
      <c r="A45" t="s">
        <v>475</v>
      </c>
      <c r="B45" t="s">
        <v>576</v>
      </c>
      <c r="C45" t="s">
        <v>577</v>
      </c>
    </row>
    <row r="46">
      <c r="A46" t="s">
        <v>457</v>
      </c>
      <c r="B46" t="s">
        <v>458</v>
      </c>
      <c r="C46" t="s">
        <v>578</v>
      </c>
    </row>
    <row r="47">
      <c r="A47" t="s">
        <v>460</v>
      </c>
      <c r="B47" t="s">
        <v>579</v>
      </c>
      <c r="C47" t="s">
        <v>580</v>
      </c>
    </row>
    <row r="48">
      <c r="A48" t="s">
        <v>466</v>
      </c>
      <c r="B48" t="s">
        <v>581</v>
      </c>
      <c r="C48" t="s">
        <v>582</v>
      </c>
    </row>
    <row r="49">
      <c r="A49" t="s">
        <v>583</v>
      </c>
      <c r="B49" t="s">
        <v>584</v>
      </c>
      <c r="C49" t="s">
        <v>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IFERROR(INDEX('1_DCS_numerator_by_BEA'!$B$2:$B$74, MATCH($A3, '1_DCS_numerator_by_BEA'!$A$2:$A$74,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IFERROR(INDEX('1_DCS_numerator_by_BEA'!$B$2:$B$74, MATCH($A4, '1_DCS_numerator_by_BEA'!$A$2:$A$74,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IFERROR(INDEX('1_DCS_numerator_by_BEA'!$B$2:$B$74, MATCH($A5, '1_DCS_numerator_by_BEA'!$A$2:$A$74,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IFERROR(INDEX('1_DCS_numerator_by_BEA'!$B$2:$B$74, MATCH($A6, '1_DCS_numerator_by_BEA'!$A$2:$A$74,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IFERROR(INDEX('1_DCS_numerator_by_BEA'!$B$2:$B$74, MATCH($A7, '1_DCS_numerator_by_BEA'!$A$2:$A$74,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IFERROR(INDEX('1_DCS_numerator_by_BEA'!$B$2:$B$74, MATCH($A8, '1_DCS_numerator_by_BEA'!$A$2:$A$74,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IFERROR(INDEX('1_DCS_numerator_by_BEA'!$B$2:$B$74, MATCH($A9, '1_DCS_numerator_by_BEA'!$A$2:$A$74,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IFERROR(INDEX('1_DCS_numerator_by_BEA'!$B$2:$B$74, MATCH($A10, '1_DCS_numerator_by_BEA'!$A$2:$A$74,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IFERROR(INDEX('1_DCS_numerator_by_BEA'!$B$2:$B$74, MATCH($A11, '1_DCS_numerator_by_BEA'!$A$2:$A$74,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IFERROR(INDEX('1_DCS_numerator_by_BEA'!$B$2:$B$74, MATCH($A12, '1_DCS_numerator_by_BEA'!$A$2:$A$74,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IFERROR(INDEX('1_DCS_numerator_by_BEA'!$B$2:$B$74, MATCH($A13, '1_DCS_numerator_by_BEA'!$A$2:$A$74,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IFERROR(INDEX('1_DCS_numerator_by_BEA'!$B$2:$B$74, MATCH($A14, '1_DCS_numerator_by_BEA'!$A$2:$A$74,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IFERROR(INDEX('1_DCS_numerator_by_BEA'!$B$2:$B$74, MATCH($A15, '1_DCS_numerator_by_BEA'!$A$2:$A$74,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IFERROR(INDEX('1_DCS_numerator_by_BEA'!$B$2:$B$74, MATCH($A16, '1_DCS_numerator_by_BEA'!$A$2:$A$74,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IFERROR(INDEX('1_DCS_numerator_by_BEA'!$B$2:$B$74, MATCH($A17, '1_DCS_numerator_by_BEA'!$A$2:$A$74,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IFERROR(INDEX('1_DCS_numerator_by_BEA'!$B$2:$B$74, MATCH($A18, '1_DCS_numerator_by_BEA'!$A$2:$A$74,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IFERROR(INDEX('1_DCS_numerator_by_BEA'!$B$2:$B$74, MATCH($A19, '1_DCS_numerator_by_BEA'!$A$2:$A$74,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IFERROR(INDEX('1_DCS_numerator_by_BEA'!$B$2:$B$74, MATCH($A20, '1_DCS_numerator_by_BEA'!$A$2:$A$74,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IFERROR(INDEX('1_DCS_numerator_by_BEA'!$B$2:$B$74, MATCH($A21, '1_DCS_numerator_by_BEA'!$A$2:$A$74,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IFERROR(INDEX('1_DCS_numerator_by_BEA'!$B$2:$B$74, MATCH($A22, '1_DCS_numerator_by_BEA'!$A$2:$A$74,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IFERROR(INDEX('1_DCS_numerator_by_BEA'!$B$2:$B$74, MATCH($A23, '1_DCS_numerator_by_BEA'!$A$2:$A$74,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IFERROR(INDEX('1_DCS_numerator_by_BEA'!$B$2:$B$74, MATCH($A24, '1_DCS_numerator_by_BEA'!$A$2:$A$74,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IFERROR(INDEX('1_DCS_numerator_by_BEA'!$B$2:$B$74, MATCH($A25, '1_DCS_numerator_by_BEA'!$A$2:$A$74,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IFERROR(INDEX('1_DCS_numerator_by_BEA'!$B$2:$B$74, MATCH($A26, '1_DCS_numerator_by_BEA'!$A$2:$A$74,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IFERROR(INDEX('1_DCS_numerator_by_BEA'!$B$2:$B$74, MATCH($A27, '1_DCS_numerator_by_BEA'!$A$2:$A$74,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IFERROR(INDEX('1_DCS_numerator_by_BEA'!$B$2:$B$74, MATCH($A28, '1_DCS_numerator_by_BEA'!$A$2:$A$74,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IFERROR(INDEX('1_DCS_numerator_by_BEA'!$B$2:$B$74, MATCH($A29, '1_DCS_numerator_by_BEA'!$A$2:$A$74,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IFERROR(INDEX('1_DCS_numerator_by_BEA'!$B$2:$B$74, MATCH($A30, '1_DCS_numerator_by_BEA'!$A$2:$A$74,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IFERROR(INDEX('1_DCS_numerator_by_BEA'!$B$2:$B$74, MATCH($A31, '1_DCS_numerator_by_BEA'!$A$2:$A$74,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IFERROR(INDEX('1_DCS_numerator_by_BEA'!$B$2:$B$74, MATCH($A32, '1_DCS_numerator_by_BEA'!$A$2:$A$74,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IFERROR(INDEX('1_DCS_numerator_by_BEA'!$B$2:$B$74, MATCH($A33, '1_DCS_numerator_by_BEA'!$A$2:$A$74,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IFERROR(INDEX('1_DCS_numerator_by_BEA'!$B$2:$B$74, MATCH($A34, '1_DCS_numerator_by_BEA'!$A$2:$A$74,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IFERROR(INDEX('1_DCS_numerator_by_BEA'!$B$2:$B$74, MATCH($A35, '1_DCS_numerator_by_BEA'!$A$2:$A$74,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IFERROR(INDEX('1_DCS_numerator_by_BEA'!$B$2:$B$74, MATCH($A36, '1_DCS_numerator_by_BEA'!$A$2:$A$74,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IFERROR(INDEX('1_DCS_numerator_by_BEA'!$B$2:$B$74, MATCH($A37, '1_DCS_numerator_by_BEA'!$A$2:$A$74,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IFERROR(INDEX('1_DCS_numerator_by_BEA'!$B$2:$B$74, MATCH($A38, '1_DCS_numerator_by_BEA'!$A$2:$A$74,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IFERROR(INDEX('1_DCS_numerator_by_BEA'!$B$2:$B$74, MATCH($A39, '1_DCS_numerator_by_BEA'!$A$2:$A$74,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IFERROR(INDEX('1_DCS_numerator_by_BEA'!$B$2:$B$74, MATCH($A40, '1_DCS_numerator_by_BEA'!$A$2:$A$74,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IFERROR(INDEX('1_DCS_numerator_by_BEA'!$B$2:$B$74, MATCH($A41, '1_DCS_numerator_by_BEA'!$A$2:$A$74,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IFERROR(INDEX('1_DCS_numerator_by_BEA'!$B$2:$B$74, MATCH($A42, '1_DCS_numerator_by_BEA'!$A$2:$A$74,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IFERROR(INDEX('1_DCS_numerator_by_BEA'!$B$2:$B$74, MATCH($A43, '1_DCS_numerator_by_BEA'!$A$2:$A$74,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IFERROR(INDEX('1_DCS_numerator_by_BEA'!$B$2:$B$74, MATCH($A44, '1_DCS_numerator_by_BEA'!$A$2:$A$74,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IFERROR(INDEX('1_DCS_numerator_by_BEA'!$B$2:$B$74, MATCH($A45, '1_DCS_numerator_by_BEA'!$A$2:$A$74,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IFERROR(INDEX('1_DCS_numerator_by_BEA'!$B$2:$B$74, MATCH($A46, '1_DCS_numerator_by_BEA'!$A$2:$A$74,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IFERROR(INDEX('1_DCS_numerator_by_BEA'!$B$2:$B$74, MATCH($A47, '1_DCS_numerator_by_BEA'!$A$2:$A$74,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IFERROR(INDEX('1_DCS_numerator_by_BEA'!$B$2:$B$74, MATCH($A48, '1_DCS_numerator_by_BEA'!$A$2:$A$74,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IFERROR(INDEX('1_DCS_numerator_by_BEA'!$B$2:$B$74, MATCH($A49, '1_DCS_numerator_by_BEA'!$A$2:$A$74,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IFERROR(INDEX('1_DCS_numerator_by_BEA'!$B$2:$B$74, MATCH($A50, '1_DCS_numerator_by_BEA'!$A$2:$A$74,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IFERROR(INDEX('1_DCS_numerator_by_BEA'!$B$2:$B$74, MATCH($A51, '1_DCS_numerator_by_BEA'!$A$2:$A$74,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IFERROR(INDEX('1_DCS_numerator_by_BEA'!$B$2:$B$74, MATCH($A52, '1_DCS_numerator_by_BEA'!$A$2:$A$74,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IFERROR(INDEX('1_DCS_numerator_by_BEA'!$B$2:$B$74, MATCH($A53, '1_DCS_numerator_by_BEA'!$A$2:$A$74,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IFERROR(INDEX('1_DCS_numerator_by_BEA'!$B$2:$B$74, MATCH($A54, '1_DCS_numerator_by_BEA'!$A$2:$A$74,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IFERROR(INDEX('1_DCS_numerator_by_BEA'!$B$2:$B$74, MATCH($A55, '1_DCS_numerator_by_BEA'!$A$2:$A$74,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IFERROR(INDEX('1_DCS_numerator_by_BEA'!$B$2:$B$74, MATCH($A56, '1_DCS_numerator_by_BEA'!$A$2:$A$74,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IFERROR(INDEX('1_DCS_numerator_by_BEA'!$B$2:$B$74, MATCH($A57, '1_DCS_numerator_by_BEA'!$A$2:$A$74,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IFERROR(INDEX('1_DCS_numerator_by_BEA'!$B$2:$B$74, MATCH($A58, '1_DCS_numerator_by_BEA'!$A$2:$A$74,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IFERROR(INDEX('1_DCS_numerator_by_BEA'!$B$2:$B$74, MATCH($A59, '1_DCS_numerator_by_BEA'!$A$2:$A$74,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IFERROR(INDEX('1_DCS_numerator_by_BEA'!$B$2:$B$74, MATCH($A60, '1_DCS_numerator_by_BEA'!$A$2:$A$74,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IFERROR(INDEX('1_DCS_numerator_by_BEA'!$B$2:$B$74, MATCH($A61, '1_DCS_numerator_by_BEA'!$A$2:$A$74,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IFERROR(INDEX('1_DCS_numerator_by_BEA'!$B$2:$B$74, MATCH($A62, '1_DCS_numerator_by_BEA'!$A$2:$A$74,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IFERROR(INDEX('1_DCS_numerator_by_BEA'!$B$2:$B$74, MATCH($A63, '1_DCS_numerator_by_BEA'!$A$2:$A$74,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IFERROR(INDEX('1_DCS_numerator_by_BEA'!$B$2:$B$74, MATCH($A64, '1_DCS_numerator_by_BEA'!$A$2:$A$74,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IFERROR(INDEX('1_DCS_numerator_by_BEA'!$B$2:$B$74, MATCH($A65, '1_DCS_numerator_by_BEA'!$A$2:$A$74,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IFERROR(INDEX('1_DCS_numerator_by_BEA'!$B$2:$B$74, MATCH($A66, '1_DCS_numerator_by_BEA'!$A$2:$A$74,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IFERROR(INDEX('1_DCS_numerator_by_BEA'!$B$2:$B$74, MATCH($A67, '1_DCS_numerator_by_BEA'!$A$2:$A$74,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IFERROR(INDEX('1_DCS_numerator_by_BEA'!$B$2:$B$74, MATCH($A68, '1_DCS_numerator_by_BEA'!$A$2:$A$74,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IFERROR(INDEX('1_DCS_numerator_by_BEA'!$B$2:$B$74, MATCH($A69, '1_DCS_numerator_by_BEA'!$A$2:$A$74,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IFERROR(INDEX('1_DCS_numerator_by_BEA'!$B$2:$B$74, MATCH($A70, '1_DCS_numerator_by_BEA'!$A$2:$A$74,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IFERROR(INDEX('1_DCS_numerator_by_BEA'!$B$2:$B$74, MATCH($A71, '1_DCS_numerator_by_BEA'!$A$2:$A$74,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IFERROR(INDEX('1_DCS_numerator_by_BEA'!$B$2:$B$74, MATCH($A72, '1_DCS_numerator_by_BEA'!$A$2:$A$74,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IFERROR(INDEX('1_DCS_numerator_by_BEA'!$B$2:$B$74, MATCH($A73, '1_DCS_numerator_by_BEA'!$A$2:$A$74,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IFERROR(INDEX('1_DCS_numerator_by_BEA'!$B$2:$B$74, MATCH($A74, '1_DCS_numerator_by_BEA'!$A$2:$A$74,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IFERROR(INDEX('1_DCS_numerator_by_BEA'!$B$2:$B$74, MATCH($A75, '1_DCS_numerator_by_BEA'!$A$2:$A$74,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IFERROR(INDEX('1_DCS_numerator_by_BEA'!$B$2:$B$74, MATCH($A76, '1_DCS_numerator_by_BEA'!$A$2:$A$74,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IFERROR(INDEX('1_DCS_numerator_by_BEA'!$B$2:$B$74, MATCH($A77, '1_DCS_numerator_by_BEA'!$A$2:$A$74,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IFERROR(INDEX('1_DCS_numerator_by_BEA'!$B$2:$B$74, MATCH($A78, '1_DCS_numerator_by_BEA'!$A$2:$A$74,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IFERROR(INDEX('1_DCS_numerator_by_BEA'!$B$2:$B$74, MATCH($A79, '1_DCS_numerator_by_BEA'!$A$2:$A$74,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IFERROR(INDEX('1_DCS_numerator_by_BEA'!$B$2:$B$74, MATCH($A80, '1_DCS_numerator_by_BEA'!$A$2:$A$74,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IFERROR(INDEX('1_DCS_numerator_by_BEA'!$B$2:$B$74, MATCH($A81, '1_DCS_numerator_by_BEA'!$A$2:$A$74,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SUMIFS('6_Calc_DCS_num_ISIC'!$E$3:$E$81, '6_Calc_DCS_num_ISIC'!$B$3:$B$81, $A85)</f>
      </c>
      <c r="C85" t="str">
        <f>B85</f>
      </c>
    </row>
    <row r="86">
      <c r="A86" t="s">
        <v>482</v>
      </c>
      <c r="B86" t="str">
        <f>SUMIFS('6_Calc_DCS_num_ISIC'!$E$3:$E$81, '6_Calc_DCS_num_ISIC'!$B$3:$B$81, $A86)</f>
      </c>
      <c r="C86" t="str">
        <f>B86</f>
      </c>
    </row>
    <row r="87">
      <c r="A87" t="s">
        <v>344</v>
      </c>
      <c r="B87" t="str">
        <f>SUMIFS('6_Calc_DCS_num_ISIC'!$E$3:$E$81, '6_Calc_DCS_num_ISIC'!$B$3:$B$81, $A87)</f>
      </c>
      <c r="C87" t="str">
        <f>B87</f>
      </c>
    </row>
    <row r="88">
      <c r="A88" t="s">
        <v>485</v>
      </c>
      <c r="B88" t="str">
        <f>SUMIFS('6_Calc_DCS_num_ISIC'!$E$3:$E$81, '6_Calc_DCS_num_ISIC'!$B$3:$B$81, $A88)</f>
      </c>
      <c r="C88" t="str">
        <f>B88</f>
      </c>
    </row>
    <row r="89">
      <c r="A89" t="s">
        <v>347</v>
      </c>
      <c r="B89" t="str">
        <f>SUMIFS('6_Calc_DCS_num_ISIC'!$E$3:$E$81, '6_Calc_DCS_num_ISIC'!$B$3:$B$81, $A89)</f>
      </c>
      <c r="C89" t="str">
        <f>B89</f>
      </c>
    </row>
    <row r="90">
      <c r="A90" t="s">
        <v>362</v>
      </c>
      <c r="B90" t="str">
        <f>SUMIFS('6_Calc_DCS_num_ISIC'!$E$3:$E$81, '6_Calc_DCS_num_ISIC'!$B$3:$B$81, $A90)</f>
      </c>
      <c r="C90" t="str">
        <f>B90</f>
      </c>
    </row>
    <row r="91">
      <c r="A91" t="s">
        <v>365</v>
      </c>
      <c r="B91" t="str">
        <f>SUMIFS('6_Calc_DCS_num_ISIC'!$E$3:$E$81, '6_Calc_DCS_num_ISIC'!$B$3:$B$81, $A91)</f>
      </c>
      <c r="C91" t="str">
        <f>B91</f>
      </c>
    </row>
    <row r="92">
      <c r="A92" t="s">
        <v>369</v>
      </c>
      <c r="B92" t="str">
        <f>SUMIFS('6_Calc_DCS_num_ISIC'!$E$3:$E$81, '6_Calc_DCS_num_ISIC'!$B$3:$B$81, $A92)</f>
      </c>
      <c r="C92" t="str">
        <f>B92</f>
      </c>
    </row>
    <row r="93">
      <c r="A93" t="s">
        <v>372</v>
      </c>
      <c r="B93" t="str">
        <f>SUMIFS('6_Calc_DCS_num_ISIC'!$E$3:$E$81, '6_Calc_DCS_num_ISIC'!$B$3:$B$81, $A93)</f>
      </c>
      <c r="C93" t="str">
        <f>B93</f>
      </c>
    </row>
    <row r="94">
      <c r="A94" t="s">
        <v>376</v>
      </c>
      <c r="B94" t="str">
        <f>SUMIFS('6_Calc_DCS_num_ISIC'!$E$3:$E$81, '6_Calc_DCS_num_ISIC'!$B$3:$B$81, $A94)</f>
      </c>
      <c r="C94" t="str">
        <f>B94</f>
      </c>
    </row>
    <row r="95">
      <c r="A95" t="s">
        <v>498</v>
      </c>
      <c r="B95" t="str">
        <f>SUMIFS('6_Calc_DCS_num_ISIC'!$E$3:$E$81, '6_Calc_DCS_num_ISIC'!$B$3:$B$81, $A95)</f>
      </c>
      <c r="C95" t="str">
        <f>B95</f>
      </c>
    </row>
    <row r="96">
      <c r="A96" t="s">
        <v>501</v>
      </c>
      <c r="B96" t="str">
        <f>SUMIFS('6_Calc_DCS_num_ISIC'!$E$3:$E$81, '6_Calc_DCS_num_ISIC'!$B$3:$B$81, $A96)</f>
      </c>
      <c r="C96" t="str">
        <f>B96</f>
      </c>
    </row>
    <row r="97">
      <c r="A97" t="s">
        <v>126</v>
      </c>
      <c r="B97" t="str">
        <f>SUMIFS('6_Calc_DCS_num_ISIC'!$E$3:$E$81, '6_Calc_DCS_num_ISIC'!$B$3:$B$81, $A97)</f>
      </c>
      <c r="C97" t="str">
        <f>B97</f>
      </c>
    </row>
    <row r="98">
      <c r="A98" t="s">
        <v>488</v>
      </c>
      <c r="B98" t="str">
        <f>SUMIFS('6_Calc_DCS_num_ISIC'!$E$3:$E$81, '6_Calc_DCS_num_ISIC'!$B$3:$B$81, $A98)</f>
      </c>
      <c r="C98" t="str">
        <f>B98</f>
      </c>
    </row>
    <row r="99">
      <c r="A99" t="s">
        <v>491</v>
      </c>
      <c r="B99" t="str">
        <f>SUMIFS('6_Calc_DCS_num_ISIC'!$E$3:$E$81, '6_Calc_DCS_num_ISIC'!$B$3:$B$81, $A99)</f>
      </c>
      <c r="C99" t="str">
        <f>B99</f>
      </c>
    </row>
    <row r="100">
      <c r="A100" t="s">
        <v>379</v>
      </c>
      <c r="B100" t="str">
        <f>SUMIFS('6_Calc_DCS_num_ISIC'!$E$3:$E$81, '6_Calc_DCS_num_ISIC'!$B$3:$B$81, $A100)</f>
      </c>
      <c r="C100" t="str">
        <f>B100</f>
      </c>
    </row>
    <row r="101">
      <c r="A101" t="s">
        <v>495</v>
      </c>
      <c r="B101" t="str">
        <f>SUMIFS('6_Calc_DCS_num_ISIC'!$E$3:$E$81, '6_Calc_DCS_num_ISIC'!$B$3:$B$81, $A101)</f>
      </c>
      <c r="C101" t="str">
        <f>B101</f>
      </c>
    </row>
    <row r="102">
      <c r="A102" t="s">
        <v>385</v>
      </c>
      <c r="B102" t="str">
        <f>SUMIFS('6_Calc_DCS_num_ISIC'!$E$3:$E$81, '6_Calc_DCS_num_ISIC'!$B$3:$B$81, $A102)</f>
      </c>
      <c r="C102" t="str">
        <f>B102</f>
      </c>
    </row>
    <row r="103">
      <c r="A103" t="s">
        <v>390</v>
      </c>
      <c r="B103" t="str">
        <f>SUMIFS('6_Calc_DCS_num_ISIC'!$E$3:$E$81, '6_Calc_DCS_num_ISIC'!$B$3:$B$81, $A103)</f>
      </c>
      <c r="C103" t="str">
        <f>B103</f>
      </c>
    </row>
    <row r="104">
      <c r="A104" t="s">
        <v>393</v>
      </c>
      <c r="B104" t="str">
        <f>SUMIFS('6_Calc_DCS_num_ISIC'!$E$3:$E$81, '6_Calc_DCS_num_ISIC'!$B$3:$B$81, $A104)</f>
      </c>
      <c r="C104" t="str">
        <f>B104</f>
      </c>
    </row>
    <row r="105">
      <c r="A105" t="s">
        <v>387</v>
      </c>
      <c r="B105" t="str">
        <f>SUMIFS('6_Calc_DCS_num_ISIC'!$E$3:$E$81, '6_Calc_DCS_num_ISIC'!$B$3:$B$81, $A105)</f>
      </c>
      <c r="C105" t="str">
        <f>B105</f>
      </c>
    </row>
    <row r="106">
      <c r="A106" t="s">
        <v>396</v>
      </c>
      <c r="B106" t="str">
        <f>SUMIFS('6_Calc_DCS_num_ISIC'!$E$3:$E$81, '6_Calc_DCS_num_ISIC'!$B$3:$B$81, $A106)</f>
      </c>
      <c r="C106" t="str">
        <f>B106</f>
      </c>
    </row>
    <row r="107">
      <c r="A107" t="s">
        <v>399</v>
      </c>
      <c r="B107" t="str">
        <f>SUMIFS('6_Calc_DCS_num_ISIC'!$E$3:$E$81, '6_Calc_DCS_num_ISIC'!$B$3:$B$81, $A107)</f>
      </c>
      <c r="C107" t="str">
        <f>B107</f>
      </c>
    </row>
    <row r="108">
      <c r="A108" t="s">
        <v>402</v>
      </c>
      <c r="B108" t="str">
        <f>SUMIFS('6_Calc_DCS_num_ISIC'!$E$3:$E$81, '6_Calc_DCS_num_ISIC'!$B$3:$B$81, $A108)</f>
      </c>
      <c r="C108" t="str">
        <f>B108</f>
      </c>
    </row>
    <row r="109">
      <c r="A109" t="s">
        <v>350</v>
      </c>
      <c r="B109" t="str">
        <f>SUMIFS('6_Calc_DCS_num_ISIC'!$E$3:$E$81, '6_Calc_DCS_num_ISIC'!$B$3:$B$81, $A109)</f>
      </c>
      <c r="C109" t="str">
        <f>B109</f>
      </c>
    </row>
    <row r="110">
      <c r="A110" t="s">
        <v>353</v>
      </c>
      <c r="B110" t="str">
        <f>SUMIFS('6_Calc_DCS_num_ISIC'!$E$3:$E$81, '6_Calc_DCS_num_ISIC'!$B$3:$B$81, $A110)</f>
      </c>
      <c r="C110" t="str">
        <f>B110</f>
      </c>
    </row>
    <row r="111">
      <c r="A111" t="s">
        <v>356</v>
      </c>
      <c r="B111" t="str">
        <f>SUMIFS('6_Calc_DCS_num_ISIC'!$E$3:$E$81, '6_Calc_DCS_num_ISIC'!$B$3:$B$81, $A111)</f>
      </c>
      <c r="C111" t="str">
        <f>B111</f>
      </c>
    </row>
    <row r="112">
      <c r="A112" t="s">
        <v>360</v>
      </c>
      <c r="B112" t="str">
        <f>SUMIFS('6_Calc_DCS_num_ISIC'!$E$3:$E$81, '6_Calc_DCS_num_ISIC'!$B$3:$B$81, $A112)</f>
      </c>
      <c r="C112" t="str">
        <f>B112</f>
      </c>
    </row>
    <row r="113">
      <c r="A113" t="s">
        <v>406</v>
      </c>
      <c r="B113" t="str">
        <f>SUMIFS('6_Calc_DCS_num_ISIC'!$E$3:$E$81, '6_Calc_DCS_num_ISIC'!$B$3:$B$81, $A113)</f>
      </c>
      <c r="C113" t="str">
        <f>B113</f>
      </c>
    </row>
    <row r="114">
      <c r="A114" t="s">
        <v>413</v>
      </c>
      <c r="B114" t="str">
        <f>SUMIFS('6_Calc_DCS_num_ISIC'!$E$3:$E$81, '6_Calc_DCS_num_ISIC'!$B$3:$B$81, $A114)</f>
      </c>
      <c r="C114" t="str">
        <f>B114</f>
      </c>
    </row>
    <row r="115">
      <c r="A115" t="s">
        <v>470</v>
      </c>
      <c r="B115" t="str">
        <f>SUMIFS('6_Calc_DCS_num_ISIC'!$E$3:$E$81, '6_Calc_DCS_num_ISIC'!$B$3:$B$81, $A115)</f>
      </c>
      <c r="C115" t="str">
        <f>B115</f>
      </c>
    </row>
    <row r="116">
      <c r="A116" t="s">
        <v>425</v>
      </c>
      <c r="B116" t="str">
        <f>SUMIFS('6_Calc_DCS_num_ISIC'!$E$3:$E$81, '6_Calc_DCS_num_ISIC'!$B$3:$B$81, $A116)</f>
      </c>
      <c r="C116" t="str">
        <f>B116</f>
      </c>
    </row>
    <row r="117">
      <c r="A117" t="s">
        <v>177</v>
      </c>
      <c r="B117" t="str">
        <f>SUMIFS('6_Calc_DCS_num_ISIC'!$E$3:$E$81, '6_Calc_DCS_num_ISIC'!$B$3:$B$81, $A117)</f>
      </c>
      <c r="C117" t="str">
        <f>B117</f>
      </c>
    </row>
    <row r="118">
      <c r="A118" t="s">
        <v>432</v>
      </c>
      <c r="B118" t="str">
        <f>SUMIFS('6_Calc_DCS_num_ISIC'!$E$3:$E$81, '6_Calc_DCS_num_ISIC'!$B$3:$B$81, $A118)</f>
      </c>
      <c r="C118" t="str">
        <f>B118</f>
      </c>
    </row>
    <row r="119">
      <c r="A119" t="s">
        <v>435</v>
      </c>
      <c r="B119" t="str">
        <f>SUMIFS('6_Calc_DCS_num_ISIC'!$E$3:$E$81, '6_Calc_DCS_num_ISIC'!$B$3:$B$81, $A119)</f>
      </c>
      <c r="C119" t="str">
        <f>B119</f>
      </c>
    </row>
    <row r="120">
      <c r="A120" t="s">
        <v>441</v>
      </c>
      <c r="B120" t="str">
        <f>SUMIFS('6_Calc_DCS_num_ISIC'!$E$3:$E$81, '6_Calc_DCS_num_ISIC'!$B$3:$B$81, $A120)</f>
      </c>
      <c r="C120" t="str">
        <f>B120</f>
      </c>
    </row>
    <row r="121">
      <c r="A121" t="s">
        <v>445</v>
      </c>
      <c r="B121" t="str">
        <f>SUMIFS('6_Calc_DCS_num_ISIC'!$E$3:$E$81, '6_Calc_DCS_num_ISIC'!$B$3:$B$81, $A121)</f>
      </c>
      <c r="C121" t="str">
        <f>B121</f>
      </c>
    </row>
    <row r="122">
      <c r="A122" t="s">
        <v>475</v>
      </c>
      <c r="B122" t="str">
        <f>SUMIFS('6_Calc_DCS_num_ISIC'!$E$3:$E$81, '6_Calc_DCS_num_ISIC'!$B$3:$B$81, $A122)</f>
      </c>
      <c r="C122" t="str">
        <f>B122</f>
      </c>
    </row>
    <row r="123">
      <c r="A123" t="s">
        <v>457</v>
      </c>
      <c r="B123" t="str">
        <f>SUMIFS('6_Calc_DCS_num_ISIC'!$E$3:$E$81, '6_Calc_DCS_num_ISIC'!$B$3:$B$81, $A123)</f>
      </c>
      <c r="C123" t="str">
        <f>B123</f>
      </c>
    </row>
    <row r="124">
      <c r="A124" t="s">
        <v>460</v>
      </c>
      <c r="B124" t="str">
        <f>SUMIFS('6_Calc_DCS_num_ISIC'!$E$3:$E$81, '6_Calc_DCS_num_ISIC'!$B$3:$B$81, $A124)</f>
      </c>
      <c r="C124" t="str">
        <f>B124</f>
      </c>
    </row>
    <row r="125">
      <c r="A125" t="s">
        <v>466</v>
      </c>
      <c r="B125" t="str">
        <f>SUMIFS('6_Calc_DCS_num_ISIC'!$E$3:$E$81, '6_Calc_DCS_num_ISIC'!$B$3:$B$81, $A125)</f>
      </c>
      <c r="C125" t="str">
        <f>B125</f>
      </c>
    </row>
    <row r="126">
      <c r="A126" t="s">
        <v>583</v>
      </c>
      <c r="B126" t="str">
        <f>SUMIFS('6_Calc_DCS_num_ISIC'!$E$3:$E$81, '6_Calc_DCS_num_ISIC'!$B$3:$B$81,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IFERROR(INDEX('2_DCS_denominator_by_BEA'!$B$2:$B$74, MATCH($A3, '2_DCS_denominator_by_BEA'!$A$2:$A$74,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IFERROR(INDEX('2_DCS_denominator_by_BEA'!$B$2:$B$74, MATCH($A4, '2_DCS_denominator_by_BEA'!$A$2:$A$74,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IFERROR(INDEX('2_DCS_denominator_by_BEA'!$B$2:$B$74, MATCH($A5, '2_DCS_denominator_by_BEA'!$A$2:$A$74,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IFERROR(INDEX('2_DCS_denominator_by_BEA'!$B$2:$B$74, MATCH($A6, '2_DCS_denominator_by_BEA'!$A$2:$A$74,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IFERROR(INDEX('2_DCS_denominator_by_BEA'!$B$2:$B$74, MATCH($A7, '2_DCS_denominator_by_BEA'!$A$2:$A$74,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IFERROR(INDEX('2_DCS_denominator_by_BEA'!$B$2:$B$74, MATCH($A8, '2_DCS_denominator_by_BEA'!$A$2:$A$74,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IFERROR(INDEX('2_DCS_denominator_by_BEA'!$B$2:$B$74, MATCH($A9, '2_DCS_denominator_by_BEA'!$A$2:$A$74,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IFERROR(INDEX('2_DCS_denominator_by_BEA'!$B$2:$B$74, MATCH($A10, '2_DCS_denominator_by_BEA'!$A$2:$A$74,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IFERROR(INDEX('2_DCS_denominator_by_BEA'!$B$2:$B$74, MATCH($A11, '2_DCS_denominator_by_BEA'!$A$2:$A$74,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IFERROR(INDEX('2_DCS_denominator_by_BEA'!$B$2:$B$74, MATCH($A12, '2_DCS_denominator_by_BEA'!$A$2:$A$74,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IFERROR(INDEX('2_DCS_denominator_by_BEA'!$B$2:$B$74, MATCH($A13, '2_DCS_denominator_by_BEA'!$A$2:$A$74,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IFERROR(INDEX('2_DCS_denominator_by_BEA'!$B$2:$B$74, MATCH($A14, '2_DCS_denominator_by_BEA'!$A$2:$A$74,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IFERROR(INDEX('2_DCS_denominator_by_BEA'!$B$2:$B$74, MATCH($A15, '2_DCS_denominator_by_BEA'!$A$2:$A$74,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IFERROR(INDEX('2_DCS_denominator_by_BEA'!$B$2:$B$74, MATCH($A16, '2_DCS_denominator_by_BEA'!$A$2:$A$74,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IFERROR(INDEX('2_DCS_denominator_by_BEA'!$B$2:$B$74, MATCH($A17, '2_DCS_denominator_by_BEA'!$A$2:$A$74,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IFERROR(INDEX('2_DCS_denominator_by_BEA'!$B$2:$B$74, MATCH($A18, '2_DCS_denominator_by_BEA'!$A$2:$A$74,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IFERROR(INDEX('2_DCS_denominator_by_BEA'!$B$2:$B$74, MATCH($A19, '2_DCS_denominator_by_BEA'!$A$2:$A$74,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IFERROR(INDEX('2_DCS_denominator_by_BEA'!$B$2:$B$74, MATCH($A20, '2_DCS_denominator_by_BEA'!$A$2:$A$74,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IFERROR(INDEX('2_DCS_denominator_by_BEA'!$B$2:$B$74, MATCH($A21, '2_DCS_denominator_by_BEA'!$A$2:$A$74,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IFERROR(INDEX('2_DCS_denominator_by_BEA'!$B$2:$B$74, MATCH($A22, '2_DCS_denominator_by_BEA'!$A$2:$A$74,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IFERROR(INDEX('2_DCS_denominator_by_BEA'!$B$2:$B$74, MATCH($A23, '2_DCS_denominator_by_BEA'!$A$2:$A$74,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IFERROR(INDEX('2_DCS_denominator_by_BEA'!$B$2:$B$74, MATCH($A24, '2_DCS_denominator_by_BEA'!$A$2:$A$74,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IFERROR(INDEX('2_DCS_denominator_by_BEA'!$B$2:$B$74, MATCH($A25, '2_DCS_denominator_by_BEA'!$A$2:$A$74,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IFERROR(INDEX('2_DCS_denominator_by_BEA'!$B$2:$B$74, MATCH($A26, '2_DCS_denominator_by_BEA'!$A$2:$A$74,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IFERROR(INDEX('2_DCS_denominator_by_BEA'!$B$2:$B$74, MATCH($A27, '2_DCS_denominator_by_BEA'!$A$2:$A$74,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IFERROR(INDEX('2_DCS_denominator_by_BEA'!$B$2:$B$74, MATCH($A28, '2_DCS_denominator_by_BEA'!$A$2:$A$74,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IFERROR(INDEX('2_DCS_denominator_by_BEA'!$B$2:$B$74, MATCH($A29, '2_DCS_denominator_by_BEA'!$A$2:$A$74,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IFERROR(INDEX('2_DCS_denominator_by_BEA'!$B$2:$B$74, MATCH($A30, '2_DCS_denominator_by_BEA'!$A$2:$A$74,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IFERROR(INDEX('2_DCS_denominator_by_BEA'!$B$2:$B$74, MATCH($A31, '2_DCS_denominator_by_BEA'!$A$2:$A$74,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IFERROR(INDEX('2_DCS_denominator_by_BEA'!$B$2:$B$74, MATCH($A32, '2_DCS_denominator_by_BEA'!$A$2:$A$74,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IFERROR(INDEX('2_DCS_denominator_by_BEA'!$B$2:$B$74, MATCH($A33, '2_DCS_denominator_by_BEA'!$A$2:$A$74,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IFERROR(INDEX('2_DCS_denominator_by_BEA'!$B$2:$B$74, MATCH($A34, '2_DCS_denominator_by_BEA'!$A$2:$A$74,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IFERROR(INDEX('2_DCS_denominator_by_BEA'!$B$2:$B$74, MATCH($A35, '2_DCS_denominator_by_BEA'!$A$2:$A$74,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IFERROR(INDEX('2_DCS_denominator_by_BEA'!$B$2:$B$74, MATCH($A36, '2_DCS_denominator_by_BEA'!$A$2:$A$74,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IFERROR(INDEX('2_DCS_denominator_by_BEA'!$B$2:$B$74, MATCH($A37, '2_DCS_denominator_by_BEA'!$A$2:$A$74,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IFERROR(INDEX('2_DCS_denominator_by_BEA'!$B$2:$B$74, MATCH($A38, '2_DCS_denominator_by_BEA'!$A$2:$A$74,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IFERROR(INDEX('2_DCS_denominator_by_BEA'!$B$2:$B$74, MATCH($A39, '2_DCS_denominator_by_BEA'!$A$2:$A$74,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IFERROR(INDEX('2_DCS_denominator_by_BEA'!$B$2:$B$74, MATCH($A40, '2_DCS_denominator_by_BEA'!$A$2:$A$74,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IFERROR(INDEX('2_DCS_denominator_by_BEA'!$B$2:$B$74, MATCH($A41, '2_DCS_denominator_by_BEA'!$A$2:$A$74,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IFERROR(INDEX('2_DCS_denominator_by_BEA'!$B$2:$B$74, MATCH($A42, '2_DCS_denominator_by_BEA'!$A$2:$A$74,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IFERROR(INDEX('2_DCS_denominator_by_BEA'!$B$2:$B$74, MATCH($A43, '2_DCS_denominator_by_BEA'!$A$2:$A$74,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IFERROR(INDEX('2_DCS_denominator_by_BEA'!$B$2:$B$74, MATCH($A44, '2_DCS_denominator_by_BEA'!$A$2:$A$74,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IFERROR(INDEX('2_DCS_denominator_by_BEA'!$B$2:$B$74, MATCH($A45, '2_DCS_denominator_by_BEA'!$A$2:$A$74,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IFERROR(INDEX('2_DCS_denominator_by_BEA'!$B$2:$B$74, MATCH($A46, '2_DCS_denominator_by_BEA'!$A$2:$A$74,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IFERROR(INDEX('2_DCS_denominator_by_BEA'!$B$2:$B$74, MATCH($A47, '2_DCS_denominator_by_BEA'!$A$2:$A$74,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IFERROR(INDEX('2_DCS_denominator_by_BEA'!$B$2:$B$74, MATCH($A48, '2_DCS_denominator_by_BEA'!$A$2:$A$74,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IFERROR(INDEX('2_DCS_denominator_by_BEA'!$B$2:$B$74, MATCH($A49, '2_DCS_denominator_by_BEA'!$A$2:$A$74,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IFERROR(INDEX('2_DCS_denominator_by_BEA'!$B$2:$B$74, MATCH($A50, '2_DCS_denominator_by_BEA'!$A$2:$A$74,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IFERROR(INDEX('2_DCS_denominator_by_BEA'!$B$2:$B$74, MATCH($A51, '2_DCS_denominator_by_BEA'!$A$2:$A$74,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IFERROR(INDEX('2_DCS_denominator_by_BEA'!$B$2:$B$74, MATCH($A52, '2_DCS_denominator_by_BEA'!$A$2:$A$74,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IFERROR(INDEX('2_DCS_denominator_by_BEA'!$B$2:$B$74, MATCH($A53, '2_DCS_denominator_by_BEA'!$A$2:$A$74,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IFERROR(INDEX('2_DCS_denominator_by_BEA'!$B$2:$B$74, MATCH($A54, '2_DCS_denominator_by_BEA'!$A$2:$A$74,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IFERROR(INDEX('2_DCS_denominator_by_BEA'!$B$2:$B$74, MATCH($A55, '2_DCS_denominator_by_BEA'!$A$2:$A$74,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IFERROR(INDEX('2_DCS_denominator_by_BEA'!$B$2:$B$74, MATCH($A56, '2_DCS_denominator_by_BEA'!$A$2:$A$74,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IFERROR(INDEX('2_DCS_denominator_by_BEA'!$B$2:$B$74, MATCH($A57, '2_DCS_denominator_by_BEA'!$A$2:$A$74,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IFERROR(INDEX('2_DCS_denominator_by_BEA'!$B$2:$B$74, MATCH($A58, '2_DCS_denominator_by_BEA'!$A$2:$A$74,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IFERROR(INDEX('2_DCS_denominator_by_BEA'!$B$2:$B$74, MATCH($A59, '2_DCS_denominator_by_BEA'!$A$2:$A$74,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IFERROR(INDEX('2_DCS_denominator_by_BEA'!$B$2:$B$74, MATCH($A60, '2_DCS_denominator_by_BEA'!$A$2:$A$74,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IFERROR(INDEX('2_DCS_denominator_by_BEA'!$B$2:$B$74, MATCH($A61, '2_DCS_denominator_by_BEA'!$A$2:$A$74,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IFERROR(INDEX('2_DCS_denominator_by_BEA'!$B$2:$B$74, MATCH($A62, '2_DCS_denominator_by_BEA'!$A$2:$A$74,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IFERROR(INDEX('2_DCS_denominator_by_BEA'!$B$2:$B$74, MATCH($A63, '2_DCS_denominator_by_BEA'!$A$2:$A$74,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IFERROR(INDEX('2_DCS_denominator_by_BEA'!$B$2:$B$74, MATCH($A64, '2_DCS_denominator_by_BEA'!$A$2:$A$74,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IFERROR(INDEX('2_DCS_denominator_by_BEA'!$B$2:$B$74, MATCH($A65, '2_DCS_denominator_by_BEA'!$A$2:$A$74,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IFERROR(INDEX('2_DCS_denominator_by_BEA'!$B$2:$B$74, MATCH($A66, '2_DCS_denominator_by_BEA'!$A$2:$A$74,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IFERROR(INDEX('2_DCS_denominator_by_BEA'!$B$2:$B$74, MATCH($A67, '2_DCS_denominator_by_BEA'!$A$2:$A$74,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IFERROR(INDEX('2_DCS_denominator_by_BEA'!$B$2:$B$74, MATCH($A68, '2_DCS_denominator_by_BEA'!$A$2:$A$74,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IFERROR(INDEX('2_DCS_denominator_by_BEA'!$B$2:$B$74, MATCH($A69, '2_DCS_denominator_by_BEA'!$A$2:$A$74,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IFERROR(INDEX('2_DCS_denominator_by_BEA'!$B$2:$B$74, MATCH($A70, '2_DCS_denominator_by_BEA'!$A$2:$A$74,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IFERROR(INDEX('2_DCS_denominator_by_BEA'!$B$2:$B$74, MATCH($A71, '2_DCS_denominator_by_BEA'!$A$2:$A$74,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IFERROR(INDEX('2_DCS_denominator_by_BEA'!$B$2:$B$74, MATCH($A72, '2_DCS_denominator_by_BEA'!$A$2:$A$74,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IFERROR(INDEX('2_DCS_denominator_by_BEA'!$B$2:$B$74, MATCH($A73, '2_DCS_denominator_by_BEA'!$A$2:$A$74,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IFERROR(INDEX('2_DCS_denominator_by_BEA'!$B$2:$B$74, MATCH($A74, '2_DCS_denominator_by_BEA'!$A$2:$A$74,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IFERROR(INDEX('2_DCS_denominator_by_BEA'!$B$2:$B$74, MATCH($A75, '2_DCS_denominator_by_BEA'!$A$2:$A$74,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IFERROR(INDEX('2_DCS_denominator_by_BEA'!$B$2:$B$74, MATCH($A76, '2_DCS_denominator_by_BEA'!$A$2:$A$74,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IFERROR(INDEX('2_DCS_denominator_by_BEA'!$B$2:$B$74, MATCH($A77, '2_DCS_denominator_by_BEA'!$A$2:$A$74,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IFERROR(INDEX('2_DCS_denominator_by_BEA'!$B$2:$B$74, MATCH($A78, '2_DCS_denominator_by_BEA'!$A$2:$A$74,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IFERROR(INDEX('2_DCS_denominator_by_BEA'!$B$2:$B$74, MATCH($A79, '2_DCS_denominator_by_BEA'!$A$2:$A$74,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IFERROR(INDEX('2_DCS_denominator_by_BEA'!$B$2:$B$74, MATCH($A80, '2_DCS_denominator_by_BEA'!$A$2:$A$74,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IFERROR(INDEX('2_DCS_denominator_by_BEA'!$B$2:$B$74, MATCH($A81, '2_DCS_denominator_by_BEA'!$A$2:$A$74,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SUMIFS('7_Calc_DCS_den_ISIC'!$E$3:$E$81, '7_Calc_DCS_den_ISIC'!$B$3:$B$81, $A85)</f>
      </c>
      <c r="C85" t="str">
        <f>B85</f>
      </c>
    </row>
    <row r="86">
      <c r="A86" t="s">
        <v>482</v>
      </c>
      <c r="B86" t="str">
        <f>SUMIFS('7_Calc_DCS_den_ISIC'!$E$3:$E$81, '7_Calc_DCS_den_ISIC'!$B$3:$B$81, $A86)</f>
      </c>
      <c r="C86" t="str">
        <f>B86</f>
      </c>
    </row>
    <row r="87">
      <c r="A87" t="s">
        <v>344</v>
      </c>
      <c r="B87" t="str">
        <f>SUMIFS('7_Calc_DCS_den_ISIC'!$E$3:$E$81, '7_Calc_DCS_den_ISIC'!$B$3:$B$81, $A87)</f>
      </c>
      <c r="C87" t="str">
        <f>B87</f>
      </c>
    </row>
    <row r="88">
      <c r="A88" t="s">
        <v>485</v>
      </c>
      <c r="B88" t="str">
        <f>SUMIFS('7_Calc_DCS_den_ISIC'!$E$3:$E$81, '7_Calc_DCS_den_ISIC'!$B$3:$B$81, $A88)</f>
      </c>
      <c r="C88" t="str">
        <f>B88</f>
      </c>
    </row>
    <row r="89">
      <c r="A89" t="s">
        <v>347</v>
      </c>
      <c r="B89" t="str">
        <f>SUMIFS('7_Calc_DCS_den_ISIC'!$E$3:$E$81, '7_Calc_DCS_den_ISIC'!$B$3:$B$81, $A89)</f>
      </c>
      <c r="C89" t="str">
        <f>B89</f>
      </c>
    </row>
    <row r="90">
      <c r="A90" t="s">
        <v>362</v>
      </c>
      <c r="B90" t="str">
        <f>SUMIFS('7_Calc_DCS_den_ISIC'!$E$3:$E$81, '7_Calc_DCS_den_ISIC'!$B$3:$B$81, $A90)</f>
      </c>
      <c r="C90" t="str">
        <f>B90</f>
      </c>
    </row>
    <row r="91">
      <c r="A91" t="s">
        <v>365</v>
      </c>
      <c r="B91" t="str">
        <f>SUMIFS('7_Calc_DCS_den_ISIC'!$E$3:$E$81, '7_Calc_DCS_den_ISIC'!$B$3:$B$81, $A91)</f>
      </c>
      <c r="C91" t="str">
        <f>B91</f>
      </c>
    </row>
    <row r="92">
      <c r="A92" t="s">
        <v>369</v>
      </c>
      <c r="B92" t="str">
        <f>SUMIFS('7_Calc_DCS_den_ISIC'!$E$3:$E$81, '7_Calc_DCS_den_ISIC'!$B$3:$B$81, $A92)</f>
      </c>
      <c r="C92" t="str">
        <f>B92</f>
      </c>
    </row>
    <row r="93">
      <c r="A93" t="s">
        <v>372</v>
      </c>
      <c r="B93" t="str">
        <f>SUMIFS('7_Calc_DCS_den_ISIC'!$E$3:$E$81, '7_Calc_DCS_den_ISIC'!$B$3:$B$81, $A93)</f>
      </c>
      <c r="C93" t="str">
        <f>B93</f>
      </c>
    </row>
    <row r="94">
      <c r="A94" t="s">
        <v>376</v>
      </c>
      <c r="B94" t="str">
        <f>SUMIFS('7_Calc_DCS_den_ISIC'!$E$3:$E$81, '7_Calc_DCS_den_ISIC'!$B$3:$B$81, $A94)</f>
      </c>
      <c r="C94" t="str">
        <f>B94</f>
      </c>
    </row>
    <row r="95">
      <c r="A95" t="s">
        <v>498</v>
      </c>
      <c r="B95" t="str">
        <f>SUMIFS('7_Calc_DCS_den_ISIC'!$E$3:$E$81, '7_Calc_DCS_den_ISIC'!$B$3:$B$81, $A95)</f>
      </c>
      <c r="C95" t="str">
        <f>B95</f>
      </c>
    </row>
    <row r="96">
      <c r="A96" t="s">
        <v>501</v>
      </c>
      <c r="B96" t="str">
        <f>SUMIFS('7_Calc_DCS_den_ISIC'!$E$3:$E$81, '7_Calc_DCS_den_ISIC'!$B$3:$B$81, $A96)</f>
      </c>
      <c r="C96" t="str">
        <f>B96</f>
      </c>
    </row>
    <row r="97">
      <c r="A97" t="s">
        <v>126</v>
      </c>
      <c r="B97" t="str">
        <f>SUMIFS('7_Calc_DCS_den_ISIC'!$E$3:$E$81, '7_Calc_DCS_den_ISIC'!$B$3:$B$81, $A97)</f>
      </c>
      <c r="C97" t="str">
        <f>B97</f>
      </c>
    </row>
    <row r="98">
      <c r="A98" t="s">
        <v>488</v>
      </c>
      <c r="B98" t="str">
        <f>SUMIFS('7_Calc_DCS_den_ISIC'!$E$3:$E$81, '7_Calc_DCS_den_ISIC'!$B$3:$B$81, $A98)</f>
      </c>
      <c r="C98" t="str">
        <f>B98</f>
      </c>
    </row>
    <row r="99">
      <c r="A99" t="s">
        <v>491</v>
      </c>
      <c r="B99" t="str">
        <f>SUMIFS('7_Calc_DCS_den_ISIC'!$E$3:$E$81, '7_Calc_DCS_den_ISIC'!$B$3:$B$81, $A99)</f>
      </c>
      <c r="C99" t="str">
        <f>B99</f>
      </c>
    </row>
    <row r="100">
      <c r="A100" t="s">
        <v>379</v>
      </c>
      <c r="B100" t="str">
        <f>SUMIFS('7_Calc_DCS_den_ISIC'!$E$3:$E$81, '7_Calc_DCS_den_ISIC'!$B$3:$B$81, $A100)</f>
      </c>
      <c r="C100" t="str">
        <f>B100</f>
      </c>
    </row>
    <row r="101">
      <c r="A101" t="s">
        <v>495</v>
      </c>
      <c r="B101" t="str">
        <f>SUMIFS('7_Calc_DCS_den_ISIC'!$E$3:$E$81, '7_Calc_DCS_den_ISIC'!$B$3:$B$81, $A101)</f>
      </c>
      <c r="C101" t="str">
        <f>B101</f>
      </c>
    </row>
    <row r="102">
      <c r="A102" t="s">
        <v>385</v>
      </c>
      <c r="B102" t="str">
        <f>SUMIFS('7_Calc_DCS_den_ISIC'!$E$3:$E$81, '7_Calc_DCS_den_ISIC'!$B$3:$B$81, $A102)</f>
      </c>
      <c r="C102" t="str">
        <f>B102</f>
      </c>
    </row>
    <row r="103">
      <c r="A103" t="s">
        <v>390</v>
      </c>
      <c r="B103" t="str">
        <f>SUMIFS('7_Calc_DCS_den_ISIC'!$E$3:$E$81, '7_Calc_DCS_den_ISIC'!$B$3:$B$81, $A103)</f>
      </c>
      <c r="C103" t="str">
        <f>B103</f>
      </c>
    </row>
    <row r="104">
      <c r="A104" t="s">
        <v>393</v>
      </c>
      <c r="B104" t="str">
        <f>SUMIFS('7_Calc_DCS_den_ISIC'!$E$3:$E$81, '7_Calc_DCS_den_ISIC'!$B$3:$B$81, $A104)</f>
      </c>
      <c r="C104" t="str">
        <f>B104</f>
      </c>
    </row>
    <row r="105">
      <c r="A105" t="s">
        <v>387</v>
      </c>
      <c r="B105" t="str">
        <f>SUMIFS('7_Calc_DCS_den_ISIC'!$E$3:$E$81, '7_Calc_DCS_den_ISIC'!$B$3:$B$81, $A105)</f>
      </c>
      <c r="C105" t="str">
        <f>B105</f>
      </c>
    </row>
    <row r="106">
      <c r="A106" t="s">
        <v>396</v>
      </c>
      <c r="B106" t="str">
        <f>SUMIFS('7_Calc_DCS_den_ISIC'!$E$3:$E$81, '7_Calc_DCS_den_ISIC'!$B$3:$B$81, $A106)</f>
      </c>
      <c r="C106" t="str">
        <f>B106</f>
      </c>
    </row>
    <row r="107">
      <c r="A107" t="s">
        <v>399</v>
      </c>
      <c r="B107" t="str">
        <f>SUMIFS('7_Calc_DCS_den_ISIC'!$E$3:$E$81, '7_Calc_DCS_den_ISIC'!$B$3:$B$81, $A107)</f>
      </c>
      <c r="C107" t="str">
        <f>B107</f>
      </c>
    </row>
    <row r="108">
      <c r="A108" t="s">
        <v>402</v>
      </c>
      <c r="B108" t="str">
        <f>SUMIFS('7_Calc_DCS_den_ISIC'!$E$3:$E$81, '7_Calc_DCS_den_ISIC'!$B$3:$B$81, $A108)</f>
      </c>
      <c r="C108" t="str">
        <f>B108</f>
      </c>
    </row>
    <row r="109">
      <c r="A109" t="s">
        <v>350</v>
      </c>
      <c r="B109" t="str">
        <f>SUMIFS('7_Calc_DCS_den_ISIC'!$E$3:$E$81, '7_Calc_DCS_den_ISIC'!$B$3:$B$81, $A109)</f>
      </c>
      <c r="C109" t="str">
        <f>B109</f>
      </c>
    </row>
    <row r="110">
      <c r="A110" t="s">
        <v>353</v>
      </c>
      <c r="B110" t="str">
        <f>SUMIFS('7_Calc_DCS_den_ISIC'!$E$3:$E$81, '7_Calc_DCS_den_ISIC'!$B$3:$B$81, $A110)</f>
      </c>
      <c r="C110" t="str">
        <f>B110</f>
      </c>
    </row>
    <row r="111">
      <c r="A111" t="s">
        <v>356</v>
      </c>
      <c r="B111" t="str">
        <f>SUMIFS('7_Calc_DCS_den_ISIC'!$E$3:$E$81, '7_Calc_DCS_den_ISIC'!$B$3:$B$81, $A111)</f>
      </c>
      <c r="C111" t="str">
        <f>B111</f>
      </c>
    </row>
    <row r="112">
      <c r="A112" t="s">
        <v>360</v>
      </c>
      <c r="B112" t="str">
        <f>SUMIFS('7_Calc_DCS_den_ISIC'!$E$3:$E$81, '7_Calc_DCS_den_ISIC'!$B$3:$B$81, $A112)</f>
      </c>
      <c r="C112" t="str">
        <f>B112</f>
      </c>
    </row>
    <row r="113">
      <c r="A113" t="s">
        <v>406</v>
      </c>
      <c r="B113" t="str">
        <f>SUMIFS('7_Calc_DCS_den_ISIC'!$E$3:$E$81, '7_Calc_DCS_den_ISIC'!$B$3:$B$81, $A113)</f>
      </c>
      <c r="C113" t="str">
        <f>B113</f>
      </c>
    </row>
    <row r="114">
      <c r="A114" t="s">
        <v>413</v>
      </c>
      <c r="B114" t="str">
        <f>SUMIFS('7_Calc_DCS_den_ISIC'!$E$3:$E$81, '7_Calc_DCS_den_ISIC'!$B$3:$B$81, $A114)</f>
      </c>
      <c r="C114" t="str">
        <f>B114</f>
      </c>
    </row>
    <row r="115">
      <c r="A115" t="s">
        <v>470</v>
      </c>
      <c r="B115" t="str">
        <f>SUMIFS('7_Calc_DCS_den_ISIC'!$E$3:$E$81, '7_Calc_DCS_den_ISIC'!$B$3:$B$81, $A115)</f>
      </c>
      <c r="C115" t="str">
        <f>B115</f>
      </c>
    </row>
    <row r="116">
      <c r="A116" t="s">
        <v>425</v>
      </c>
      <c r="B116" t="str">
        <f>SUMIFS('7_Calc_DCS_den_ISIC'!$E$3:$E$81, '7_Calc_DCS_den_ISIC'!$B$3:$B$81, $A116)</f>
      </c>
      <c r="C116" t="str">
        <f>B116</f>
      </c>
    </row>
    <row r="117">
      <c r="A117" t="s">
        <v>177</v>
      </c>
      <c r="B117" t="str">
        <f>SUMIFS('7_Calc_DCS_den_ISIC'!$E$3:$E$81, '7_Calc_DCS_den_ISIC'!$B$3:$B$81, $A117)</f>
      </c>
      <c r="C117" t="str">
        <f>B117</f>
      </c>
    </row>
    <row r="118">
      <c r="A118" t="s">
        <v>432</v>
      </c>
      <c r="B118" t="str">
        <f>SUMIFS('7_Calc_DCS_den_ISIC'!$E$3:$E$81, '7_Calc_DCS_den_ISIC'!$B$3:$B$81, $A118)</f>
      </c>
      <c r="C118" t="str">
        <f>B118</f>
      </c>
    </row>
    <row r="119">
      <c r="A119" t="s">
        <v>435</v>
      </c>
      <c r="B119" t="str">
        <f>SUMIFS('7_Calc_DCS_den_ISIC'!$E$3:$E$81, '7_Calc_DCS_den_ISIC'!$B$3:$B$81, $A119)</f>
      </c>
      <c r="C119" t="str">
        <f>B119</f>
      </c>
    </row>
    <row r="120">
      <c r="A120" t="s">
        <v>441</v>
      </c>
      <c r="B120" t="str">
        <f>SUMIFS('7_Calc_DCS_den_ISIC'!$E$3:$E$81, '7_Calc_DCS_den_ISIC'!$B$3:$B$81, $A120)</f>
      </c>
      <c r="C120" t="str">
        <f>B120</f>
      </c>
    </row>
    <row r="121">
      <c r="A121" t="s">
        <v>445</v>
      </c>
      <c r="B121" t="str">
        <f>SUMIFS('7_Calc_DCS_den_ISIC'!$E$3:$E$81, '7_Calc_DCS_den_ISIC'!$B$3:$B$81, $A121)</f>
      </c>
      <c r="C121" t="str">
        <f>B121</f>
      </c>
    </row>
    <row r="122">
      <c r="A122" t="s">
        <v>475</v>
      </c>
      <c r="B122" t="str">
        <f>SUMIFS('7_Calc_DCS_den_ISIC'!$E$3:$E$81, '7_Calc_DCS_den_ISIC'!$B$3:$B$81, $A122)</f>
      </c>
      <c r="C122" t="str">
        <f>B122</f>
      </c>
    </row>
    <row r="123">
      <c r="A123" t="s">
        <v>457</v>
      </c>
      <c r="B123" t="str">
        <f>SUMIFS('7_Calc_DCS_den_ISIC'!$E$3:$E$81, '7_Calc_DCS_den_ISIC'!$B$3:$B$81, $A123)</f>
      </c>
      <c r="C123" t="str">
        <f>B123</f>
      </c>
    </row>
    <row r="124">
      <c r="A124" t="s">
        <v>460</v>
      </c>
      <c r="B124" t="str">
        <f>SUMIFS('7_Calc_DCS_den_ISIC'!$E$3:$E$81, '7_Calc_DCS_den_ISIC'!$B$3:$B$81, $A124)</f>
      </c>
      <c r="C124" t="str">
        <f>B124</f>
      </c>
    </row>
    <row r="125">
      <c r="A125" t="s">
        <v>466</v>
      </c>
      <c r="B125" t="str">
        <f>SUMIFS('7_Calc_DCS_den_ISIC'!$E$3:$E$81, '7_Calc_DCS_den_ISIC'!$B$3:$B$81, $A125)</f>
      </c>
      <c r="C125" t="str">
        <f>B125</f>
      </c>
    </row>
    <row r="126">
      <c r="A126" t="s">
        <v>583</v>
      </c>
      <c r="B126" t="str">
        <f>SUMIFS('7_Calc_DCS_den_ISIC'!$E$3:$E$81, '7_Calc_DCS_den_ISIC'!$B$3:$B$81,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IFERROR(INDEX('5_Exp_total_by_BEA'!$B$2:$B$74, MATCH($A3, '5_Exp_total_by_BEA'!$A$2:$A$74,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IFERROR(INDEX('5_Exp_total_by_BEA'!$B$2:$B$74, MATCH($A4, '5_Exp_total_by_BEA'!$A$2:$A$74,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IFERROR(INDEX('5_Exp_total_by_BEA'!$B$2:$B$74, MATCH($A5, '5_Exp_total_by_BEA'!$A$2:$A$74,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IFERROR(INDEX('5_Exp_total_by_BEA'!$B$2:$B$74, MATCH($A6, '5_Exp_total_by_BEA'!$A$2:$A$74,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IFERROR(INDEX('5_Exp_total_by_BEA'!$B$2:$B$74, MATCH($A7, '5_Exp_total_by_BEA'!$A$2:$A$74,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IFERROR(INDEX('5_Exp_total_by_BEA'!$B$2:$B$74, MATCH($A8, '5_Exp_total_by_BEA'!$A$2:$A$74,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IFERROR(INDEX('5_Exp_total_by_BEA'!$B$2:$B$74, MATCH($A9, '5_Exp_total_by_BEA'!$A$2:$A$74,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IFERROR(INDEX('5_Exp_total_by_BEA'!$B$2:$B$74, MATCH($A10, '5_Exp_total_by_BEA'!$A$2:$A$74,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IFERROR(INDEX('5_Exp_total_by_BEA'!$B$2:$B$74, MATCH($A11, '5_Exp_total_by_BEA'!$A$2:$A$74,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IFERROR(INDEX('5_Exp_total_by_BEA'!$B$2:$B$74, MATCH($A12, '5_Exp_total_by_BEA'!$A$2:$A$74,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IFERROR(INDEX('5_Exp_total_by_BEA'!$B$2:$B$74, MATCH($A13, '5_Exp_total_by_BEA'!$A$2:$A$74,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IFERROR(INDEX('5_Exp_total_by_BEA'!$B$2:$B$74, MATCH($A14, '5_Exp_total_by_BEA'!$A$2:$A$74,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IFERROR(INDEX('5_Exp_total_by_BEA'!$B$2:$B$74, MATCH($A15, '5_Exp_total_by_BEA'!$A$2:$A$74,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IFERROR(INDEX('5_Exp_total_by_BEA'!$B$2:$B$74, MATCH($A16, '5_Exp_total_by_BEA'!$A$2:$A$74,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IFERROR(INDEX('5_Exp_total_by_BEA'!$B$2:$B$74, MATCH($A17, '5_Exp_total_by_BEA'!$A$2:$A$74,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IFERROR(INDEX('5_Exp_total_by_BEA'!$B$2:$B$74, MATCH($A18, '5_Exp_total_by_BEA'!$A$2:$A$74,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IFERROR(INDEX('5_Exp_total_by_BEA'!$B$2:$B$74, MATCH($A19, '5_Exp_total_by_BEA'!$A$2:$A$74,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IFERROR(INDEX('5_Exp_total_by_BEA'!$B$2:$B$74, MATCH($A20, '5_Exp_total_by_BEA'!$A$2:$A$74,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IFERROR(INDEX('5_Exp_total_by_BEA'!$B$2:$B$74, MATCH($A21, '5_Exp_total_by_BEA'!$A$2:$A$74,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IFERROR(INDEX('5_Exp_total_by_BEA'!$B$2:$B$74, MATCH($A22, '5_Exp_total_by_BEA'!$A$2:$A$74,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IFERROR(INDEX('5_Exp_total_by_BEA'!$B$2:$B$74, MATCH($A23, '5_Exp_total_by_BEA'!$A$2:$A$74,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IFERROR(INDEX('5_Exp_total_by_BEA'!$B$2:$B$74, MATCH($A24, '5_Exp_total_by_BEA'!$A$2:$A$74,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IFERROR(INDEX('5_Exp_total_by_BEA'!$B$2:$B$74, MATCH($A25, '5_Exp_total_by_BEA'!$A$2:$A$74,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IFERROR(INDEX('5_Exp_total_by_BEA'!$B$2:$B$74, MATCH($A26, '5_Exp_total_by_BEA'!$A$2:$A$74,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IFERROR(INDEX('5_Exp_total_by_BEA'!$B$2:$B$74, MATCH($A27, '5_Exp_total_by_BEA'!$A$2:$A$74,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IFERROR(INDEX('5_Exp_total_by_BEA'!$B$2:$B$74, MATCH($A28, '5_Exp_total_by_BEA'!$A$2:$A$74,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IFERROR(INDEX('5_Exp_total_by_BEA'!$B$2:$B$74, MATCH($A29, '5_Exp_total_by_BEA'!$A$2:$A$74,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IFERROR(INDEX('5_Exp_total_by_BEA'!$B$2:$B$74, MATCH($A30, '5_Exp_total_by_BEA'!$A$2:$A$74,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IFERROR(INDEX('5_Exp_total_by_BEA'!$B$2:$B$74, MATCH($A31, '5_Exp_total_by_BEA'!$A$2:$A$74,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IFERROR(INDEX('5_Exp_total_by_BEA'!$B$2:$B$74, MATCH($A32, '5_Exp_total_by_BEA'!$A$2:$A$74,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IFERROR(INDEX('5_Exp_total_by_BEA'!$B$2:$B$74, MATCH($A33, '5_Exp_total_by_BEA'!$A$2:$A$74,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IFERROR(INDEX('5_Exp_total_by_BEA'!$B$2:$B$74, MATCH($A34, '5_Exp_total_by_BEA'!$A$2:$A$74,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IFERROR(INDEX('5_Exp_total_by_BEA'!$B$2:$B$74, MATCH($A35, '5_Exp_total_by_BEA'!$A$2:$A$74,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IFERROR(INDEX('5_Exp_total_by_BEA'!$B$2:$B$74, MATCH($A36, '5_Exp_total_by_BEA'!$A$2:$A$74,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IFERROR(INDEX('5_Exp_total_by_BEA'!$B$2:$B$74, MATCH($A37, '5_Exp_total_by_BEA'!$A$2:$A$74,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IFERROR(INDEX('5_Exp_total_by_BEA'!$B$2:$B$74, MATCH($A38, '5_Exp_total_by_BEA'!$A$2:$A$74,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IFERROR(INDEX('5_Exp_total_by_BEA'!$B$2:$B$74, MATCH($A39, '5_Exp_total_by_BEA'!$A$2:$A$74,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IFERROR(INDEX('5_Exp_total_by_BEA'!$B$2:$B$74, MATCH($A40, '5_Exp_total_by_BEA'!$A$2:$A$74,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IFERROR(INDEX('5_Exp_total_by_BEA'!$B$2:$B$74, MATCH($A41, '5_Exp_total_by_BEA'!$A$2:$A$74,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IFERROR(INDEX('5_Exp_total_by_BEA'!$B$2:$B$74, MATCH($A42, '5_Exp_total_by_BEA'!$A$2:$A$74,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IFERROR(INDEX('5_Exp_total_by_BEA'!$B$2:$B$74, MATCH($A43, '5_Exp_total_by_BEA'!$A$2:$A$74,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IFERROR(INDEX('5_Exp_total_by_BEA'!$B$2:$B$74, MATCH($A44, '5_Exp_total_by_BEA'!$A$2:$A$74,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IFERROR(INDEX('5_Exp_total_by_BEA'!$B$2:$B$74, MATCH($A45, '5_Exp_total_by_BEA'!$A$2:$A$74,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IFERROR(INDEX('5_Exp_total_by_BEA'!$B$2:$B$74, MATCH($A46, '5_Exp_total_by_BEA'!$A$2:$A$74,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IFERROR(INDEX('5_Exp_total_by_BEA'!$B$2:$B$74, MATCH($A47, '5_Exp_total_by_BEA'!$A$2:$A$74,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IFERROR(INDEX('5_Exp_total_by_BEA'!$B$2:$B$74, MATCH($A48, '5_Exp_total_by_BEA'!$A$2:$A$74,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IFERROR(INDEX('5_Exp_total_by_BEA'!$B$2:$B$74, MATCH($A49, '5_Exp_total_by_BEA'!$A$2:$A$74,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IFERROR(INDEX('5_Exp_total_by_BEA'!$B$2:$B$74, MATCH($A50, '5_Exp_total_by_BEA'!$A$2:$A$74,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IFERROR(INDEX('5_Exp_total_by_BEA'!$B$2:$B$74, MATCH($A51, '5_Exp_total_by_BEA'!$A$2:$A$74,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IFERROR(INDEX('5_Exp_total_by_BEA'!$B$2:$B$74, MATCH($A52, '5_Exp_total_by_BEA'!$A$2:$A$74,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IFERROR(INDEX('5_Exp_total_by_BEA'!$B$2:$B$74, MATCH($A53, '5_Exp_total_by_BEA'!$A$2:$A$74,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IFERROR(INDEX('5_Exp_total_by_BEA'!$B$2:$B$74, MATCH($A54, '5_Exp_total_by_BEA'!$A$2:$A$74,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IFERROR(INDEX('5_Exp_total_by_BEA'!$B$2:$B$74, MATCH($A55, '5_Exp_total_by_BEA'!$A$2:$A$74,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IFERROR(INDEX('5_Exp_total_by_BEA'!$B$2:$B$74, MATCH($A56, '5_Exp_total_by_BEA'!$A$2:$A$74,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IFERROR(INDEX('5_Exp_total_by_BEA'!$B$2:$B$74, MATCH($A57, '5_Exp_total_by_BEA'!$A$2:$A$74,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IFERROR(INDEX('5_Exp_total_by_BEA'!$B$2:$B$74, MATCH($A58, '5_Exp_total_by_BEA'!$A$2:$A$74,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IFERROR(INDEX('5_Exp_total_by_BEA'!$B$2:$B$74, MATCH($A59, '5_Exp_total_by_BEA'!$A$2:$A$74,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IFERROR(INDEX('5_Exp_total_by_BEA'!$B$2:$B$74, MATCH($A60, '5_Exp_total_by_BEA'!$A$2:$A$74,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IFERROR(INDEX('5_Exp_total_by_BEA'!$B$2:$B$74, MATCH($A61, '5_Exp_total_by_BEA'!$A$2:$A$74,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IFERROR(INDEX('5_Exp_total_by_BEA'!$B$2:$B$74, MATCH($A62, '5_Exp_total_by_BEA'!$A$2:$A$74,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IFERROR(INDEX('5_Exp_total_by_BEA'!$B$2:$B$74, MATCH($A63, '5_Exp_total_by_BEA'!$A$2:$A$74,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IFERROR(INDEX('5_Exp_total_by_BEA'!$B$2:$B$74, MATCH($A64, '5_Exp_total_by_BEA'!$A$2:$A$74,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IFERROR(INDEX('5_Exp_total_by_BEA'!$B$2:$B$74, MATCH($A65, '5_Exp_total_by_BEA'!$A$2:$A$74,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IFERROR(INDEX('5_Exp_total_by_BEA'!$B$2:$B$74, MATCH($A66, '5_Exp_total_by_BEA'!$A$2:$A$74,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IFERROR(INDEX('5_Exp_total_by_BEA'!$B$2:$B$74, MATCH($A67, '5_Exp_total_by_BEA'!$A$2:$A$74,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IFERROR(INDEX('5_Exp_total_by_BEA'!$B$2:$B$74, MATCH($A68, '5_Exp_total_by_BEA'!$A$2:$A$74,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IFERROR(INDEX('5_Exp_total_by_BEA'!$B$2:$B$74, MATCH($A69, '5_Exp_total_by_BEA'!$A$2:$A$74,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IFERROR(INDEX('5_Exp_total_by_BEA'!$B$2:$B$74, MATCH($A70, '5_Exp_total_by_BEA'!$A$2:$A$74,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IFERROR(INDEX('5_Exp_total_by_BEA'!$B$2:$B$74, MATCH($A71, '5_Exp_total_by_BEA'!$A$2:$A$74,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IFERROR(INDEX('5_Exp_total_by_BEA'!$B$2:$B$74, MATCH($A72, '5_Exp_total_by_BEA'!$A$2:$A$74,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IFERROR(INDEX('5_Exp_total_by_BEA'!$B$2:$B$74, MATCH($A73, '5_Exp_total_by_BEA'!$A$2:$A$74,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IFERROR(INDEX('5_Exp_total_by_BEA'!$B$2:$B$74, MATCH($A74, '5_Exp_total_by_BEA'!$A$2:$A$74,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IFERROR(INDEX('5_Exp_total_by_BEA'!$B$2:$B$74, MATCH($A75, '5_Exp_total_by_BEA'!$A$2:$A$74,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IFERROR(INDEX('5_Exp_total_by_BEA'!$B$2:$B$74, MATCH($A76, '5_Exp_total_by_BEA'!$A$2:$A$74,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IFERROR(INDEX('5_Exp_total_by_BEA'!$B$2:$B$74, MATCH($A77, '5_Exp_total_by_BEA'!$A$2:$A$74,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IFERROR(INDEX('5_Exp_total_by_BEA'!$B$2:$B$74, MATCH($A78, '5_Exp_total_by_BEA'!$A$2:$A$74,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IFERROR(INDEX('5_Exp_total_by_BEA'!$B$2:$B$74, MATCH($A79, '5_Exp_total_by_BEA'!$A$2:$A$74,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IFERROR(INDEX('5_Exp_total_by_BEA'!$B$2:$B$74, MATCH($A80, '5_Exp_total_by_BEA'!$A$2:$A$74,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IFERROR(INDEX('5_Exp_total_by_BEA'!$B$2:$B$74, MATCH($A81, '5_Exp_total_by_BEA'!$A$2:$A$74, 0)), 0)</f>
      </c>
      <c r="E81" t="str">
        <f>C81*D81</f>
      </c>
    </row>
    <row r="83">
      <c r="A83" t="s">
        <v>592</v>
      </c>
    </row>
    <row r="84">
      <c r="A84" t="s">
        <v>334</v>
      </c>
      <c r="B84" t="s">
        <v>590</v>
      </c>
      <c r="C84" t="s">
        <v>593</v>
      </c>
    </row>
    <row r="85">
      <c r="A85" t="s">
        <v>340</v>
      </c>
      <c r="B85" t="str">
        <f>SUMIFS('8_Calc_Exp_ISIC'!$E$3:$E$81, '8_Calc_Exp_ISIC'!$B$3:$B$81, $A85)</f>
      </c>
      <c r="C85" t="str">
        <f>B85/Keys!$C$2</f>
      </c>
    </row>
    <row r="86">
      <c r="A86" t="s">
        <v>482</v>
      </c>
      <c r="B86" t="str">
        <f>SUMIFS('8_Calc_Exp_ISIC'!$E$3:$E$81, '8_Calc_Exp_ISIC'!$B$3:$B$81, $A86)</f>
      </c>
      <c r="C86" t="str">
        <f>B86/Keys!$C$2</f>
      </c>
    </row>
    <row r="87">
      <c r="A87" t="s">
        <v>344</v>
      </c>
      <c r="B87" t="str">
        <f>SUMIFS('8_Calc_Exp_ISIC'!$E$3:$E$81, '8_Calc_Exp_ISIC'!$B$3:$B$81, $A87)</f>
      </c>
      <c r="C87" t="str">
        <f>B87/Keys!$C$2</f>
      </c>
    </row>
    <row r="88">
      <c r="A88" t="s">
        <v>485</v>
      </c>
      <c r="B88" t="str">
        <f>SUMIFS('8_Calc_Exp_ISIC'!$E$3:$E$81, '8_Calc_Exp_ISIC'!$B$3:$B$81, $A88)</f>
      </c>
      <c r="C88" t="str">
        <f>B88/Keys!$C$2</f>
      </c>
    </row>
    <row r="89">
      <c r="A89" t="s">
        <v>347</v>
      </c>
      <c r="B89" t="str">
        <f>SUMIFS('8_Calc_Exp_ISIC'!$E$3:$E$81, '8_Calc_Exp_ISIC'!$B$3:$B$81, $A89)</f>
      </c>
      <c r="C89" t="str">
        <f>B89/Keys!$C$2</f>
      </c>
    </row>
    <row r="90">
      <c r="A90" t="s">
        <v>362</v>
      </c>
      <c r="B90" t="str">
        <f>SUMIFS('8_Calc_Exp_ISIC'!$E$3:$E$81, '8_Calc_Exp_ISIC'!$B$3:$B$81, $A90)</f>
      </c>
      <c r="C90" t="str">
        <f>B90/Keys!$C$2</f>
      </c>
    </row>
    <row r="91">
      <c r="A91" t="s">
        <v>365</v>
      </c>
      <c r="B91" t="str">
        <f>SUMIFS('8_Calc_Exp_ISIC'!$E$3:$E$81, '8_Calc_Exp_ISIC'!$B$3:$B$81, $A91)</f>
      </c>
      <c r="C91" t="str">
        <f>B91/Keys!$C$2</f>
      </c>
    </row>
    <row r="92">
      <c r="A92" t="s">
        <v>369</v>
      </c>
      <c r="B92" t="str">
        <f>SUMIFS('8_Calc_Exp_ISIC'!$E$3:$E$81, '8_Calc_Exp_ISIC'!$B$3:$B$81, $A92)</f>
      </c>
      <c r="C92" t="str">
        <f>B92/Keys!$C$2</f>
      </c>
    </row>
    <row r="93">
      <c r="A93" t="s">
        <v>372</v>
      </c>
      <c r="B93" t="str">
        <f>SUMIFS('8_Calc_Exp_ISIC'!$E$3:$E$81, '8_Calc_Exp_ISIC'!$B$3:$B$81, $A93)</f>
      </c>
      <c r="C93" t="str">
        <f>B93/Keys!$C$2</f>
      </c>
    </row>
    <row r="94">
      <c r="A94" t="s">
        <v>376</v>
      </c>
      <c r="B94" t="str">
        <f>SUMIFS('8_Calc_Exp_ISIC'!$E$3:$E$81, '8_Calc_Exp_ISIC'!$B$3:$B$81, $A94)</f>
      </c>
      <c r="C94" t="str">
        <f>B94/Keys!$C$2</f>
      </c>
    </row>
    <row r="95">
      <c r="A95" t="s">
        <v>498</v>
      </c>
      <c r="B95" t="str">
        <f>SUMIFS('8_Calc_Exp_ISIC'!$E$3:$E$81, '8_Calc_Exp_ISIC'!$B$3:$B$81, $A95)</f>
      </c>
      <c r="C95" t="str">
        <f>B95/Keys!$C$2</f>
      </c>
    </row>
    <row r="96">
      <c r="A96" t="s">
        <v>501</v>
      </c>
      <c r="B96" t="str">
        <f>SUMIFS('8_Calc_Exp_ISIC'!$E$3:$E$81, '8_Calc_Exp_ISIC'!$B$3:$B$81, $A96)</f>
      </c>
      <c r="C96" t="str">
        <f>B96/Keys!$C$2</f>
      </c>
    </row>
    <row r="97">
      <c r="A97" t="s">
        <v>126</v>
      </c>
      <c r="B97" t="str">
        <f>SUMIFS('8_Calc_Exp_ISIC'!$E$3:$E$81, '8_Calc_Exp_ISIC'!$B$3:$B$81, $A97)</f>
      </c>
      <c r="C97" t="str">
        <f>B97/Keys!$C$2</f>
      </c>
    </row>
    <row r="98">
      <c r="A98" t="s">
        <v>488</v>
      </c>
      <c r="B98" t="str">
        <f>SUMIFS('8_Calc_Exp_ISIC'!$E$3:$E$81, '8_Calc_Exp_ISIC'!$B$3:$B$81, $A98)</f>
      </c>
      <c r="C98" t="str">
        <f>B98/Keys!$C$2</f>
      </c>
    </row>
    <row r="99">
      <c r="A99" t="s">
        <v>491</v>
      </c>
      <c r="B99" t="str">
        <f>SUMIFS('8_Calc_Exp_ISIC'!$E$3:$E$81, '8_Calc_Exp_ISIC'!$B$3:$B$81, $A99)</f>
      </c>
      <c r="C99" t="str">
        <f>B99/Keys!$C$2</f>
      </c>
    </row>
    <row r="100">
      <c r="A100" t="s">
        <v>379</v>
      </c>
      <c r="B100" t="str">
        <f>SUMIFS('8_Calc_Exp_ISIC'!$E$3:$E$81, '8_Calc_Exp_ISIC'!$B$3:$B$81, $A100)</f>
      </c>
      <c r="C100" t="str">
        <f>B100/Keys!$C$2</f>
      </c>
    </row>
    <row r="101">
      <c r="A101" t="s">
        <v>495</v>
      </c>
      <c r="B101" t="str">
        <f>SUMIFS('8_Calc_Exp_ISIC'!$E$3:$E$81, '8_Calc_Exp_ISIC'!$B$3:$B$81, $A101)</f>
      </c>
      <c r="C101" t="str">
        <f>B101/Keys!$C$2</f>
      </c>
    </row>
    <row r="102">
      <c r="A102" t="s">
        <v>385</v>
      </c>
      <c r="B102" t="str">
        <f>SUMIFS('8_Calc_Exp_ISIC'!$E$3:$E$81, '8_Calc_Exp_ISIC'!$B$3:$B$81, $A102)</f>
      </c>
      <c r="C102" t="str">
        <f>B102/Keys!$C$2</f>
      </c>
    </row>
    <row r="103">
      <c r="A103" t="s">
        <v>390</v>
      </c>
      <c r="B103" t="str">
        <f>SUMIFS('8_Calc_Exp_ISIC'!$E$3:$E$81, '8_Calc_Exp_ISIC'!$B$3:$B$81, $A103)</f>
      </c>
      <c r="C103" t="str">
        <f>B103/Keys!$C$2</f>
      </c>
    </row>
    <row r="104">
      <c r="A104" t="s">
        <v>393</v>
      </c>
      <c r="B104" t="str">
        <f>SUMIFS('8_Calc_Exp_ISIC'!$E$3:$E$81, '8_Calc_Exp_ISIC'!$B$3:$B$81, $A104)</f>
      </c>
      <c r="C104" t="str">
        <f>B104/Keys!$C$2</f>
      </c>
    </row>
    <row r="105">
      <c r="A105" t="s">
        <v>387</v>
      </c>
      <c r="B105" t="str">
        <f>SUMIFS('8_Calc_Exp_ISIC'!$E$3:$E$81, '8_Calc_Exp_ISIC'!$B$3:$B$81, $A105)</f>
      </c>
      <c r="C105" t="str">
        <f>B105/Keys!$C$2</f>
      </c>
    </row>
    <row r="106">
      <c r="A106" t="s">
        <v>396</v>
      </c>
      <c r="B106" t="str">
        <f>SUMIFS('8_Calc_Exp_ISIC'!$E$3:$E$81, '8_Calc_Exp_ISIC'!$B$3:$B$81, $A106)</f>
      </c>
      <c r="C106" t="str">
        <f>B106/Keys!$C$2</f>
      </c>
    </row>
    <row r="107">
      <c r="A107" t="s">
        <v>399</v>
      </c>
      <c r="B107" t="str">
        <f>SUMIFS('8_Calc_Exp_ISIC'!$E$3:$E$81, '8_Calc_Exp_ISIC'!$B$3:$B$81, $A107)</f>
      </c>
      <c r="C107" t="str">
        <f>B107/Keys!$C$2</f>
      </c>
    </row>
    <row r="108">
      <c r="A108" t="s">
        <v>402</v>
      </c>
      <c r="B108" t="str">
        <f>SUMIFS('8_Calc_Exp_ISIC'!$E$3:$E$81, '8_Calc_Exp_ISIC'!$B$3:$B$81, $A108)</f>
      </c>
      <c r="C108" t="str">
        <f>B108/Keys!$C$2</f>
      </c>
    </row>
    <row r="109">
      <c r="A109" t="s">
        <v>350</v>
      </c>
      <c r="B109" t="str">
        <f>SUMIFS('8_Calc_Exp_ISIC'!$E$3:$E$81, '8_Calc_Exp_ISIC'!$B$3:$B$81, $A109)</f>
      </c>
      <c r="C109" t="str">
        <f>B109/Keys!$C$2</f>
      </c>
    </row>
    <row r="110">
      <c r="A110" t="s">
        <v>353</v>
      </c>
      <c r="B110" t="str">
        <f>SUMIFS('8_Calc_Exp_ISIC'!$E$3:$E$81, '8_Calc_Exp_ISIC'!$B$3:$B$81, $A110)</f>
      </c>
      <c r="C110" t="str">
        <f>B110/Keys!$C$2</f>
      </c>
    </row>
    <row r="111">
      <c r="A111" t="s">
        <v>356</v>
      </c>
      <c r="B111" t="str">
        <f>SUMIFS('8_Calc_Exp_ISIC'!$E$3:$E$81, '8_Calc_Exp_ISIC'!$B$3:$B$81, $A111)</f>
      </c>
      <c r="C111" t="str">
        <f>B111/Keys!$C$2</f>
      </c>
    </row>
    <row r="112">
      <c r="A112" t="s">
        <v>360</v>
      </c>
      <c r="B112" t="str">
        <f>SUMIFS('8_Calc_Exp_ISIC'!$E$3:$E$81, '8_Calc_Exp_ISIC'!$B$3:$B$81, $A112)</f>
      </c>
      <c r="C112" t="str">
        <f>B112/Keys!$C$2</f>
      </c>
    </row>
    <row r="113">
      <c r="A113" t="s">
        <v>406</v>
      </c>
      <c r="B113" t="str">
        <f>SUMIFS('8_Calc_Exp_ISIC'!$E$3:$E$81, '8_Calc_Exp_ISIC'!$B$3:$B$81, $A113)</f>
      </c>
      <c r="C113" t="str">
        <f>B113/Keys!$C$2</f>
      </c>
    </row>
    <row r="114">
      <c r="A114" t="s">
        <v>413</v>
      </c>
      <c r="B114" t="str">
        <f>SUMIFS('8_Calc_Exp_ISIC'!$E$3:$E$81, '8_Calc_Exp_ISIC'!$B$3:$B$81, $A114)</f>
      </c>
      <c r="C114" t="str">
        <f>B114/Keys!$C$2</f>
      </c>
    </row>
    <row r="115">
      <c r="A115" t="s">
        <v>470</v>
      </c>
      <c r="B115" t="str">
        <f>SUMIFS('8_Calc_Exp_ISIC'!$E$3:$E$81, '8_Calc_Exp_ISIC'!$B$3:$B$81, $A115)</f>
      </c>
      <c r="C115" t="str">
        <f>B115/Keys!$C$2</f>
      </c>
    </row>
    <row r="116">
      <c r="A116" t="s">
        <v>425</v>
      </c>
      <c r="B116" t="str">
        <f>SUMIFS('8_Calc_Exp_ISIC'!$E$3:$E$81, '8_Calc_Exp_ISIC'!$B$3:$B$81, $A116)</f>
      </c>
      <c r="C116" t="str">
        <f>B116/Keys!$C$2</f>
      </c>
    </row>
    <row r="117">
      <c r="A117" t="s">
        <v>177</v>
      </c>
      <c r="B117" t="str">
        <f>SUMIFS('8_Calc_Exp_ISIC'!$E$3:$E$81, '8_Calc_Exp_ISIC'!$B$3:$B$81, $A117)</f>
      </c>
      <c r="C117" t="str">
        <f>B117/Keys!$C$2</f>
      </c>
    </row>
    <row r="118">
      <c r="A118" t="s">
        <v>432</v>
      </c>
      <c r="B118" t="str">
        <f>SUMIFS('8_Calc_Exp_ISIC'!$E$3:$E$81, '8_Calc_Exp_ISIC'!$B$3:$B$81, $A118)</f>
      </c>
      <c r="C118" t="str">
        <f>B118/Keys!$C$2</f>
      </c>
    </row>
    <row r="119">
      <c r="A119" t="s">
        <v>435</v>
      </c>
      <c r="B119" t="str">
        <f>SUMIFS('8_Calc_Exp_ISIC'!$E$3:$E$81, '8_Calc_Exp_ISIC'!$B$3:$B$81, $A119)</f>
      </c>
      <c r="C119" t="str">
        <f>B119/Keys!$C$2</f>
      </c>
    </row>
    <row r="120">
      <c r="A120" t="s">
        <v>441</v>
      </c>
      <c r="B120" t="str">
        <f>SUMIFS('8_Calc_Exp_ISIC'!$E$3:$E$81, '8_Calc_Exp_ISIC'!$B$3:$B$81, $A120)</f>
      </c>
      <c r="C120" t="str">
        <f>B120/Keys!$C$2</f>
      </c>
    </row>
    <row r="121">
      <c r="A121" t="s">
        <v>445</v>
      </c>
      <c r="B121" t="str">
        <f>SUMIFS('8_Calc_Exp_ISIC'!$E$3:$E$81, '8_Calc_Exp_ISIC'!$B$3:$B$81, $A121)</f>
      </c>
      <c r="C121" t="str">
        <f>B121/Keys!$C$2</f>
      </c>
    </row>
    <row r="122">
      <c r="A122" t="s">
        <v>475</v>
      </c>
      <c r="B122" t="str">
        <f>SUMIFS('8_Calc_Exp_ISIC'!$E$3:$E$81, '8_Calc_Exp_ISIC'!$B$3:$B$81, $A122)</f>
      </c>
      <c r="C122" t="str">
        <f>B122/Keys!$C$2</f>
      </c>
    </row>
    <row r="123">
      <c r="A123" t="s">
        <v>457</v>
      </c>
      <c r="B123" t="str">
        <f>SUMIFS('8_Calc_Exp_ISIC'!$E$3:$E$81, '8_Calc_Exp_ISIC'!$B$3:$B$81, $A123)</f>
      </c>
      <c r="C123" t="str">
        <f>B123/Keys!$C$2</f>
      </c>
    </row>
    <row r="124">
      <c r="A124" t="s">
        <v>460</v>
      </c>
      <c r="B124" t="str">
        <f>SUMIFS('8_Calc_Exp_ISIC'!$E$3:$E$81, '8_Calc_Exp_ISIC'!$B$3:$B$81, $A124)</f>
      </c>
      <c r="C124" t="str">
        <f>B124/Keys!$C$2</f>
      </c>
    </row>
    <row r="125">
      <c r="A125" t="s">
        <v>466</v>
      </c>
      <c r="B125" t="str">
        <f>SUMIFS('8_Calc_Exp_ISIC'!$E$3:$E$81, '8_Calc_Exp_ISIC'!$B$3:$B$81, $A125)</f>
      </c>
      <c r="C125" t="str">
        <f>B125/Keys!$C$2</f>
      </c>
    </row>
    <row r="126">
      <c r="A126" t="s">
        <v>583</v>
      </c>
      <c r="B126" t="str">
        <f>SUMIFS('8_Calc_Exp_ISIC'!$E$3:$E$81, '8_Calc_Exp_ISIC'!$B$3:$B$81,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334</v>
      </c>
      <c r="B1" t="s">
        <v>594</v>
      </c>
    </row>
    <row r="2">
      <c r="A2" t="s">
        <v>340</v>
      </c>
      <c r="B2" t="n">
        <v>6772462371.57382</v>
      </c>
    </row>
    <row r="3">
      <c r="A3" t="s">
        <v>482</v>
      </c>
      <c r="B3" t="n">
        <v>41328890.5111622</v>
      </c>
    </row>
    <row r="4">
      <c r="A4" t="s">
        <v>344</v>
      </c>
      <c r="B4" t="n">
        <v>30351120592.2515</v>
      </c>
    </row>
    <row r="5">
      <c r="A5" t="s">
        <v>485</v>
      </c>
      <c r="B5" t="n">
        <v>920430068.038393</v>
      </c>
    </row>
    <row r="6">
      <c r="A6" t="s">
        <v>347</v>
      </c>
      <c r="B6" t="n">
        <v>8254708173.49138</v>
      </c>
    </row>
    <row r="7">
      <c r="A7" t="s">
        <v>362</v>
      </c>
      <c r="B7" t="n">
        <v>6269960460.93257</v>
      </c>
    </row>
    <row r="8">
      <c r="A8" t="s">
        <v>365</v>
      </c>
      <c r="B8" t="n">
        <v>190219574.090654</v>
      </c>
    </row>
    <row r="9">
      <c r="A9" t="s">
        <v>369</v>
      </c>
      <c r="B9" t="n">
        <v>551573582.011909</v>
      </c>
    </row>
    <row r="10">
      <c r="A10" t="s">
        <v>372</v>
      </c>
      <c r="B10" t="n">
        <v>2954317608.08353</v>
      </c>
    </row>
    <row r="11">
      <c r="A11" t="s">
        <v>376</v>
      </c>
      <c r="B11" t="n">
        <v>7962710977.42916</v>
      </c>
    </row>
    <row r="12">
      <c r="A12" t="s">
        <v>498</v>
      </c>
      <c r="B12" t="n">
        <v>1702636671.57812</v>
      </c>
    </row>
    <row r="13">
      <c r="A13" t="s">
        <v>501</v>
      </c>
      <c r="B13" t="n">
        <v>300465294.984374</v>
      </c>
    </row>
    <row r="14">
      <c r="A14" t="s">
        <v>126</v>
      </c>
      <c r="B14" t="n">
        <v>3772752560.92989</v>
      </c>
    </row>
    <row r="15">
      <c r="A15" t="s">
        <v>488</v>
      </c>
      <c r="B15" t="n">
        <v>191963214.332668</v>
      </c>
    </row>
    <row r="16">
      <c r="A16" t="s">
        <v>491</v>
      </c>
      <c r="B16" t="n">
        <v>1727668928.99402</v>
      </c>
    </row>
    <row r="17">
      <c r="A17" t="s">
        <v>379</v>
      </c>
      <c r="B17" t="n">
        <v>910176161.797164</v>
      </c>
    </row>
    <row r="18">
      <c r="A18" t="s">
        <v>495</v>
      </c>
      <c r="B18" t="n">
        <v>717478228.354805</v>
      </c>
    </row>
    <row r="19">
      <c r="A19" t="s">
        <v>385</v>
      </c>
      <c r="B19" t="n">
        <v>5940968600.32592</v>
      </c>
    </row>
    <row r="20">
      <c r="A20" t="s">
        <v>390</v>
      </c>
      <c r="B20" t="n">
        <v>804374843.406071</v>
      </c>
    </row>
    <row r="21">
      <c r="A21" t="s">
        <v>393</v>
      </c>
      <c r="B21" t="n">
        <v>648551054.837059</v>
      </c>
    </row>
    <row r="22">
      <c r="A22" t="s">
        <v>387</v>
      </c>
      <c r="B22" t="n">
        <v>7102556352.62836</v>
      </c>
    </row>
    <row r="23">
      <c r="A23" t="s">
        <v>396</v>
      </c>
      <c r="B23" t="n">
        <v>3033483545.40266</v>
      </c>
    </row>
    <row r="24">
      <c r="A24" t="s">
        <v>399</v>
      </c>
      <c r="B24" t="n">
        <v>2210424665.70303</v>
      </c>
    </row>
    <row r="25">
      <c r="A25" t="s">
        <v>402</v>
      </c>
      <c r="B25" t="n">
        <v>726318106.045724</v>
      </c>
    </row>
    <row r="26">
      <c r="A26" t="s">
        <v>350</v>
      </c>
      <c r="B26" t="n">
        <v>4441648615.45096</v>
      </c>
    </row>
    <row r="27">
      <c r="A27" t="s">
        <v>353</v>
      </c>
      <c r="B27" t="n">
        <v>8119294864.68136</v>
      </c>
    </row>
    <row r="28">
      <c r="A28" t="s">
        <v>356</v>
      </c>
      <c r="B28" t="n">
        <v>1313282572.56938</v>
      </c>
    </row>
    <row r="29">
      <c r="A29" t="s">
        <v>360</v>
      </c>
      <c r="B29" t="n">
        <v>12850423828.0746</v>
      </c>
    </row>
    <row r="30">
      <c r="A30" t="s">
        <v>406</v>
      </c>
      <c r="B30" t="n">
        <v>33524313136.8433</v>
      </c>
    </row>
    <row r="31">
      <c r="A31" t="s">
        <v>413</v>
      </c>
      <c r="B31" t="n">
        <v>11228847221.7734</v>
      </c>
    </row>
    <row r="32">
      <c r="A32" t="s">
        <v>470</v>
      </c>
      <c r="B32" t="n">
        <v>9781339278.30348</v>
      </c>
    </row>
    <row r="33">
      <c r="A33" t="s">
        <v>425</v>
      </c>
      <c r="B33" t="n">
        <v>4305205151.21454</v>
      </c>
    </row>
    <row r="34">
      <c r="A34" t="s">
        <v>177</v>
      </c>
      <c r="B34" t="n">
        <v>4590975941.73725</v>
      </c>
    </row>
    <row r="35">
      <c r="A35" t="s">
        <v>432</v>
      </c>
      <c r="B35" t="n">
        <v>2060746405.5892</v>
      </c>
    </row>
    <row r="36">
      <c r="A36" t="s">
        <v>435</v>
      </c>
      <c r="B36" t="n">
        <v>11927144010.6887</v>
      </c>
    </row>
    <row r="37">
      <c r="A37" t="s">
        <v>441</v>
      </c>
      <c r="B37" t="n">
        <v>23993780697.8483</v>
      </c>
    </row>
    <row r="38">
      <c r="A38" t="s">
        <v>445</v>
      </c>
      <c r="B38" t="n">
        <v>26688607160.5136</v>
      </c>
    </row>
    <row r="39">
      <c r="A39" t="s">
        <v>475</v>
      </c>
      <c r="B39" t="n">
        <v>44813445538.0435</v>
      </c>
    </row>
    <row r="40">
      <c r="A40" t="s">
        <v>457</v>
      </c>
      <c r="B40" t="n">
        <v>1616568211.4942</v>
      </c>
    </row>
    <row r="41">
      <c r="A41" t="s">
        <v>460</v>
      </c>
      <c r="B41" t="n">
        <v>21252625886.1035</v>
      </c>
    </row>
    <row r="42">
      <c r="A42" t="s">
        <v>466</v>
      </c>
      <c r="B42" t="n">
        <v>8611884706.94349</v>
      </c>
    </row>
    <row r="43">
      <c r="A43" t="s">
        <v>583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595</v>
      </c>
      <c r="C1" t="s">
        <v>338</v>
      </c>
    </row>
    <row r="2">
      <c r="A2" t="s">
        <v>482</v>
      </c>
      <c r="B2" t="n">
        <v>0.170767535806096</v>
      </c>
      <c r="C2" t="s">
        <v>596</v>
      </c>
    </row>
    <row r="3">
      <c r="A3" t="s">
        <v>344</v>
      </c>
      <c r="B3" t="n">
        <v>1</v>
      </c>
      <c r="C3" t="s">
        <v>597</v>
      </c>
    </row>
    <row r="4">
      <c r="A4" t="s">
        <v>350</v>
      </c>
      <c r="B4" t="n">
        <v>1</v>
      </c>
      <c r="C4" t="s">
        <v>598</v>
      </c>
    </row>
    <row r="5">
      <c r="A5" t="s">
        <v>356</v>
      </c>
      <c r="B5" t="n">
        <v>1</v>
      </c>
      <c r="C5" t="s">
        <v>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600</v>
      </c>
      <c r="C1" t="s">
        <v>338</v>
      </c>
    </row>
    <row r="2">
      <c r="A2" t="s">
        <v>356</v>
      </c>
      <c r="B2" t="n">
        <v>0</v>
      </c>
      <c r="C2" t="s">
        <v>601</v>
      </c>
    </row>
    <row r="3">
      <c r="A3" t="s">
        <v>350</v>
      </c>
      <c r="B3" t="n">
        <v>0.208085844882794</v>
      </c>
      <c r="C3" t="s">
        <v>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603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IFERROR(INDEX('6_Calc_DCS_num_ISIC'!$C$85:$C$126, MATCH($A3, '6_Calc_DCS_num_ISIC'!$A$85:$A$126, 0)), 0)</f>
      </c>
      <c r="C3" t="str">
        <f>IFERROR(INDEX('7_Calc_DCS_den_ISIC'!$C$85:$C$126, MATCH($A3, '7_Calc_DCS_den_ISIC'!$A$85:$A$126, 0)), 0)</f>
      </c>
      <c r="D3" t="str">
        <f>B3/MAX(C3, Keys!$C$4)</f>
      </c>
      <c r="E3" t="str">
        <f>MIN(1, MAX(0, D3))</f>
      </c>
      <c r="F3" t="str">
        <f>IFERROR(INDEX('9b_DCS_overrides'!$B$2:$B$5, MATCH($A3, '9b_DCS_overrides'!$A$2:$A$5, 0)), E3)</f>
      </c>
    </row>
    <row r="4">
      <c r="A4" t="s">
        <v>482</v>
      </c>
      <c r="B4" t="str">
        <f>IFERROR(INDEX('6_Calc_DCS_num_ISIC'!$C$85:$C$126, MATCH($A4, '6_Calc_DCS_num_ISIC'!$A$85:$A$126, 0)), 0)</f>
      </c>
      <c r="C4" t="str">
        <f>IFERROR(INDEX('7_Calc_DCS_den_ISIC'!$C$85:$C$126, MATCH($A4, '7_Calc_DCS_den_ISIC'!$A$85:$A$126, 0)), 0)</f>
      </c>
      <c r="D4" t="str">
        <f>B4/MAX(C4, Keys!$C$4)</f>
      </c>
      <c r="E4" t="str">
        <f>MIN(1, MAX(0, D4))</f>
      </c>
      <c r="F4" t="str">
        <f>IFERROR(INDEX('9b_DCS_overrides'!$B$2:$B$5, MATCH($A4, '9b_DCS_overrides'!$A$2:$A$5, 0)), E4)</f>
      </c>
    </row>
    <row r="5">
      <c r="A5" t="s">
        <v>344</v>
      </c>
      <c r="B5" t="str">
        <f>IFERROR(INDEX('6_Calc_DCS_num_ISIC'!$C$85:$C$126, MATCH($A5, '6_Calc_DCS_num_ISIC'!$A$85:$A$126, 0)), 0)</f>
      </c>
      <c r="C5" t="str">
        <f>IFERROR(INDEX('7_Calc_DCS_den_ISIC'!$C$85:$C$126, MATCH($A5, '7_Calc_DCS_den_ISIC'!$A$85:$A$126, 0)), 0)</f>
      </c>
      <c r="D5" t="str">
        <f>B5/MAX(C5, Keys!$C$4)</f>
      </c>
      <c r="E5" t="str">
        <f>MIN(1, MAX(0, D5))</f>
      </c>
      <c r="F5" t="str">
        <f>IFERROR(INDEX('9b_DCS_overrides'!$B$2:$B$5, MATCH($A5, '9b_DCS_overrides'!$A$2:$A$5, 0)), E5)</f>
      </c>
    </row>
    <row r="6">
      <c r="A6" t="s">
        <v>485</v>
      </c>
      <c r="B6" t="str">
        <f>IFERROR(INDEX('6_Calc_DCS_num_ISIC'!$C$85:$C$126, MATCH($A6, '6_Calc_DCS_num_ISIC'!$A$85:$A$126, 0)), 0)</f>
      </c>
      <c r="C6" t="str">
        <f>IFERROR(INDEX('7_Calc_DCS_den_ISIC'!$C$85:$C$126, MATCH($A6, '7_Calc_DCS_den_ISIC'!$A$85:$A$126, 0)), 0)</f>
      </c>
      <c r="D6" t="str">
        <f>B6/MAX(C6, Keys!$C$4)</f>
      </c>
      <c r="E6" t="str">
        <f>MIN(1, MAX(0, D6))</f>
      </c>
      <c r="F6" t="str">
        <f>IFERROR(INDEX('9b_DCS_overrides'!$B$2:$B$5, MATCH($A6, '9b_DCS_overrides'!$A$2:$A$5, 0)), E6)</f>
      </c>
    </row>
    <row r="7">
      <c r="A7" t="s">
        <v>347</v>
      </c>
      <c r="B7" t="str">
        <f>IFERROR(INDEX('6_Calc_DCS_num_ISIC'!$C$85:$C$126, MATCH($A7, '6_Calc_DCS_num_ISIC'!$A$85:$A$126, 0)), 0)</f>
      </c>
      <c r="C7" t="str">
        <f>IFERROR(INDEX('7_Calc_DCS_den_ISIC'!$C$85:$C$126, MATCH($A7, '7_Calc_DCS_den_ISIC'!$A$85:$A$126, 0)), 0)</f>
      </c>
      <c r="D7" t="str">
        <f>B7/MAX(C7, Keys!$C$4)</f>
      </c>
      <c r="E7" t="str">
        <f>MIN(1, MAX(0, D7))</f>
      </c>
      <c r="F7" t="str">
        <f>IFERROR(INDEX('9b_DCS_overrides'!$B$2:$B$5, MATCH($A7, '9b_DCS_overrides'!$A$2:$A$5, 0)), E7)</f>
      </c>
    </row>
    <row r="8">
      <c r="A8" t="s">
        <v>362</v>
      </c>
      <c r="B8" t="str">
        <f>IFERROR(INDEX('6_Calc_DCS_num_ISIC'!$C$85:$C$126, MATCH($A8, '6_Calc_DCS_num_ISIC'!$A$85:$A$126, 0)), 0)</f>
      </c>
      <c r="C8" t="str">
        <f>IFERROR(INDEX('7_Calc_DCS_den_ISIC'!$C$85:$C$126, MATCH($A8, '7_Calc_DCS_den_ISIC'!$A$85:$A$126, 0)), 0)</f>
      </c>
      <c r="D8" t="str">
        <f>B8/MAX(C8, Keys!$C$4)</f>
      </c>
      <c r="E8" t="str">
        <f>MIN(1, MAX(0, D8))</f>
      </c>
      <c r="F8" t="str">
        <f>IFERROR(INDEX('9b_DCS_overrides'!$B$2:$B$5, MATCH($A8, '9b_DCS_overrides'!$A$2:$A$5, 0)), E8)</f>
      </c>
    </row>
    <row r="9">
      <c r="A9" t="s">
        <v>365</v>
      </c>
      <c r="B9" t="str">
        <f>IFERROR(INDEX('6_Calc_DCS_num_ISIC'!$C$85:$C$126, MATCH($A9, '6_Calc_DCS_num_ISIC'!$A$85:$A$126, 0)), 0)</f>
      </c>
      <c r="C9" t="str">
        <f>IFERROR(INDEX('7_Calc_DCS_den_ISIC'!$C$85:$C$126, MATCH($A9, '7_Calc_DCS_den_ISIC'!$A$85:$A$126, 0)), 0)</f>
      </c>
      <c r="D9" t="str">
        <f>B9/MAX(C9, Keys!$C$4)</f>
      </c>
      <c r="E9" t="str">
        <f>MIN(1, MAX(0, D9))</f>
      </c>
      <c r="F9" t="str">
        <f>IFERROR(INDEX('9b_DCS_overrides'!$B$2:$B$5, MATCH($A9, '9b_DCS_overrides'!$A$2:$A$5, 0)), E9)</f>
      </c>
    </row>
    <row r="10">
      <c r="A10" t="s">
        <v>369</v>
      </c>
      <c r="B10" t="str">
        <f>IFERROR(INDEX('6_Calc_DCS_num_ISIC'!$C$85:$C$126, MATCH($A10, '6_Calc_DCS_num_ISIC'!$A$85:$A$126, 0)), 0)</f>
      </c>
      <c r="C10" t="str">
        <f>IFERROR(INDEX('7_Calc_DCS_den_ISIC'!$C$85:$C$126, MATCH($A10, '7_Calc_DCS_den_ISIC'!$A$85:$A$126, 0)), 0)</f>
      </c>
      <c r="D10" t="str">
        <f>B10/MAX(C10, Keys!$C$4)</f>
      </c>
      <c r="E10" t="str">
        <f>MIN(1, MAX(0, D10))</f>
      </c>
      <c r="F10" t="str">
        <f>IFERROR(INDEX('9b_DCS_overrides'!$B$2:$B$5, MATCH($A10, '9b_DCS_overrides'!$A$2:$A$5, 0)), E10)</f>
      </c>
    </row>
    <row r="11">
      <c r="A11" t="s">
        <v>372</v>
      </c>
      <c r="B11" t="str">
        <f>IFERROR(INDEX('6_Calc_DCS_num_ISIC'!$C$85:$C$126, MATCH($A11, '6_Calc_DCS_num_ISIC'!$A$85:$A$126, 0)), 0)</f>
      </c>
      <c r="C11" t="str">
        <f>IFERROR(INDEX('7_Calc_DCS_den_ISIC'!$C$85:$C$126, MATCH($A11, '7_Calc_DCS_den_ISIC'!$A$85:$A$126, 0)), 0)</f>
      </c>
      <c r="D11" t="str">
        <f>B11/MAX(C11, Keys!$C$4)</f>
      </c>
      <c r="E11" t="str">
        <f>MIN(1, MAX(0, D11))</f>
      </c>
      <c r="F11" t="str">
        <f>IFERROR(INDEX('9b_DCS_overrides'!$B$2:$B$5, MATCH($A11, '9b_DCS_overrides'!$A$2:$A$5, 0)), E11)</f>
      </c>
    </row>
    <row r="12">
      <c r="A12" t="s">
        <v>376</v>
      </c>
      <c r="B12" t="str">
        <f>IFERROR(INDEX('6_Calc_DCS_num_ISIC'!$C$85:$C$126, MATCH($A12, '6_Calc_DCS_num_ISIC'!$A$85:$A$126, 0)), 0)</f>
      </c>
      <c r="C12" t="str">
        <f>IFERROR(INDEX('7_Calc_DCS_den_ISIC'!$C$85:$C$126, MATCH($A12, '7_Calc_DCS_den_ISIC'!$A$85:$A$126, 0)), 0)</f>
      </c>
      <c r="D12" t="str">
        <f>B12/MAX(C12, Keys!$C$4)</f>
      </c>
      <c r="E12" t="str">
        <f>MIN(1, MAX(0, D12))</f>
      </c>
      <c r="F12" t="str">
        <f>IFERROR(INDEX('9b_DCS_overrides'!$B$2:$B$5, MATCH($A12, '9b_DCS_overrides'!$A$2:$A$5, 0)), E12)</f>
      </c>
    </row>
    <row r="13">
      <c r="A13" t="s">
        <v>498</v>
      </c>
      <c r="B13" t="str">
        <f>IFERROR(INDEX('6_Calc_DCS_num_ISIC'!$C$85:$C$126, MATCH($A13, '6_Calc_DCS_num_ISIC'!$A$85:$A$126, 0)), 0)</f>
      </c>
      <c r="C13" t="str">
        <f>IFERROR(INDEX('7_Calc_DCS_den_ISIC'!$C$85:$C$126, MATCH($A13, '7_Calc_DCS_den_ISIC'!$A$85:$A$126, 0)), 0)</f>
      </c>
      <c r="D13" t="str">
        <f>B13/MAX(C13, Keys!$C$4)</f>
      </c>
      <c r="E13" t="str">
        <f>MIN(1, MAX(0, D13))</f>
      </c>
      <c r="F13" t="str">
        <f>IFERROR(INDEX('9b_DCS_overrides'!$B$2:$B$5, MATCH($A13, '9b_DCS_overrides'!$A$2:$A$5, 0)), E13)</f>
      </c>
    </row>
    <row r="14">
      <c r="A14" t="s">
        <v>501</v>
      </c>
      <c r="B14" t="str">
        <f>IFERROR(INDEX('6_Calc_DCS_num_ISIC'!$C$85:$C$126, MATCH($A14, '6_Calc_DCS_num_ISIC'!$A$85:$A$126, 0)), 0)</f>
      </c>
      <c r="C14" t="str">
        <f>IFERROR(INDEX('7_Calc_DCS_den_ISIC'!$C$85:$C$126, MATCH($A14, '7_Calc_DCS_den_ISIC'!$A$85:$A$126, 0)), 0)</f>
      </c>
      <c r="D14" t="str">
        <f>B14/MAX(C14, Keys!$C$4)</f>
      </c>
      <c r="E14" t="str">
        <f>MIN(1, MAX(0, D14))</f>
      </c>
      <c r="F14" t="str">
        <f>IFERROR(INDEX('9b_DCS_overrides'!$B$2:$B$5, MATCH($A14, '9b_DCS_overrides'!$A$2:$A$5, 0)), E14)</f>
      </c>
    </row>
    <row r="15">
      <c r="A15" t="s">
        <v>126</v>
      </c>
      <c r="B15" t="str">
        <f>IFERROR(INDEX('6_Calc_DCS_num_ISIC'!$C$85:$C$126, MATCH($A15, '6_Calc_DCS_num_ISIC'!$A$85:$A$126, 0)), 0)</f>
      </c>
      <c r="C15" t="str">
        <f>IFERROR(INDEX('7_Calc_DCS_den_ISIC'!$C$85:$C$126, MATCH($A15, '7_Calc_DCS_den_ISIC'!$A$85:$A$126, 0)), 0)</f>
      </c>
      <c r="D15" t="str">
        <f>B15/MAX(C15, Keys!$C$4)</f>
      </c>
      <c r="E15" t="str">
        <f>MIN(1, MAX(0, D15))</f>
      </c>
      <c r="F15" t="str">
        <f>IFERROR(INDEX('9b_DCS_overrides'!$B$2:$B$5, MATCH($A15, '9b_DCS_overrides'!$A$2:$A$5, 0)), E15)</f>
      </c>
    </row>
    <row r="16">
      <c r="A16" t="s">
        <v>488</v>
      </c>
      <c r="B16" t="str">
        <f>IFERROR(INDEX('6_Calc_DCS_num_ISIC'!$C$85:$C$126, MATCH($A16, '6_Calc_DCS_num_ISIC'!$A$85:$A$126, 0)), 0)</f>
      </c>
      <c r="C16" t="str">
        <f>IFERROR(INDEX('7_Calc_DCS_den_ISIC'!$C$85:$C$126, MATCH($A16, '7_Calc_DCS_den_ISIC'!$A$85:$A$126, 0)), 0)</f>
      </c>
      <c r="D16" t="str">
        <f>B16/MAX(C16, Keys!$C$4)</f>
      </c>
      <c r="E16" t="str">
        <f>MIN(1, MAX(0, D16))</f>
      </c>
      <c r="F16" t="str">
        <f>IFERROR(INDEX('9b_DCS_overrides'!$B$2:$B$5, MATCH($A16, '9b_DCS_overrides'!$A$2:$A$5, 0)), E16)</f>
      </c>
    </row>
    <row r="17">
      <c r="A17" t="s">
        <v>491</v>
      </c>
      <c r="B17" t="str">
        <f>IFERROR(INDEX('6_Calc_DCS_num_ISIC'!$C$85:$C$126, MATCH($A17, '6_Calc_DCS_num_ISIC'!$A$85:$A$126, 0)), 0)</f>
      </c>
      <c r="C17" t="str">
        <f>IFERROR(INDEX('7_Calc_DCS_den_ISIC'!$C$85:$C$126, MATCH($A17, '7_Calc_DCS_den_ISIC'!$A$85:$A$126, 0)), 0)</f>
      </c>
      <c r="D17" t="str">
        <f>B17/MAX(C17, Keys!$C$4)</f>
      </c>
      <c r="E17" t="str">
        <f>MIN(1, MAX(0, D17))</f>
      </c>
      <c r="F17" t="str">
        <f>IFERROR(INDEX('9b_DCS_overrides'!$B$2:$B$5, MATCH($A17, '9b_DCS_overrides'!$A$2:$A$5, 0)), E17)</f>
      </c>
    </row>
    <row r="18">
      <c r="A18" t="s">
        <v>379</v>
      </c>
      <c r="B18" t="str">
        <f>IFERROR(INDEX('6_Calc_DCS_num_ISIC'!$C$85:$C$126, MATCH($A18, '6_Calc_DCS_num_ISIC'!$A$85:$A$126, 0)), 0)</f>
      </c>
      <c r="C18" t="str">
        <f>IFERROR(INDEX('7_Calc_DCS_den_ISIC'!$C$85:$C$126, MATCH($A18, '7_Calc_DCS_den_ISIC'!$A$85:$A$126, 0)), 0)</f>
      </c>
      <c r="D18" t="str">
        <f>B18/MAX(C18, Keys!$C$4)</f>
      </c>
      <c r="E18" t="str">
        <f>MIN(1, MAX(0, D18))</f>
      </c>
      <c r="F18" t="str">
        <f>IFERROR(INDEX('9b_DCS_overrides'!$B$2:$B$5, MATCH($A18, '9b_DCS_overrides'!$A$2:$A$5, 0)), E18)</f>
      </c>
    </row>
    <row r="19">
      <c r="A19" t="s">
        <v>495</v>
      </c>
      <c r="B19" t="str">
        <f>IFERROR(INDEX('6_Calc_DCS_num_ISIC'!$C$85:$C$126, MATCH($A19, '6_Calc_DCS_num_ISIC'!$A$85:$A$126, 0)), 0)</f>
      </c>
      <c r="C19" t="str">
        <f>IFERROR(INDEX('7_Calc_DCS_den_ISIC'!$C$85:$C$126, MATCH($A19, '7_Calc_DCS_den_ISIC'!$A$85:$A$126, 0)), 0)</f>
      </c>
      <c r="D19" t="str">
        <f>B19/MAX(C19, Keys!$C$4)</f>
      </c>
      <c r="E19" t="str">
        <f>MIN(1, MAX(0, D19))</f>
      </c>
      <c r="F19" t="str">
        <f>IFERROR(INDEX('9b_DCS_overrides'!$B$2:$B$5, MATCH($A19, '9b_DCS_overrides'!$A$2:$A$5, 0)), E19)</f>
      </c>
    </row>
    <row r="20">
      <c r="A20" t="s">
        <v>385</v>
      </c>
      <c r="B20" t="str">
        <f>IFERROR(INDEX('6_Calc_DCS_num_ISIC'!$C$85:$C$126, MATCH($A20, '6_Calc_DCS_num_ISIC'!$A$85:$A$126, 0)), 0)</f>
      </c>
      <c r="C20" t="str">
        <f>IFERROR(INDEX('7_Calc_DCS_den_ISIC'!$C$85:$C$126, MATCH($A20, '7_Calc_DCS_den_ISIC'!$A$85:$A$126, 0)), 0)</f>
      </c>
      <c r="D20" t="str">
        <f>B20/MAX(C20, Keys!$C$4)</f>
      </c>
      <c r="E20" t="str">
        <f>MIN(1, MAX(0, D20))</f>
      </c>
      <c r="F20" t="str">
        <f>IFERROR(INDEX('9b_DCS_overrides'!$B$2:$B$5, MATCH($A20, '9b_DCS_overrides'!$A$2:$A$5, 0)), E20)</f>
      </c>
    </row>
    <row r="21">
      <c r="A21" t="s">
        <v>390</v>
      </c>
      <c r="B21" t="str">
        <f>IFERROR(INDEX('6_Calc_DCS_num_ISIC'!$C$85:$C$126, MATCH($A21, '6_Calc_DCS_num_ISIC'!$A$85:$A$126, 0)), 0)</f>
      </c>
      <c r="C21" t="str">
        <f>IFERROR(INDEX('7_Calc_DCS_den_ISIC'!$C$85:$C$126, MATCH($A21, '7_Calc_DCS_den_ISIC'!$A$85:$A$126, 0)), 0)</f>
      </c>
      <c r="D21" t="str">
        <f>B21/MAX(C21, Keys!$C$4)</f>
      </c>
      <c r="E21" t="str">
        <f>MIN(1, MAX(0, D21))</f>
      </c>
      <c r="F21" t="str">
        <f>IFERROR(INDEX('9b_DCS_overrides'!$B$2:$B$5, MATCH($A21, '9b_DCS_overrides'!$A$2:$A$5, 0)), E21)</f>
      </c>
    </row>
    <row r="22">
      <c r="A22" t="s">
        <v>393</v>
      </c>
      <c r="B22" t="str">
        <f>IFERROR(INDEX('6_Calc_DCS_num_ISIC'!$C$85:$C$126, MATCH($A22, '6_Calc_DCS_num_ISIC'!$A$85:$A$126, 0)), 0)</f>
      </c>
      <c r="C22" t="str">
        <f>IFERROR(INDEX('7_Calc_DCS_den_ISIC'!$C$85:$C$126, MATCH($A22, '7_Calc_DCS_den_ISIC'!$A$85:$A$126, 0)), 0)</f>
      </c>
      <c r="D22" t="str">
        <f>B22/MAX(C22, Keys!$C$4)</f>
      </c>
      <c r="E22" t="str">
        <f>MIN(1, MAX(0, D22))</f>
      </c>
      <c r="F22" t="str">
        <f>IFERROR(INDEX('9b_DCS_overrides'!$B$2:$B$5, MATCH($A22, '9b_DCS_overrides'!$A$2:$A$5, 0)), E22)</f>
      </c>
    </row>
    <row r="23">
      <c r="A23" t="s">
        <v>387</v>
      </c>
      <c r="B23" t="str">
        <f>IFERROR(INDEX('6_Calc_DCS_num_ISIC'!$C$85:$C$126, MATCH($A23, '6_Calc_DCS_num_ISIC'!$A$85:$A$126, 0)), 0)</f>
      </c>
      <c r="C23" t="str">
        <f>IFERROR(INDEX('7_Calc_DCS_den_ISIC'!$C$85:$C$126, MATCH($A23, '7_Calc_DCS_den_ISIC'!$A$85:$A$126, 0)), 0)</f>
      </c>
      <c r="D23" t="str">
        <f>B23/MAX(C23, Keys!$C$4)</f>
      </c>
      <c r="E23" t="str">
        <f>MIN(1, MAX(0, D23))</f>
      </c>
      <c r="F23" t="str">
        <f>IFERROR(INDEX('9b_DCS_overrides'!$B$2:$B$5, MATCH($A23, '9b_DCS_overrides'!$A$2:$A$5, 0)), E23)</f>
      </c>
    </row>
    <row r="24">
      <c r="A24" t="s">
        <v>396</v>
      </c>
      <c r="B24" t="str">
        <f>IFERROR(INDEX('6_Calc_DCS_num_ISIC'!$C$85:$C$126, MATCH($A24, '6_Calc_DCS_num_ISIC'!$A$85:$A$126, 0)), 0)</f>
      </c>
      <c r="C24" t="str">
        <f>IFERROR(INDEX('7_Calc_DCS_den_ISIC'!$C$85:$C$126, MATCH($A24, '7_Calc_DCS_den_ISIC'!$A$85:$A$126, 0)), 0)</f>
      </c>
      <c r="D24" t="str">
        <f>B24/MAX(C24, Keys!$C$4)</f>
      </c>
      <c r="E24" t="str">
        <f>MIN(1, MAX(0, D24))</f>
      </c>
      <c r="F24" t="str">
        <f>IFERROR(INDEX('9b_DCS_overrides'!$B$2:$B$5, MATCH($A24, '9b_DCS_overrides'!$A$2:$A$5, 0)), E24)</f>
      </c>
    </row>
    <row r="25">
      <c r="A25" t="s">
        <v>399</v>
      </c>
      <c r="B25" t="str">
        <f>IFERROR(INDEX('6_Calc_DCS_num_ISIC'!$C$85:$C$126, MATCH($A25, '6_Calc_DCS_num_ISIC'!$A$85:$A$126, 0)), 0)</f>
      </c>
      <c r="C25" t="str">
        <f>IFERROR(INDEX('7_Calc_DCS_den_ISIC'!$C$85:$C$126, MATCH($A25, '7_Calc_DCS_den_ISIC'!$A$85:$A$126, 0)), 0)</f>
      </c>
      <c r="D25" t="str">
        <f>B25/MAX(C25, Keys!$C$4)</f>
      </c>
      <c r="E25" t="str">
        <f>MIN(1, MAX(0, D25))</f>
      </c>
      <c r="F25" t="str">
        <f>IFERROR(INDEX('9b_DCS_overrides'!$B$2:$B$5, MATCH($A25, '9b_DCS_overrides'!$A$2:$A$5, 0)), E25)</f>
      </c>
    </row>
    <row r="26">
      <c r="A26" t="s">
        <v>402</v>
      </c>
      <c r="B26" t="str">
        <f>IFERROR(INDEX('6_Calc_DCS_num_ISIC'!$C$85:$C$126, MATCH($A26, '6_Calc_DCS_num_ISIC'!$A$85:$A$126, 0)), 0)</f>
      </c>
      <c r="C26" t="str">
        <f>IFERROR(INDEX('7_Calc_DCS_den_ISIC'!$C$85:$C$126, MATCH($A26, '7_Calc_DCS_den_ISIC'!$A$85:$A$126, 0)), 0)</f>
      </c>
      <c r="D26" t="str">
        <f>B26/MAX(C26, Keys!$C$4)</f>
      </c>
      <c r="E26" t="str">
        <f>MIN(1, MAX(0, D26))</f>
      </c>
      <c r="F26" t="str">
        <f>IFERROR(INDEX('9b_DCS_overrides'!$B$2:$B$5, MATCH($A26, '9b_DCS_overrides'!$A$2:$A$5, 0)), E26)</f>
      </c>
    </row>
    <row r="27">
      <c r="A27" t="s">
        <v>350</v>
      </c>
      <c r="B27" t="str">
        <f>IFERROR(INDEX('6_Calc_DCS_num_ISIC'!$C$85:$C$126, MATCH($A27, '6_Calc_DCS_num_ISIC'!$A$85:$A$126, 0)), 0)</f>
      </c>
      <c r="C27" t="str">
        <f>IFERROR(INDEX('7_Calc_DCS_den_ISIC'!$C$85:$C$126, MATCH($A27, '7_Calc_DCS_den_ISIC'!$A$85:$A$126, 0)), 0)</f>
      </c>
      <c r="D27" t="str">
        <f>B27/MAX(C27, Keys!$C$4)</f>
      </c>
      <c r="E27" t="str">
        <f>MIN(1, MAX(0, D27))</f>
      </c>
      <c r="F27" t="str">
        <f>IFERROR(INDEX('9b_DCS_overrides'!$B$2:$B$5, MATCH($A27, '9b_DCS_overrides'!$A$2:$A$5, 0)), E27)</f>
      </c>
    </row>
    <row r="28">
      <c r="A28" t="s">
        <v>353</v>
      </c>
      <c r="B28" t="str">
        <f>IFERROR(INDEX('6_Calc_DCS_num_ISIC'!$C$85:$C$126, MATCH($A28, '6_Calc_DCS_num_ISIC'!$A$85:$A$126, 0)), 0)</f>
      </c>
      <c r="C28" t="str">
        <f>IFERROR(INDEX('7_Calc_DCS_den_ISIC'!$C$85:$C$126, MATCH($A28, '7_Calc_DCS_den_ISIC'!$A$85:$A$126, 0)), 0)</f>
      </c>
      <c r="D28" t="str">
        <f>B28/MAX(C28, Keys!$C$4)</f>
      </c>
      <c r="E28" t="str">
        <f>MIN(1, MAX(0, D28))</f>
      </c>
      <c r="F28" t="str">
        <f>IFERROR(INDEX('9b_DCS_overrides'!$B$2:$B$5, MATCH($A28, '9b_DCS_overrides'!$A$2:$A$5, 0)), E28)</f>
      </c>
    </row>
    <row r="29">
      <c r="A29" t="s">
        <v>356</v>
      </c>
      <c r="B29" t="str">
        <f>IFERROR(INDEX('6_Calc_DCS_num_ISIC'!$C$85:$C$126, MATCH($A29, '6_Calc_DCS_num_ISIC'!$A$85:$A$126, 0)), 0)</f>
      </c>
      <c r="C29" t="str">
        <f>IFERROR(INDEX('7_Calc_DCS_den_ISIC'!$C$85:$C$126, MATCH($A29, '7_Calc_DCS_den_ISIC'!$A$85:$A$126, 0)), 0)</f>
      </c>
      <c r="D29" t="str">
        <f>B29/MAX(C29, Keys!$C$4)</f>
      </c>
      <c r="E29" t="str">
        <f>MIN(1, MAX(0, D29))</f>
      </c>
      <c r="F29" t="str">
        <f>IFERROR(INDEX('9b_DCS_overrides'!$B$2:$B$5, MATCH($A29, '9b_DCS_overrides'!$A$2:$A$5, 0)), E29)</f>
      </c>
    </row>
    <row r="30">
      <c r="A30" t="s">
        <v>360</v>
      </c>
      <c r="B30" t="str">
        <f>IFERROR(INDEX('6_Calc_DCS_num_ISIC'!$C$85:$C$126, MATCH($A30, '6_Calc_DCS_num_ISIC'!$A$85:$A$126, 0)), 0)</f>
      </c>
      <c r="C30" t="str">
        <f>IFERROR(INDEX('7_Calc_DCS_den_ISIC'!$C$85:$C$126, MATCH($A30, '7_Calc_DCS_den_ISIC'!$A$85:$A$126, 0)), 0)</f>
      </c>
      <c r="D30" t="str">
        <f>B30/MAX(C30, Keys!$C$4)</f>
      </c>
      <c r="E30" t="str">
        <f>MIN(1, MAX(0, D30))</f>
      </c>
      <c r="F30" t="str">
        <f>IFERROR(INDEX('9b_DCS_overrides'!$B$2:$B$5, MATCH($A30, '9b_DCS_overrides'!$A$2:$A$5, 0)), E30)</f>
      </c>
    </row>
    <row r="31">
      <c r="A31" t="s">
        <v>406</v>
      </c>
      <c r="B31" t="str">
        <f>IFERROR(INDEX('6_Calc_DCS_num_ISIC'!$C$85:$C$126, MATCH($A31, '6_Calc_DCS_num_ISIC'!$A$85:$A$126, 0)), 0)</f>
      </c>
      <c r="C31" t="str">
        <f>IFERROR(INDEX('7_Calc_DCS_den_ISIC'!$C$85:$C$126, MATCH($A31, '7_Calc_DCS_den_ISIC'!$A$85:$A$126, 0)), 0)</f>
      </c>
      <c r="D31" t="str">
        <f>B31/MAX(C31, Keys!$C$4)</f>
      </c>
      <c r="E31" t="str">
        <f>MIN(1, MAX(0, D31))</f>
      </c>
      <c r="F31" t="str">
        <f>IFERROR(INDEX('9b_DCS_overrides'!$B$2:$B$5, MATCH($A31, '9b_DCS_overrides'!$A$2:$A$5, 0)), E31)</f>
      </c>
    </row>
    <row r="32">
      <c r="A32" t="s">
        <v>413</v>
      </c>
      <c r="B32" t="str">
        <f>IFERROR(INDEX('6_Calc_DCS_num_ISIC'!$C$85:$C$126, MATCH($A32, '6_Calc_DCS_num_ISIC'!$A$85:$A$126, 0)), 0)</f>
      </c>
      <c r="C32" t="str">
        <f>IFERROR(INDEX('7_Calc_DCS_den_ISIC'!$C$85:$C$126, MATCH($A32, '7_Calc_DCS_den_ISIC'!$A$85:$A$126, 0)), 0)</f>
      </c>
      <c r="D32" t="str">
        <f>B32/MAX(C32, Keys!$C$4)</f>
      </c>
      <c r="E32" t="str">
        <f>MIN(1, MAX(0, D32))</f>
      </c>
      <c r="F32" t="str">
        <f>IFERROR(INDEX('9b_DCS_overrides'!$B$2:$B$5, MATCH($A32, '9b_DCS_overrides'!$A$2:$A$5, 0)), E32)</f>
      </c>
    </row>
    <row r="33">
      <c r="A33" t="s">
        <v>470</v>
      </c>
      <c r="B33" t="str">
        <f>IFERROR(INDEX('6_Calc_DCS_num_ISIC'!$C$85:$C$126, MATCH($A33, '6_Calc_DCS_num_ISIC'!$A$85:$A$126, 0)), 0)</f>
      </c>
      <c r="C33" t="str">
        <f>IFERROR(INDEX('7_Calc_DCS_den_ISIC'!$C$85:$C$126, MATCH($A33, '7_Calc_DCS_den_ISIC'!$A$85:$A$126, 0)), 0)</f>
      </c>
      <c r="D33" t="str">
        <f>B33/MAX(C33, Keys!$C$4)</f>
      </c>
      <c r="E33" t="str">
        <f>MIN(1, MAX(0, D33))</f>
      </c>
      <c r="F33" t="str">
        <f>IFERROR(INDEX('9b_DCS_overrides'!$B$2:$B$5, MATCH($A33, '9b_DCS_overrides'!$A$2:$A$5, 0)), E33)</f>
      </c>
    </row>
    <row r="34">
      <c r="A34" t="s">
        <v>425</v>
      </c>
      <c r="B34" t="str">
        <f>IFERROR(INDEX('6_Calc_DCS_num_ISIC'!$C$85:$C$126, MATCH($A34, '6_Calc_DCS_num_ISIC'!$A$85:$A$126, 0)), 0)</f>
      </c>
      <c r="C34" t="str">
        <f>IFERROR(INDEX('7_Calc_DCS_den_ISIC'!$C$85:$C$126, MATCH($A34, '7_Calc_DCS_den_ISIC'!$A$85:$A$126, 0)), 0)</f>
      </c>
      <c r="D34" t="str">
        <f>B34/MAX(C34, Keys!$C$4)</f>
      </c>
      <c r="E34" t="str">
        <f>MIN(1, MAX(0, D34))</f>
      </c>
      <c r="F34" t="str">
        <f>IFERROR(INDEX('9b_DCS_overrides'!$B$2:$B$5, MATCH($A34, '9b_DCS_overrides'!$A$2:$A$5, 0)), E34)</f>
      </c>
    </row>
    <row r="35">
      <c r="A35" t="s">
        <v>177</v>
      </c>
      <c r="B35" t="str">
        <f>IFERROR(INDEX('6_Calc_DCS_num_ISIC'!$C$85:$C$126, MATCH($A35, '6_Calc_DCS_num_ISIC'!$A$85:$A$126, 0)), 0)</f>
      </c>
      <c r="C35" t="str">
        <f>IFERROR(INDEX('7_Calc_DCS_den_ISIC'!$C$85:$C$126, MATCH($A35, '7_Calc_DCS_den_ISIC'!$A$85:$A$126, 0)), 0)</f>
      </c>
      <c r="D35" t="str">
        <f>B35/MAX(C35, Keys!$C$4)</f>
      </c>
      <c r="E35" t="str">
        <f>MIN(1, MAX(0, D35))</f>
      </c>
      <c r="F35" t="str">
        <f>IFERROR(INDEX('9b_DCS_overrides'!$B$2:$B$5, MATCH($A35, '9b_DCS_overrides'!$A$2:$A$5, 0)), E35)</f>
      </c>
    </row>
    <row r="36">
      <c r="A36" t="s">
        <v>432</v>
      </c>
      <c r="B36" t="str">
        <f>IFERROR(INDEX('6_Calc_DCS_num_ISIC'!$C$85:$C$126, MATCH($A36, '6_Calc_DCS_num_ISIC'!$A$85:$A$126, 0)), 0)</f>
      </c>
      <c r="C36" t="str">
        <f>IFERROR(INDEX('7_Calc_DCS_den_ISIC'!$C$85:$C$126, MATCH($A36, '7_Calc_DCS_den_ISIC'!$A$85:$A$126, 0)), 0)</f>
      </c>
      <c r="D36" t="str">
        <f>B36/MAX(C36, Keys!$C$4)</f>
      </c>
      <c r="E36" t="str">
        <f>MIN(1, MAX(0, D36))</f>
      </c>
      <c r="F36" t="str">
        <f>IFERROR(INDEX('9b_DCS_overrides'!$B$2:$B$5, MATCH($A36, '9b_DCS_overrides'!$A$2:$A$5, 0)), E36)</f>
      </c>
    </row>
    <row r="37">
      <c r="A37" t="s">
        <v>435</v>
      </c>
      <c r="B37" t="str">
        <f>IFERROR(INDEX('6_Calc_DCS_num_ISIC'!$C$85:$C$126, MATCH($A37, '6_Calc_DCS_num_ISIC'!$A$85:$A$126, 0)), 0)</f>
      </c>
      <c r="C37" t="str">
        <f>IFERROR(INDEX('7_Calc_DCS_den_ISIC'!$C$85:$C$126, MATCH($A37, '7_Calc_DCS_den_ISIC'!$A$85:$A$126, 0)), 0)</f>
      </c>
      <c r="D37" t="str">
        <f>B37/MAX(C37, Keys!$C$4)</f>
      </c>
      <c r="E37" t="str">
        <f>MIN(1, MAX(0, D37))</f>
      </c>
      <c r="F37" t="str">
        <f>IFERROR(INDEX('9b_DCS_overrides'!$B$2:$B$5, MATCH($A37, '9b_DCS_overrides'!$A$2:$A$5, 0)), E37)</f>
      </c>
    </row>
    <row r="38">
      <c r="A38" t="s">
        <v>441</v>
      </c>
      <c r="B38" t="str">
        <f>IFERROR(INDEX('6_Calc_DCS_num_ISIC'!$C$85:$C$126, MATCH($A38, '6_Calc_DCS_num_ISIC'!$A$85:$A$126, 0)), 0)</f>
      </c>
      <c r="C38" t="str">
        <f>IFERROR(INDEX('7_Calc_DCS_den_ISIC'!$C$85:$C$126, MATCH($A38, '7_Calc_DCS_den_ISIC'!$A$85:$A$126, 0)), 0)</f>
      </c>
      <c r="D38" t="str">
        <f>B38/MAX(C38, Keys!$C$4)</f>
      </c>
      <c r="E38" t="str">
        <f>MIN(1, MAX(0, D38))</f>
      </c>
      <c r="F38" t="str">
        <f>IFERROR(INDEX('9b_DCS_overrides'!$B$2:$B$5, MATCH($A38, '9b_DCS_overrides'!$A$2:$A$5, 0)), E38)</f>
      </c>
    </row>
    <row r="39">
      <c r="A39" t="s">
        <v>445</v>
      </c>
      <c r="B39" t="str">
        <f>IFERROR(INDEX('6_Calc_DCS_num_ISIC'!$C$85:$C$126, MATCH($A39, '6_Calc_DCS_num_ISIC'!$A$85:$A$126, 0)), 0)</f>
      </c>
      <c r="C39" t="str">
        <f>IFERROR(INDEX('7_Calc_DCS_den_ISIC'!$C$85:$C$126, MATCH($A39, '7_Calc_DCS_den_ISIC'!$A$85:$A$126, 0)), 0)</f>
      </c>
      <c r="D39" t="str">
        <f>B39/MAX(C39, Keys!$C$4)</f>
      </c>
      <c r="E39" t="str">
        <f>MIN(1, MAX(0, D39))</f>
      </c>
      <c r="F39" t="str">
        <f>IFERROR(INDEX('9b_DCS_overrides'!$B$2:$B$5, MATCH($A39, '9b_DCS_overrides'!$A$2:$A$5, 0)), E39)</f>
      </c>
    </row>
    <row r="40">
      <c r="A40" t="s">
        <v>475</v>
      </c>
      <c r="B40" t="str">
        <f>IFERROR(INDEX('6_Calc_DCS_num_ISIC'!$C$85:$C$126, MATCH($A40, '6_Calc_DCS_num_ISIC'!$A$85:$A$126, 0)), 0)</f>
      </c>
      <c r="C40" t="str">
        <f>IFERROR(INDEX('7_Calc_DCS_den_ISIC'!$C$85:$C$126, MATCH($A40, '7_Calc_DCS_den_ISIC'!$A$85:$A$126, 0)), 0)</f>
      </c>
      <c r="D40" t="str">
        <f>B40/MAX(C40, Keys!$C$4)</f>
      </c>
      <c r="E40" t="str">
        <f>MIN(1, MAX(0, D40))</f>
      </c>
      <c r="F40" t="str">
        <f>IFERROR(INDEX('9b_DCS_overrides'!$B$2:$B$5, MATCH($A40, '9b_DCS_overrides'!$A$2:$A$5, 0)), E40)</f>
      </c>
    </row>
    <row r="41">
      <c r="A41" t="s">
        <v>457</v>
      </c>
      <c r="B41" t="str">
        <f>IFERROR(INDEX('6_Calc_DCS_num_ISIC'!$C$85:$C$126, MATCH($A41, '6_Calc_DCS_num_ISIC'!$A$85:$A$126, 0)), 0)</f>
      </c>
      <c r="C41" t="str">
        <f>IFERROR(INDEX('7_Calc_DCS_den_ISIC'!$C$85:$C$126, MATCH($A41, '7_Calc_DCS_den_ISIC'!$A$85:$A$126, 0)), 0)</f>
      </c>
      <c r="D41" t="str">
        <f>B41/MAX(C41, Keys!$C$4)</f>
      </c>
      <c r="E41" t="str">
        <f>MIN(1, MAX(0, D41))</f>
      </c>
      <c r="F41" t="str">
        <f>IFERROR(INDEX('9b_DCS_overrides'!$B$2:$B$5, MATCH($A41, '9b_DCS_overrides'!$A$2:$A$5, 0)), E41)</f>
      </c>
    </row>
    <row r="42">
      <c r="A42" t="s">
        <v>460</v>
      </c>
      <c r="B42" t="str">
        <f>IFERROR(INDEX('6_Calc_DCS_num_ISIC'!$C$85:$C$126, MATCH($A42, '6_Calc_DCS_num_ISIC'!$A$85:$A$126, 0)), 0)</f>
      </c>
      <c r="C42" t="str">
        <f>IFERROR(INDEX('7_Calc_DCS_den_ISIC'!$C$85:$C$126, MATCH($A42, '7_Calc_DCS_den_ISIC'!$A$85:$A$126, 0)), 0)</f>
      </c>
      <c r="D42" t="str">
        <f>B42/MAX(C42, Keys!$C$4)</f>
      </c>
      <c r="E42" t="str">
        <f>MIN(1, MAX(0, D42))</f>
      </c>
      <c r="F42" t="str">
        <f>IFERROR(INDEX('9b_DCS_overrides'!$B$2:$B$5, MATCH($A42, '9b_DCS_overrides'!$A$2:$A$5, 0)), E42)</f>
      </c>
    </row>
    <row r="43">
      <c r="A43" t="s">
        <v>466</v>
      </c>
      <c r="B43" t="str">
        <f>IFERROR(INDEX('6_Calc_DCS_num_ISIC'!$C$85:$C$126, MATCH($A43, '6_Calc_DCS_num_ISIC'!$A$85:$A$126, 0)), 0)</f>
      </c>
      <c r="C43" t="str">
        <f>IFERROR(INDEX('7_Calc_DCS_den_ISIC'!$C$85:$C$126, MATCH($A43, '7_Calc_DCS_den_ISIC'!$A$85:$A$126, 0)), 0)</f>
      </c>
      <c r="D43" t="str">
        <f>B43/MAX(C43, Keys!$C$4)</f>
      </c>
      <c r="E43" t="str">
        <f>MIN(1, MAX(0, D43))</f>
      </c>
      <c r="F43" t="str">
        <f>IFERROR(INDEX('9b_DCS_overrides'!$B$2:$B$5, MATCH($A43, '9b_DCS_overrides'!$A$2:$A$5, 0)), E43)</f>
      </c>
    </row>
    <row r="44">
      <c r="A44" t="s">
        <v>583</v>
      </c>
      <c r="B44" t="str">
        <f>IFERROR(INDEX('6_Calc_DCS_num_ISIC'!$C$85:$C$126, MATCH($A44, '6_Calc_DCS_num_ISIC'!$A$85:$A$126, 0)), 0)</f>
      </c>
      <c r="C44" t="str">
        <f>IFERROR(INDEX('7_Calc_DCS_den_ISIC'!$C$85:$C$126, MATCH($A44, '7_Calc_DCS_den_ISIC'!$A$85:$A$126, 0)), 0)</f>
      </c>
      <c r="D44" t="str">
        <f>B44/MAX(C44, Keys!$C$4)</f>
      </c>
      <c r="E44" t="str">
        <f>MIN(1, MAX(0, D44))</f>
      </c>
      <c r="F44" t="str">
        <f>IFERROR(INDEX('9b_DCS_overrides'!$B$2:$B$5, MATCH($A44, '9b_DCS_overrides'!$A$2:$A$5,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609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IFERROR(INDEX('8_Calc_Exp_ISIC'!$C$85:$C$126, MATCH($A3, '8_Calc_Exp_ISIC'!$A$85:$A$126, 0)), 0)</f>
      </c>
      <c r="C3" t="str">
        <f>IFERROR(INDEX('9_Output_by_ISIC'!$B$2:$B$43, MATCH($A3, '9_Output_by_ISIC'!$A$2:$A$43, 0)), 0)</f>
      </c>
      <c r="D3" t="str">
        <f>B3/MAX(C3, Keys!$C$4)</f>
      </c>
      <c r="E3" t="str">
        <f>MIN(1, MAX(0, D3))</f>
      </c>
      <c r="F3" t="str">
        <f>IFERROR(INDEX('9c_ESoP_overrides'!$B$2:$B$3, MATCH($A3, '9c_ESoP_overrides'!$A$2:$A$3, 0)), E3)</f>
      </c>
    </row>
    <row r="4">
      <c r="A4" t="s">
        <v>482</v>
      </c>
      <c r="B4" t="str">
        <f>IFERROR(INDEX('8_Calc_Exp_ISIC'!$C$85:$C$126, MATCH($A4, '8_Calc_Exp_ISIC'!$A$85:$A$126, 0)), 0)</f>
      </c>
      <c r="C4" t="str">
        <f>IFERROR(INDEX('9_Output_by_ISIC'!$B$2:$B$43, MATCH($A4, '9_Output_by_ISIC'!$A$2:$A$43, 0)), 0)</f>
      </c>
      <c r="D4" t="str">
        <f>B4/MAX(C4, Keys!$C$4)</f>
      </c>
      <c r="E4" t="str">
        <f>MIN(1, MAX(0, D4))</f>
      </c>
      <c r="F4" t="str">
        <f>IFERROR(INDEX('9c_ESoP_overrides'!$B$2:$B$3, MATCH($A4, '9c_ESoP_overrides'!$A$2:$A$3, 0)), E4)</f>
      </c>
    </row>
    <row r="5">
      <c r="A5" t="s">
        <v>344</v>
      </c>
      <c r="B5" t="str">
        <f>IFERROR(INDEX('8_Calc_Exp_ISIC'!$C$85:$C$126, MATCH($A5, '8_Calc_Exp_ISIC'!$A$85:$A$126, 0)), 0)</f>
      </c>
      <c r="C5" t="str">
        <f>IFERROR(INDEX('9_Output_by_ISIC'!$B$2:$B$43, MATCH($A5, '9_Output_by_ISIC'!$A$2:$A$43, 0)), 0)</f>
      </c>
      <c r="D5" t="str">
        <f>B5/MAX(C5, Keys!$C$4)</f>
      </c>
      <c r="E5" t="str">
        <f>MIN(1, MAX(0, D5))</f>
      </c>
      <c r="F5" t="str">
        <f>IFERROR(INDEX('9c_ESoP_overrides'!$B$2:$B$3, MATCH($A5, '9c_ESoP_overrides'!$A$2:$A$3, 0)), E5)</f>
      </c>
    </row>
    <row r="6">
      <c r="A6" t="s">
        <v>485</v>
      </c>
      <c r="B6" t="str">
        <f>IFERROR(INDEX('8_Calc_Exp_ISIC'!$C$85:$C$126, MATCH($A6, '8_Calc_Exp_ISIC'!$A$85:$A$126, 0)), 0)</f>
      </c>
      <c r="C6" t="str">
        <f>IFERROR(INDEX('9_Output_by_ISIC'!$B$2:$B$43, MATCH($A6, '9_Output_by_ISIC'!$A$2:$A$43, 0)), 0)</f>
      </c>
      <c r="D6" t="str">
        <f>B6/MAX(C6, Keys!$C$4)</f>
      </c>
      <c r="E6" t="str">
        <f>MIN(1, MAX(0, D6))</f>
      </c>
      <c r="F6" t="str">
        <f>IFERROR(INDEX('9c_ESoP_overrides'!$B$2:$B$3, MATCH($A6, '9c_ESoP_overrides'!$A$2:$A$3, 0)), E6)</f>
      </c>
    </row>
    <row r="7">
      <c r="A7" t="s">
        <v>347</v>
      </c>
      <c r="B7" t="str">
        <f>IFERROR(INDEX('8_Calc_Exp_ISIC'!$C$85:$C$126, MATCH($A7, '8_Calc_Exp_ISIC'!$A$85:$A$126, 0)), 0)</f>
      </c>
      <c r="C7" t="str">
        <f>IFERROR(INDEX('9_Output_by_ISIC'!$B$2:$B$43, MATCH($A7, '9_Output_by_ISIC'!$A$2:$A$43, 0)), 0)</f>
      </c>
      <c r="D7" t="str">
        <f>B7/MAX(C7, Keys!$C$4)</f>
      </c>
      <c r="E7" t="str">
        <f>MIN(1, MAX(0, D7))</f>
      </c>
      <c r="F7" t="str">
        <f>IFERROR(INDEX('9c_ESoP_overrides'!$B$2:$B$3, MATCH($A7, '9c_ESoP_overrides'!$A$2:$A$3, 0)), E7)</f>
      </c>
    </row>
    <row r="8">
      <c r="A8" t="s">
        <v>362</v>
      </c>
      <c r="B8" t="str">
        <f>IFERROR(INDEX('8_Calc_Exp_ISIC'!$C$85:$C$126, MATCH($A8, '8_Calc_Exp_ISIC'!$A$85:$A$126, 0)), 0)</f>
      </c>
      <c r="C8" t="str">
        <f>IFERROR(INDEX('9_Output_by_ISIC'!$B$2:$B$43, MATCH($A8, '9_Output_by_ISIC'!$A$2:$A$43, 0)), 0)</f>
      </c>
      <c r="D8" t="str">
        <f>B8/MAX(C8, Keys!$C$4)</f>
      </c>
      <c r="E8" t="str">
        <f>MIN(1, MAX(0, D8))</f>
      </c>
      <c r="F8" t="str">
        <f>IFERROR(INDEX('9c_ESoP_overrides'!$B$2:$B$3, MATCH($A8, '9c_ESoP_overrides'!$A$2:$A$3, 0)), E8)</f>
      </c>
    </row>
    <row r="9">
      <c r="A9" t="s">
        <v>365</v>
      </c>
      <c r="B9" t="str">
        <f>IFERROR(INDEX('8_Calc_Exp_ISIC'!$C$85:$C$126, MATCH($A9, '8_Calc_Exp_ISIC'!$A$85:$A$126, 0)), 0)</f>
      </c>
      <c r="C9" t="str">
        <f>IFERROR(INDEX('9_Output_by_ISIC'!$B$2:$B$43, MATCH($A9, '9_Output_by_ISIC'!$A$2:$A$43, 0)), 0)</f>
      </c>
      <c r="D9" t="str">
        <f>B9/MAX(C9, Keys!$C$4)</f>
      </c>
      <c r="E9" t="str">
        <f>MIN(1, MAX(0, D9))</f>
      </c>
      <c r="F9" t="str">
        <f>IFERROR(INDEX('9c_ESoP_overrides'!$B$2:$B$3, MATCH($A9, '9c_ESoP_overrides'!$A$2:$A$3, 0)), E9)</f>
      </c>
    </row>
    <row r="10">
      <c r="A10" t="s">
        <v>369</v>
      </c>
      <c r="B10" t="str">
        <f>IFERROR(INDEX('8_Calc_Exp_ISIC'!$C$85:$C$126, MATCH($A10, '8_Calc_Exp_ISIC'!$A$85:$A$126, 0)), 0)</f>
      </c>
      <c r="C10" t="str">
        <f>IFERROR(INDEX('9_Output_by_ISIC'!$B$2:$B$43, MATCH($A10, '9_Output_by_ISIC'!$A$2:$A$43, 0)), 0)</f>
      </c>
      <c r="D10" t="str">
        <f>B10/MAX(C10, Keys!$C$4)</f>
      </c>
      <c r="E10" t="str">
        <f>MIN(1, MAX(0, D10))</f>
      </c>
      <c r="F10" t="str">
        <f>IFERROR(INDEX('9c_ESoP_overrides'!$B$2:$B$3, MATCH($A10, '9c_ESoP_overrides'!$A$2:$A$3, 0)), E10)</f>
      </c>
    </row>
    <row r="11">
      <c r="A11" t="s">
        <v>372</v>
      </c>
      <c r="B11" t="str">
        <f>IFERROR(INDEX('8_Calc_Exp_ISIC'!$C$85:$C$126, MATCH($A11, '8_Calc_Exp_ISIC'!$A$85:$A$126, 0)), 0)</f>
      </c>
      <c r="C11" t="str">
        <f>IFERROR(INDEX('9_Output_by_ISIC'!$B$2:$B$43, MATCH($A11, '9_Output_by_ISIC'!$A$2:$A$43, 0)), 0)</f>
      </c>
      <c r="D11" t="str">
        <f>B11/MAX(C11, Keys!$C$4)</f>
      </c>
      <c r="E11" t="str">
        <f>MIN(1, MAX(0, D11))</f>
      </c>
      <c r="F11" t="str">
        <f>IFERROR(INDEX('9c_ESoP_overrides'!$B$2:$B$3, MATCH($A11, '9c_ESoP_overrides'!$A$2:$A$3, 0)), E11)</f>
      </c>
    </row>
    <row r="12">
      <c r="A12" t="s">
        <v>376</v>
      </c>
      <c r="B12" t="str">
        <f>IFERROR(INDEX('8_Calc_Exp_ISIC'!$C$85:$C$126, MATCH($A12, '8_Calc_Exp_ISIC'!$A$85:$A$126, 0)), 0)</f>
      </c>
      <c r="C12" t="str">
        <f>IFERROR(INDEX('9_Output_by_ISIC'!$B$2:$B$43, MATCH($A12, '9_Output_by_ISIC'!$A$2:$A$43, 0)), 0)</f>
      </c>
      <c r="D12" t="str">
        <f>B12/MAX(C12, Keys!$C$4)</f>
      </c>
      <c r="E12" t="str">
        <f>MIN(1, MAX(0, D12))</f>
      </c>
      <c r="F12" t="str">
        <f>IFERROR(INDEX('9c_ESoP_overrides'!$B$2:$B$3, MATCH($A12, '9c_ESoP_overrides'!$A$2:$A$3, 0)), E12)</f>
      </c>
    </row>
    <row r="13">
      <c r="A13" t="s">
        <v>498</v>
      </c>
      <c r="B13" t="str">
        <f>IFERROR(INDEX('8_Calc_Exp_ISIC'!$C$85:$C$126, MATCH($A13, '8_Calc_Exp_ISIC'!$A$85:$A$126, 0)), 0)</f>
      </c>
      <c r="C13" t="str">
        <f>IFERROR(INDEX('9_Output_by_ISIC'!$B$2:$B$43, MATCH($A13, '9_Output_by_ISIC'!$A$2:$A$43, 0)), 0)</f>
      </c>
      <c r="D13" t="str">
        <f>B13/MAX(C13, Keys!$C$4)</f>
      </c>
      <c r="E13" t="str">
        <f>MIN(1, MAX(0, D13))</f>
      </c>
      <c r="F13" t="str">
        <f>IFERROR(INDEX('9c_ESoP_overrides'!$B$2:$B$3, MATCH($A13, '9c_ESoP_overrides'!$A$2:$A$3, 0)), E13)</f>
      </c>
    </row>
    <row r="14">
      <c r="A14" t="s">
        <v>501</v>
      </c>
      <c r="B14" t="str">
        <f>IFERROR(INDEX('8_Calc_Exp_ISIC'!$C$85:$C$126, MATCH($A14, '8_Calc_Exp_ISIC'!$A$85:$A$126, 0)), 0)</f>
      </c>
      <c r="C14" t="str">
        <f>IFERROR(INDEX('9_Output_by_ISIC'!$B$2:$B$43, MATCH($A14, '9_Output_by_ISIC'!$A$2:$A$43, 0)), 0)</f>
      </c>
      <c r="D14" t="str">
        <f>B14/MAX(C14, Keys!$C$4)</f>
      </c>
      <c r="E14" t="str">
        <f>MIN(1, MAX(0, D14))</f>
      </c>
      <c r="F14" t="str">
        <f>IFERROR(INDEX('9c_ESoP_overrides'!$B$2:$B$3, MATCH($A14, '9c_ESoP_overrides'!$A$2:$A$3, 0)), E14)</f>
      </c>
    </row>
    <row r="15">
      <c r="A15" t="s">
        <v>126</v>
      </c>
      <c r="B15" t="str">
        <f>IFERROR(INDEX('8_Calc_Exp_ISIC'!$C$85:$C$126, MATCH($A15, '8_Calc_Exp_ISIC'!$A$85:$A$126, 0)), 0)</f>
      </c>
      <c r="C15" t="str">
        <f>IFERROR(INDEX('9_Output_by_ISIC'!$B$2:$B$43, MATCH($A15, '9_Output_by_ISIC'!$A$2:$A$43, 0)), 0)</f>
      </c>
      <c r="D15" t="str">
        <f>B15/MAX(C15, Keys!$C$4)</f>
      </c>
      <c r="E15" t="str">
        <f>MIN(1, MAX(0, D15))</f>
      </c>
      <c r="F15" t="str">
        <f>IFERROR(INDEX('9c_ESoP_overrides'!$B$2:$B$3, MATCH($A15, '9c_ESoP_overrides'!$A$2:$A$3, 0)), E15)</f>
      </c>
    </row>
    <row r="16">
      <c r="A16" t="s">
        <v>488</v>
      </c>
      <c r="B16" t="str">
        <f>IFERROR(INDEX('8_Calc_Exp_ISIC'!$C$85:$C$126, MATCH($A16, '8_Calc_Exp_ISIC'!$A$85:$A$126, 0)), 0)</f>
      </c>
      <c r="C16" t="str">
        <f>IFERROR(INDEX('9_Output_by_ISIC'!$B$2:$B$43, MATCH($A16, '9_Output_by_ISIC'!$A$2:$A$43, 0)), 0)</f>
      </c>
      <c r="D16" t="str">
        <f>B16/MAX(C16, Keys!$C$4)</f>
      </c>
      <c r="E16" t="str">
        <f>MIN(1, MAX(0, D16))</f>
      </c>
      <c r="F16" t="str">
        <f>IFERROR(INDEX('9c_ESoP_overrides'!$B$2:$B$3, MATCH($A16, '9c_ESoP_overrides'!$A$2:$A$3, 0)), E16)</f>
      </c>
    </row>
    <row r="17">
      <c r="A17" t="s">
        <v>491</v>
      </c>
      <c r="B17" t="str">
        <f>IFERROR(INDEX('8_Calc_Exp_ISIC'!$C$85:$C$126, MATCH($A17, '8_Calc_Exp_ISIC'!$A$85:$A$126, 0)), 0)</f>
      </c>
      <c r="C17" t="str">
        <f>IFERROR(INDEX('9_Output_by_ISIC'!$B$2:$B$43, MATCH($A17, '9_Output_by_ISIC'!$A$2:$A$43, 0)), 0)</f>
      </c>
      <c r="D17" t="str">
        <f>B17/MAX(C17, Keys!$C$4)</f>
      </c>
      <c r="E17" t="str">
        <f>MIN(1, MAX(0, D17))</f>
      </c>
      <c r="F17" t="str">
        <f>IFERROR(INDEX('9c_ESoP_overrides'!$B$2:$B$3, MATCH($A17, '9c_ESoP_overrides'!$A$2:$A$3, 0)), E17)</f>
      </c>
    </row>
    <row r="18">
      <c r="A18" t="s">
        <v>379</v>
      </c>
      <c r="B18" t="str">
        <f>IFERROR(INDEX('8_Calc_Exp_ISIC'!$C$85:$C$126, MATCH($A18, '8_Calc_Exp_ISIC'!$A$85:$A$126, 0)), 0)</f>
      </c>
      <c r="C18" t="str">
        <f>IFERROR(INDEX('9_Output_by_ISIC'!$B$2:$B$43, MATCH($A18, '9_Output_by_ISIC'!$A$2:$A$43, 0)), 0)</f>
      </c>
      <c r="D18" t="str">
        <f>B18/MAX(C18, Keys!$C$4)</f>
      </c>
      <c r="E18" t="str">
        <f>MIN(1, MAX(0, D18))</f>
      </c>
      <c r="F18" t="str">
        <f>IFERROR(INDEX('9c_ESoP_overrides'!$B$2:$B$3, MATCH($A18, '9c_ESoP_overrides'!$A$2:$A$3, 0)), E18)</f>
      </c>
    </row>
    <row r="19">
      <c r="A19" t="s">
        <v>495</v>
      </c>
      <c r="B19" t="str">
        <f>IFERROR(INDEX('8_Calc_Exp_ISIC'!$C$85:$C$126, MATCH($A19, '8_Calc_Exp_ISIC'!$A$85:$A$126, 0)), 0)</f>
      </c>
      <c r="C19" t="str">
        <f>IFERROR(INDEX('9_Output_by_ISIC'!$B$2:$B$43, MATCH($A19, '9_Output_by_ISIC'!$A$2:$A$43, 0)), 0)</f>
      </c>
      <c r="D19" t="str">
        <f>B19/MAX(C19, Keys!$C$4)</f>
      </c>
      <c r="E19" t="str">
        <f>MIN(1, MAX(0, D19))</f>
      </c>
      <c r="F19" t="str">
        <f>IFERROR(INDEX('9c_ESoP_overrides'!$B$2:$B$3, MATCH($A19, '9c_ESoP_overrides'!$A$2:$A$3, 0)), E19)</f>
      </c>
    </row>
    <row r="20">
      <c r="A20" t="s">
        <v>385</v>
      </c>
      <c r="B20" t="str">
        <f>IFERROR(INDEX('8_Calc_Exp_ISIC'!$C$85:$C$126, MATCH($A20, '8_Calc_Exp_ISIC'!$A$85:$A$126, 0)), 0)</f>
      </c>
      <c r="C20" t="str">
        <f>IFERROR(INDEX('9_Output_by_ISIC'!$B$2:$B$43, MATCH($A20, '9_Output_by_ISIC'!$A$2:$A$43, 0)), 0)</f>
      </c>
      <c r="D20" t="str">
        <f>B20/MAX(C20, Keys!$C$4)</f>
      </c>
      <c r="E20" t="str">
        <f>MIN(1, MAX(0, D20))</f>
      </c>
      <c r="F20" t="str">
        <f>IFERROR(INDEX('9c_ESoP_overrides'!$B$2:$B$3, MATCH($A20, '9c_ESoP_overrides'!$A$2:$A$3, 0)), E20)</f>
      </c>
    </row>
    <row r="21">
      <c r="A21" t="s">
        <v>390</v>
      </c>
      <c r="B21" t="str">
        <f>IFERROR(INDEX('8_Calc_Exp_ISIC'!$C$85:$C$126, MATCH($A21, '8_Calc_Exp_ISIC'!$A$85:$A$126, 0)), 0)</f>
      </c>
      <c r="C21" t="str">
        <f>IFERROR(INDEX('9_Output_by_ISIC'!$B$2:$B$43, MATCH($A21, '9_Output_by_ISIC'!$A$2:$A$43, 0)), 0)</f>
      </c>
      <c r="D21" t="str">
        <f>B21/MAX(C21, Keys!$C$4)</f>
      </c>
      <c r="E21" t="str">
        <f>MIN(1, MAX(0, D21))</f>
      </c>
      <c r="F21" t="str">
        <f>IFERROR(INDEX('9c_ESoP_overrides'!$B$2:$B$3, MATCH($A21, '9c_ESoP_overrides'!$A$2:$A$3, 0)), E21)</f>
      </c>
    </row>
    <row r="22">
      <c r="A22" t="s">
        <v>393</v>
      </c>
      <c r="B22" t="str">
        <f>IFERROR(INDEX('8_Calc_Exp_ISIC'!$C$85:$C$126, MATCH($A22, '8_Calc_Exp_ISIC'!$A$85:$A$126, 0)), 0)</f>
      </c>
      <c r="C22" t="str">
        <f>IFERROR(INDEX('9_Output_by_ISIC'!$B$2:$B$43, MATCH($A22, '9_Output_by_ISIC'!$A$2:$A$43, 0)), 0)</f>
      </c>
      <c r="D22" t="str">
        <f>B22/MAX(C22, Keys!$C$4)</f>
      </c>
      <c r="E22" t="str">
        <f>MIN(1, MAX(0, D22))</f>
      </c>
      <c r="F22" t="str">
        <f>IFERROR(INDEX('9c_ESoP_overrides'!$B$2:$B$3, MATCH($A22, '9c_ESoP_overrides'!$A$2:$A$3, 0)), E22)</f>
      </c>
    </row>
    <row r="23">
      <c r="A23" t="s">
        <v>387</v>
      </c>
      <c r="B23" t="str">
        <f>IFERROR(INDEX('8_Calc_Exp_ISIC'!$C$85:$C$126, MATCH($A23, '8_Calc_Exp_ISIC'!$A$85:$A$126, 0)), 0)</f>
      </c>
      <c r="C23" t="str">
        <f>IFERROR(INDEX('9_Output_by_ISIC'!$B$2:$B$43, MATCH($A23, '9_Output_by_ISIC'!$A$2:$A$43, 0)), 0)</f>
      </c>
      <c r="D23" t="str">
        <f>B23/MAX(C23, Keys!$C$4)</f>
      </c>
      <c r="E23" t="str">
        <f>MIN(1, MAX(0, D23))</f>
      </c>
      <c r="F23" t="str">
        <f>IFERROR(INDEX('9c_ESoP_overrides'!$B$2:$B$3, MATCH($A23, '9c_ESoP_overrides'!$A$2:$A$3, 0)), E23)</f>
      </c>
    </row>
    <row r="24">
      <c r="A24" t="s">
        <v>396</v>
      </c>
      <c r="B24" t="str">
        <f>IFERROR(INDEX('8_Calc_Exp_ISIC'!$C$85:$C$126, MATCH($A24, '8_Calc_Exp_ISIC'!$A$85:$A$126, 0)), 0)</f>
      </c>
      <c r="C24" t="str">
        <f>IFERROR(INDEX('9_Output_by_ISIC'!$B$2:$B$43, MATCH($A24, '9_Output_by_ISIC'!$A$2:$A$43, 0)), 0)</f>
      </c>
      <c r="D24" t="str">
        <f>B24/MAX(C24, Keys!$C$4)</f>
      </c>
      <c r="E24" t="str">
        <f>MIN(1, MAX(0, D24))</f>
      </c>
      <c r="F24" t="str">
        <f>IFERROR(INDEX('9c_ESoP_overrides'!$B$2:$B$3, MATCH($A24, '9c_ESoP_overrides'!$A$2:$A$3, 0)), E24)</f>
      </c>
    </row>
    <row r="25">
      <c r="A25" t="s">
        <v>399</v>
      </c>
      <c r="B25" t="str">
        <f>IFERROR(INDEX('8_Calc_Exp_ISIC'!$C$85:$C$126, MATCH($A25, '8_Calc_Exp_ISIC'!$A$85:$A$126, 0)), 0)</f>
      </c>
      <c r="C25" t="str">
        <f>IFERROR(INDEX('9_Output_by_ISIC'!$B$2:$B$43, MATCH($A25, '9_Output_by_ISIC'!$A$2:$A$43, 0)), 0)</f>
      </c>
      <c r="D25" t="str">
        <f>B25/MAX(C25, Keys!$C$4)</f>
      </c>
      <c r="E25" t="str">
        <f>MIN(1, MAX(0, D25))</f>
      </c>
      <c r="F25" t="str">
        <f>IFERROR(INDEX('9c_ESoP_overrides'!$B$2:$B$3, MATCH($A25, '9c_ESoP_overrides'!$A$2:$A$3, 0)), E25)</f>
      </c>
    </row>
    <row r="26">
      <c r="A26" t="s">
        <v>402</v>
      </c>
      <c r="B26" t="str">
        <f>IFERROR(INDEX('8_Calc_Exp_ISIC'!$C$85:$C$126, MATCH($A26, '8_Calc_Exp_ISIC'!$A$85:$A$126, 0)), 0)</f>
      </c>
      <c r="C26" t="str">
        <f>IFERROR(INDEX('9_Output_by_ISIC'!$B$2:$B$43, MATCH($A26, '9_Output_by_ISIC'!$A$2:$A$43, 0)), 0)</f>
      </c>
      <c r="D26" t="str">
        <f>B26/MAX(C26, Keys!$C$4)</f>
      </c>
      <c r="E26" t="str">
        <f>MIN(1, MAX(0, D26))</f>
      </c>
      <c r="F26" t="str">
        <f>IFERROR(INDEX('9c_ESoP_overrides'!$B$2:$B$3, MATCH($A26, '9c_ESoP_overrides'!$A$2:$A$3, 0)), E26)</f>
      </c>
    </row>
    <row r="27">
      <c r="A27" t="s">
        <v>350</v>
      </c>
      <c r="B27" t="str">
        <f>IFERROR(INDEX('8_Calc_Exp_ISIC'!$C$85:$C$126, MATCH($A27, '8_Calc_Exp_ISIC'!$A$85:$A$126, 0)), 0)</f>
      </c>
      <c r="C27" t="str">
        <f>IFERROR(INDEX('9_Output_by_ISIC'!$B$2:$B$43, MATCH($A27, '9_Output_by_ISIC'!$A$2:$A$43, 0)), 0)</f>
      </c>
      <c r="D27" t="str">
        <f>B27/MAX(C27, Keys!$C$4)</f>
      </c>
      <c r="E27" t="str">
        <f>MIN(1, MAX(0, D27))</f>
      </c>
      <c r="F27" t="str">
        <f>IFERROR(INDEX('9c_ESoP_overrides'!$B$2:$B$3, MATCH($A27, '9c_ESoP_overrides'!$A$2:$A$3, 0)), E27)</f>
      </c>
    </row>
    <row r="28">
      <c r="A28" t="s">
        <v>353</v>
      </c>
      <c r="B28" t="str">
        <f>IFERROR(INDEX('8_Calc_Exp_ISIC'!$C$85:$C$126, MATCH($A28, '8_Calc_Exp_ISIC'!$A$85:$A$126, 0)), 0)</f>
      </c>
      <c r="C28" t="str">
        <f>IFERROR(INDEX('9_Output_by_ISIC'!$B$2:$B$43, MATCH($A28, '9_Output_by_ISIC'!$A$2:$A$43, 0)), 0)</f>
      </c>
      <c r="D28" t="str">
        <f>B28/MAX(C28, Keys!$C$4)</f>
      </c>
      <c r="E28" t="str">
        <f>MIN(1, MAX(0, D28))</f>
      </c>
      <c r="F28" t="str">
        <f>IFERROR(INDEX('9c_ESoP_overrides'!$B$2:$B$3, MATCH($A28, '9c_ESoP_overrides'!$A$2:$A$3, 0)), E28)</f>
      </c>
    </row>
    <row r="29">
      <c r="A29" t="s">
        <v>356</v>
      </c>
      <c r="B29" t="str">
        <f>IFERROR(INDEX('8_Calc_Exp_ISIC'!$C$85:$C$126, MATCH($A29, '8_Calc_Exp_ISIC'!$A$85:$A$126, 0)), 0)</f>
      </c>
      <c r="C29" t="str">
        <f>IFERROR(INDEX('9_Output_by_ISIC'!$B$2:$B$43, MATCH($A29, '9_Output_by_ISIC'!$A$2:$A$43, 0)), 0)</f>
      </c>
      <c r="D29" t="str">
        <f>B29/MAX(C29, Keys!$C$4)</f>
      </c>
      <c r="E29" t="str">
        <f>MIN(1, MAX(0, D29))</f>
      </c>
      <c r="F29" t="str">
        <f>IFERROR(INDEX('9c_ESoP_overrides'!$B$2:$B$3, MATCH($A29, '9c_ESoP_overrides'!$A$2:$A$3, 0)), E29)</f>
      </c>
    </row>
    <row r="30">
      <c r="A30" t="s">
        <v>360</v>
      </c>
      <c r="B30" t="str">
        <f>IFERROR(INDEX('8_Calc_Exp_ISIC'!$C$85:$C$126, MATCH($A30, '8_Calc_Exp_ISIC'!$A$85:$A$126, 0)), 0)</f>
      </c>
      <c r="C30" t="str">
        <f>IFERROR(INDEX('9_Output_by_ISIC'!$B$2:$B$43, MATCH($A30, '9_Output_by_ISIC'!$A$2:$A$43, 0)), 0)</f>
      </c>
      <c r="D30" t="str">
        <f>B30/MAX(C30, Keys!$C$4)</f>
      </c>
      <c r="E30" t="str">
        <f>MIN(1, MAX(0, D30))</f>
      </c>
      <c r="F30" t="str">
        <f>IFERROR(INDEX('9c_ESoP_overrides'!$B$2:$B$3, MATCH($A30, '9c_ESoP_overrides'!$A$2:$A$3, 0)), E30)</f>
      </c>
    </row>
    <row r="31">
      <c r="A31" t="s">
        <v>406</v>
      </c>
      <c r="B31" t="str">
        <f>IFERROR(INDEX('8_Calc_Exp_ISIC'!$C$85:$C$126, MATCH($A31, '8_Calc_Exp_ISIC'!$A$85:$A$126, 0)), 0)</f>
      </c>
      <c r="C31" t="str">
        <f>IFERROR(INDEX('9_Output_by_ISIC'!$B$2:$B$43, MATCH($A31, '9_Output_by_ISIC'!$A$2:$A$43, 0)), 0)</f>
      </c>
      <c r="D31" t="str">
        <f>B31/MAX(C31, Keys!$C$4)</f>
      </c>
      <c r="E31" t="str">
        <f>MIN(1, MAX(0, D31))</f>
      </c>
      <c r="F31" t="str">
        <f>IFERROR(INDEX('9c_ESoP_overrides'!$B$2:$B$3, MATCH($A31, '9c_ESoP_overrides'!$A$2:$A$3, 0)), E31)</f>
      </c>
    </row>
    <row r="32">
      <c r="A32" t="s">
        <v>413</v>
      </c>
      <c r="B32" t="str">
        <f>IFERROR(INDEX('8_Calc_Exp_ISIC'!$C$85:$C$126, MATCH($A32, '8_Calc_Exp_ISIC'!$A$85:$A$126, 0)), 0)</f>
      </c>
      <c r="C32" t="str">
        <f>IFERROR(INDEX('9_Output_by_ISIC'!$B$2:$B$43, MATCH($A32, '9_Output_by_ISIC'!$A$2:$A$43, 0)), 0)</f>
      </c>
      <c r="D32" t="str">
        <f>B32/MAX(C32, Keys!$C$4)</f>
      </c>
      <c r="E32" t="str">
        <f>MIN(1, MAX(0, D32))</f>
      </c>
      <c r="F32" t="str">
        <f>IFERROR(INDEX('9c_ESoP_overrides'!$B$2:$B$3, MATCH($A32, '9c_ESoP_overrides'!$A$2:$A$3, 0)), E32)</f>
      </c>
    </row>
    <row r="33">
      <c r="A33" t="s">
        <v>470</v>
      </c>
      <c r="B33" t="str">
        <f>IFERROR(INDEX('8_Calc_Exp_ISIC'!$C$85:$C$126, MATCH($A33, '8_Calc_Exp_ISIC'!$A$85:$A$126, 0)), 0)</f>
      </c>
      <c r="C33" t="str">
        <f>IFERROR(INDEX('9_Output_by_ISIC'!$B$2:$B$43, MATCH($A33, '9_Output_by_ISIC'!$A$2:$A$43, 0)), 0)</f>
      </c>
      <c r="D33" t="str">
        <f>B33/MAX(C33, Keys!$C$4)</f>
      </c>
      <c r="E33" t="str">
        <f>MIN(1, MAX(0, D33))</f>
      </c>
      <c r="F33" t="str">
        <f>IFERROR(INDEX('9c_ESoP_overrides'!$B$2:$B$3, MATCH($A33, '9c_ESoP_overrides'!$A$2:$A$3, 0)), E33)</f>
      </c>
    </row>
    <row r="34">
      <c r="A34" t="s">
        <v>425</v>
      </c>
      <c r="B34" t="str">
        <f>IFERROR(INDEX('8_Calc_Exp_ISIC'!$C$85:$C$126, MATCH($A34, '8_Calc_Exp_ISIC'!$A$85:$A$126, 0)), 0)</f>
      </c>
      <c r="C34" t="str">
        <f>IFERROR(INDEX('9_Output_by_ISIC'!$B$2:$B$43, MATCH($A34, '9_Output_by_ISIC'!$A$2:$A$43, 0)), 0)</f>
      </c>
      <c r="D34" t="str">
        <f>B34/MAX(C34, Keys!$C$4)</f>
      </c>
      <c r="E34" t="str">
        <f>MIN(1, MAX(0, D34))</f>
      </c>
      <c r="F34" t="str">
        <f>IFERROR(INDEX('9c_ESoP_overrides'!$B$2:$B$3, MATCH($A34, '9c_ESoP_overrides'!$A$2:$A$3, 0)), E34)</f>
      </c>
    </row>
    <row r="35">
      <c r="A35" t="s">
        <v>177</v>
      </c>
      <c r="B35" t="str">
        <f>IFERROR(INDEX('8_Calc_Exp_ISIC'!$C$85:$C$126, MATCH($A35, '8_Calc_Exp_ISIC'!$A$85:$A$126, 0)), 0)</f>
      </c>
      <c r="C35" t="str">
        <f>IFERROR(INDEX('9_Output_by_ISIC'!$B$2:$B$43, MATCH($A35, '9_Output_by_ISIC'!$A$2:$A$43, 0)), 0)</f>
      </c>
      <c r="D35" t="str">
        <f>B35/MAX(C35, Keys!$C$4)</f>
      </c>
      <c r="E35" t="str">
        <f>MIN(1, MAX(0, D35))</f>
      </c>
      <c r="F35" t="str">
        <f>IFERROR(INDEX('9c_ESoP_overrides'!$B$2:$B$3, MATCH($A35, '9c_ESoP_overrides'!$A$2:$A$3, 0)), E35)</f>
      </c>
    </row>
    <row r="36">
      <c r="A36" t="s">
        <v>432</v>
      </c>
      <c r="B36" t="str">
        <f>IFERROR(INDEX('8_Calc_Exp_ISIC'!$C$85:$C$126, MATCH($A36, '8_Calc_Exp_ISIC'!$A$85:$A$126, 0)), 0)</f>
      </c>
      <c r="C36" t="str">
        <f>IFERROR(INDEX('9_Output_by_ISIC'!$B$2:$B$43, MATCH($A36, '9_Output_by_ISIC'!$A$2:$A$43, 0)), 0)</f>
      </c>
      <c r="D36" t="str">
        <f>B36/MAX(C36, Keys!$C$4)</f>
      </c>
      <c r="E36" t="str">
        <f>MIN(1, MAX(0, D36))</f>
      </c>
      <c r="F36" t="str">
        <f>IFERROR(INDEX('9c_ESoP_overrides'!$B$2:$B$3, MATCH($A36, '9c_ESoP_overrides'!$A$2:$A$3, 0)), E36)</f>
      </c>
    </row>
    <row r="37">
      <c r="A37" t="s">
        <v>435</v>
      </c>
      <c r="B37" t="str">
        <f>IFERROR(INDEX('8_Calc_Exp_ISIC'!$C$85:$C$126, MATCH($A37, '8_Calc_Exp_ISIC'!$A$85:$A$126, 0)), 0)</f>
      </c>
      <c r="C37" t="str">
        <f>IFERROR(INDEX('9_Output_by_ISIC'!$B$2:$B$43, MATCH($A37, '9_Output_by_ISIC'!$A$2:$A$43, 0)), 0)</f>
      </c>
      <c r="D37" t="str">
        <f>B37/MAX(C37, Keys!$C$4)</f>
      </c>
      <c r="E37" t="str">
        <f>MIN(1, MAX(0, D37))</f>
      </c>
      <c r="F37" t="str">
        <f>IFERROR(INDEX('9c_ESoP_overrides'!$B$2:$B$3, MATCH($A37, '9c_ESoP_overrides'!$A$2:$A$3, 0)), E37)</f>
      </c>
    </row>
    <row r="38">
      <c r="A38" t="s">
        <v>441</v>
      </c>
      <c r="B38" t="str">
        <f>IFERROR(INDEX('8_Calc_Exp_ISIC'!$C$85:$C$126, MATCH($A38, '8_Calc_Exp_ISIC'!$A$85:$A$126, 0)), 0)</f>
      </c>
      <c r="C38" t="str">
        <f>IFERROR(INDEX('9_Output_by_ISIC'!$B$2:$B$43, MATCH($A38, '9_Output_by_ISIC'!$A$2:$A$43, 0)), 0)</f>
      </c>
      <c r="D38" t="str">
        <f>B38/MAX(C38, Keys!$C$4)</f>
      </c>
      <c r="E38" t="str">
        <f>MIN(1, MAX(0, D38))</f>
      </c>
      <c r="F38" t="str">
        <f>IFERROR(INDEX('9c_ESoP_overrides'!$B$2:$B$3, MATCH($A38, '9c_ESoP_overrides'!$A$2:$A$3, 0)), E38)</f>
      </c>
    </row>
    <row r="39">
      <c r="A39" t="s">
        <v>445</v>
      </c>
      <c r="B39" t="str">
        <f>IFERROR(INDEX('8_Calc_Exp_ISIC'!$C$85:$C$126, MATCH($A39, '8_Calc_Exp_ISIC'!$A$85:$A$126, 0)), 0)</f>
      </c>
      <c r="C39" t="str">
        <f>IFERROR(INDEX('9_Output_by_ISIC'!$B$2:$B$43, MATCH($A39, '9_Output_by_ISIC'!$A$2:$A$43, 0)), 0)</f>
      </c>
      <c r="D39" t="str">
        <f>B39/MAX(C39, Keys!$C$4)</f>
      </c>
      <c r="E39" t="str">
        <f>MIN(1, MAX(0, D39))</f>
      </c>
      <c r="F39" t="str">
        <f>IFERROR(INDEX('9c_ESoP_overrides'!$B$2:$B$3, MATCH($A39, '9c_ESoP_overrides'!$A$2:$A$3, 0)), E39)</f>
      </c>
    </row>
    <row r="40">
      <c r="A40" t="s">
        <v>475</v>
      </c>
      <c r="B40" t="str">
        <f>IFERROR(INDEX('8_Calc_Exp_ISIC'!$C$85:$C$126, MATCH($A40, '8_Calc_Exp_ISIC'!$A$85:$A$126, 0)), 0)</f>
      </c>
      <c r="C40" t="str">
        <f>IFERROR(INDEX('9_Output_by_ISIC'!$B$2:$B$43, MATCH($A40, '9_Output_by_ISIC'!$A$2:$A$43, 0)), 0)</f>
      </c>
      <c r="D40" t="str">
        <f>B40/MAX(C40, Keys!$C$4)</f>
      </c>
      <c r="E40" t="str">
        <f>MIN(1, MAX(0, D40))</f>
      </c>
      <c r="F40" t="str">
        <f>IFERROR(INDEX('9c_ESoP_overrides'!$B$2:$B$3, MATCH($A40, '9c_ESoP_overrides'!$A$2:$A$3, 0)), E40)</f>
      </c>
    </row>
    <row r="41">
      <c r="A41" t="s">
        <v>457</v>
      </c>
      <c r="B41" t="str">
        <f>IFERROR(INDEX('8_Calc_Exp_ISIC'!$C$85:$C$126, MATCH($A41, '8_Calc_Exp_ISIC'!$A$85:$A$126, 0)), 0)</f>
      </c>
      <c r="C41" t="str">
        <f>IFERROR(INDEX('9_Output_by_ISIC'!$B$2:$B$43, MATCH($A41, '9_Output_by_ISIC'!$A$2:$A$43, 0)), 0)</f>
      </c>
      <c r="D41" t="str">
        <f>B41/MAX(C41, Keys!$C$4)</f>
      </c>
      <c r="E41" t="str">
        <f>MIN(1, MAX(0, D41))</f>
      </c>
      <c r="F41" t="str">
        <f>IFERROR(INDEX('9c_ESoP_overrides'!$B$2:$B$3, MATCH($A41, '9c_ESoP_overrides'!$A$2:$A$3, 0)), E41)</f>
      </c>
    </row>
    <row r="42">
      <c r="A42" t="s">
        <v>460</v>
      </c>
      <c r="B42" t="str">
        <f>IFERROR(INDEX('8_Calc_Exp_ISIC'!$C$85:$C$126, MATCH($A42, '8_Calc_Exp_ISIC'!$A$85:$A$126, 0)), 0)</f>
      </c>
      <c r="C42" t="str">
        <f>IFERROR(INDEX('9_Output_by_ISIC'!$B$2:$B$43, MATCH($A42, '9_Output_by_ISIC'!$A$2:$A$43, 0)), 0)</f>
      </c>
      <c r="D42" t="str">
        <f>B42/MAX(C42, Keys!$C$4)</f>
      </c>
      <c r="E42" t="str">
        <f>MIN(1, MAX(0, D42))</f>
      </c>
      <c r="F42" t="str">
        <f>IFERROR(INDEX('9c_ESoP_overrides'!$B$2:$B$3, MATCH($A42, '9c_ESoP_overrides'!$A$2:$A$3, 0)), E42)</f>
      </c>
    </row>
    <row r="43">
      <c r="A43" t="s">
        <v>466</v>
      </c>
      <c r="B43" t="str">
        <f>IFERROR(INDEX('8_Calc_Exp_ISIC'!$C$85:$C$126, MATCH($A43, '8_Calc_Exp_ISIC'!$A$85:$A$126, 0)), 0)</f>
      </c>
      <c r="C43" t="str">
        <f>IFERROR(INDEX('9_Output_by_ISIC'!$B$2:$B$43, MATCH($A43, '9_Output_by_ISIC'!$A$2:$A$43, 0)), 0)</f>
      </c>
      <c r="D43" t="str">
        <f>B43/MAX(C43, Keys!$C$4)</f>
      </c>
      <c r="E43" t="str">
        <f>MIN(1, MAX(0, D43))</f>
      </c>
      <c r="F43" t="str">
        <f>IFERROR(INDEX('9c_ESoP_overrides'!$B$2:$B$3, MATCH($A43, '9c_ESoP_overrides'!$A$2:$A$3, 0)), E43)</f>
      </c>
    </row>
    <row r="44">
      <c r="A44" t="s">
        <v>583</v>
      </c>
      <c r="B44" t="str">
        <f>IFERROR(INDEX('8_Calc_Exp_ISIC'!$C$85:$C$126, MATCH($A44, '8_Calc_Exp_ISIC'!$A$85:$A$126, 0)), 0)</f>
      </c>
      <c r="C44" t="str">
        <f>IFERROR(INDEX('9_Output_by_ISIC'!$B$2:$B$43, MATCH($A44, '9_Output_by_ISIC'!$A$2:$A$43, 0)), 0)</f>
      </c>
      <c r="D44" t="str">
        <f>B44/MAX(C44, Keys!$C$4)</f>
      </c>
      <c r="E44" t="str">
        <f>MIN(1, MAX(0, D44))</f>
      </c>
      <c r="F44" t="str">
        <f>IFERROR(INDEX('9c_ESoP_overrides'!$B$2:$B$3, MATCH($A44, '9c_ESoP_overrides'!$A$2:$A$3,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611</v>
      </c>
      <c r="B2" t="str">
        <f>INDEX('10_Calc_DCS_ratio'!$F$3:$F$44, MATCH(B$1, '10_Calc_DCS_ratio'!$A$3:$A$44, 0))</f>
      </c>
      <c r="C2" t="str">
        <f>INDEX('10_Calc_DCS_ratio'!$F$3:$F$44, MATCH(C$1, '10_Calc_DCS_ratio'!$A$3:$A$44, 0))</f>
      </c>
      <c r="D2" t="str">
        <f>INDEX('10_Calc_DCS_ratio'!$F$3:$F$44, MATCH(D$1, '10_Calc_DCS_ratio'!$A$3:$A$44, 0))</f>
      </c>
      <c r="E2" t="str">
        <f>INDEX('10_Calc_DCS_ratio'!$F$3:$F$44, MATCH(E$1, '10_Calc_DCS_ratio'!$A$3:$A$44, 0))</f>
      </c>
      <c r="F2" t="str">
        <f>INDEX('10_Calc_DCS_ratio'!$F$3:$F$44, MATCH(F$1, '10_Calc_DCS_ratio'!$A$3:$A$44, 0))</f>
      </c>
      <c r="G2" t="str">
        <f>INDEX('10_Calc_DCS_ratio'!$F$3:$F$44, MATCH(G$1, '10_Calc_DCS_ratio'!$A$3:$A$44, 0))</f>
      </c>
      <c r="H2" t="str">
        <f>INDEX('10_Calc_DCS_ratio'!$F$3:$F$44, MATCH(H$1, '10_Calc_DCS_ratio'!$A$3:$A$44, 0))</f>
      </c>
      <c r="I2" t="str">
        <f>INDEX('10_Calc_DCS_ratio'!$F$3:$F$44, MATCH(I$1, '10_Calc_DCS_ratio'!$A$3:$A$44, 0))</f>
      </c>
      <c r="J2" t="str">
        <f>INDEX('10_Calc_DCS_ratio'!$F$3:$F$44, MATCH(J$1, '10_Calc_DCS_ratio'!$A$3:$A$44, 0))</f>
      </c>
      <c r="K2" t="str">
        <f>INDEX('10_Calc_DCS_ratio'!$F$3:$F$44, MATCH(K$1, '10_Calc_DCS_ratio'!$A$3:$A$44, 0))</f>
      </c>
      <c r="L2" t="str">
        <f>INDEX('10_Calc_DCS_ratio'!$F$3:$F$44, MATCH(L$1, '10_Calc_DCS_ratio'!$A$3:$A$44, 0))</f>
      </c>
      <c r="M2" t="str">
        <f>INDEX('10_Calc_DCS_ratio'!$F$3:$F$44, MATCH(M$1, '10_Calc_DCS_ratio'!$A$3:$A$44, 0))</f>
      </c>
      <c r="N2" t="str">
        <f>INDEX('10_Calc_DCS_ratio'!$F$3:$F$44, MATCH(N$1, '10_Calc_DCS_ratio'!$A$3:$A$44, 0))</f>
      </c>
      <c r="O2" t="str">
        <f>INDEX('10_Calc_DCS_ratio'!$F$3:$F$44, MATCH(O$1, '10_Calc_DCS_ratio'!$A$3:$A$44, 0))</f>
      </c>
      <c r="P2" t="str">
        <f>INDEX('10_Calc_DCS_ratio'!$F$3:$F$44, MATCH(P$1, '10_Calc_DCS_ratio'!$A$3:$A$44, 0))</f>
      </c>
      <c r="Q2" t="str">
        <f>INDEX('10_Calc_DCS_ratio'!$F$3:$F$44, MATCH(Q$1, '10_Calc_DCS_ratio'!$A$3:$A$44, 0))</f>
      </c>
      <c r="R2" t="str">
        <f>INDEX('10_Calc_DCS_ratio'!$F$3:$F$44, MATCH(R$1, '10_Calc_DCS_ratio'!$A$3:$A$44, 0))</f>
      </c>
      <c r="S2" t="str">
        <f>INDEX('10_Calc_DCS_ratio'!$F$3:$F$44, MATCH(S$1, '10_Calc_DCS_ratio'!$A$3:$A$44, 0))</f>
      </c>
      <c r="T2" t="str">
        <f>INDEX('10_Calc_DCS_ratio'!$F$3:$F$44, MATCH(T$1, '10_Calc_DCS_ratio'!$A$3:$A$44, 0))</f>
      </c>
      <c r="U2" t="str">
        <f>INDEX('10_Calc_DCS_ratio'!$F$3:$F$44, MATCH(U$1, '10_Calc_DCS_ratio'!$A$3:$A$44, 0))</f>
      </c>
      <c r="V2" t="str">
        <f>INDEX('10_Calc_DCS_ratio'!$F$3:$F$44, MATCH(V$1, '10_Calc_DCS_ratio'!$A$3:$A$44, 0))</f>
      </c>
      <c r="W2" t="str">
        <f>INDEX('10_Calc_DCS_ratio'!$F$3:$F$44, MATCH(W$1, '10_Calc_DCS_ratio'!$A$3:$A$44, 0))</f>
      </c>
      <c r="X2" t="str">
        <f>INDEX('10_Calc_DCS_ratio'!$F$3:$F$44, MATCH(X$1, '10_Calc_DCS_ratio'!$A$3:$A$44, 0))</f>
      </c>
      <c r="Y2" t="str">
        <f>INDEX('10_Calc_DCS_ratio'!$F$3:$F$44, MATCH(Y$1, '10_Calc_DCS_ratio'!$A$3:$A$44, 0))</f>
      </c>
      <c r="Z2" t="str">
        <f>INDEX('10_Calc_DCS_ratio'!$F$3:$F$44, MATCH(Z$1, '10_Calc_DCS_ratio'!$A$3:$A$44, 0))</f>
      </c>
      <c r="AA2" t="str">
        <f>INDEX('10_Calc_DCS_ratio'!$F$3:$F$44, MATCH(AA$1, '10_Calc_DCS_ratio'!$A$3:$A$44, 0))</f>
      </c>
      <c r="AB2" t="str">
        <f>INDEX('10_Calc_DCS_ratio'!$F$3:$F$44, MATCH(AB$1, '10_Calc_DCS_ratio'!$A$3:$A$44, 0))</f>
      </c>
      <c r="AC2" t="str">
        <f>INDEX('10_Calc_DCS_ratio'!$F$3:$F$44, MATCH(AC$1, '10_Calc_DCS_ratio'!$A$3:$A$44, 0))</f>
      </c>
      <c r="AD2" t="str">
        <f>INDEX('10_Calc_DCS_ratio'!$F$3:$F$44, MATCH(AD$1, '10_Calc_DCS_ratio'!$A$3:$A$44, 0))</f>
      </c>
      <c r="AE2" t="str">
        <f>INDEX('10_Calc_DCS_ratio'!$F$3:$F$44, MATCH(AE$1, '10_Calc_DCS_ratio'!$A$3:$A$44, 0))</f>
      </c>
      <c r="AF2" t="str">
        <f>INDEX('10_Calc_DCS_ratio'!$F$3:$F$44, MATCH(AF$1, '10_Calc_DCS_ratio'!$A$3:$A$44, 0))</f>
      </c>
      <c r="AG2" t="str">
        <f>INDEX('10_Calc_DCS_ratio'!$F$3:$F$44, MATCH(AG$1, '10_Calc_DCS_ratio'!$A$3:$A$44, 0))</f>
      </c>
      <c r="AH2" t="str">
        <f>INDEX('10_Calc_DCS_ratio'!$F$3:$F$44, MATCH(AH$1, '10_Calc_DCS_ratio'!$A$3:$A$44, 0))</f>
      </c>
      <c r="AI2" t="str">
        <f>INDEX('10_Calc_DCS_ratio'!$F$3:$F$44, MATCH(AI$1, '10_Calc_DCS_ratio'!$A$3:$A$44, 0))</f>
      </c>
      <c r="AJ2" t="str">
        <f>INDEX('10_Calc_DCS_ratio'!$F$3:$F$44, MATCH(AJ$1, '10_Calc_DCS_ratio'!$A$3:$A$44, 0))</f>
      </c>
      <c r="AK2" t="str">
        <f>INDEX('10_Calc_DCS_ratio'!$F$3:$F$44, MATCH(AK$1, '10_Calc_DCS_ratio'!$A$3:$A$44, 0))</f>
      </c>
      <c r="AL2" t="str">
        <f>INDEX('10_Calc_DCS_ratio'!$F$3:$F$44, MATCH(AL$1, '10_Calc_DCS_ratio'!$A$3:$A$44, 0))</f>
      </c>
      <c r="AM2" t="str">
        <f>INDEX('10_Calc_DCS_ratio'!$F$3:$F$44, MATCH(AM$1, '10_Calc_DCS_ratio'!$A$3:$A$44, 0))</f>
      </c>
      <c r="AN2" t="str">
        <f>INDEX('10_Calc_DCS_ratio'!$F$3:$F$44, MATCH(AN$1, '10_Calc_DCS_ratio'!$A$3:$A$44, 0))</f>
      </c>
      <c r="AO2" t="str">
        <f>INDEX('10_Calc_DCS_ratio'!$F$3:$F$44, MATCH(AO$1, '10_Calc_DCS_ratio'!$A$3:$A$44, 0))</f>
      </c>
      <c r="AP2" t="str">
        <f>INDEX('10_Calc_DCS_ratio'!$F$3:$F$44, MATCH(AP$1, '10_Calc_DCS_ratio'!$A$3:$A$44, 0))</f>
      </c>
      <c r="AQ2" t="str">
        <f>INDEX('10_Calc_DCS_ratio'!$F$3:$F$44, MATCH(AQ$1, '10_Calc_DCS_ratio'!$A$3:$A$44,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612</v>
      </c>
      <c r="B2" t="str">
        <f>INDEX('11_Calc_ESoP_ratio'!$F$3:$F$44, MATCH(B$1, '11_Calc_ESoP_ratio'!$A$3:$A$44, 0))</f>
      </c>
      <c r="C2" t="str">
        <f>INDEX('11_Calc_ESoP_ratio'!$F$3:$F$44, MATCH(C$1, '11_Calc_ESoP_ratio'!$A$3:$A$44, 0))</f>
      </c>
      <c r="D2" t="str">
        <f>INDEX('11_Calc_ESoP_ratio'!$F$3:$F$44, MATCH(D$1, '11_Calc_ESoP_ratio'!$A$3:$A$44, 0))</f>
      </c>
      <c r="E2" t="str">
        <f>INDEX('11_Calc_ESoP_ratio'!$F$3:$F$44, MATCH(E$1, '11_Calc_ESoP_ratio'!$A$3:$A$44, 0))</f>
      </c>
      <c r="F2" t="str">
        <f>INDEX('11_Calc_ESoP_ratio'!$F$3:$F$44, MATCH(F$1, '11_Calc_ESoP_ratio'!$A$3:$A$44, 0))</f>
      </c>
      <c r="G2" t="str">
        <f>INDEX('11_Calc_ESoP_ratio'!$F$3:$F$44, MATCH(G$1, '11_Calc_ESoP_ratio'!$A$3:$A$44, 0))</f>
      </c>
      <c r="H2" t="str">
        <f>INDEX('11_Calc_ESoP_ratio'!$F$3:$F$44, MATCH(H$1, '11_Calc_ESoP_ratio'!$A$3:$A$44, 0))</f>
      </c>
      <c r="I2" t="str">
        <f>INDEX('11_Calc_ESoP_ratio'!$F$3:$F$44, MATCH(I$1, '11_Calc_ESoP_ratio'!$A$3:$A$44, 0))</f>
      </c>
      <c r="J2" t="str">
        <f>INDEX('11_Calc_ESoP_ratio'!$F$3:$F$44, MATCH(J$1, '11_Calc_ESoP_ratio'!$A$3:$A$44, 0))</f>
      </c>
      <c r="K2" t="str">
        <f>INDEX('11_Calc_ESoP_ratio'!$F$3:$F$44, MATCH(K$1, '11_Calc_ESoP_ratio'!$A$3:$A$44, 0))</f>
      </c>
      <c r="L2" t="str">
        <f>INDEX('11_Calc_ESoP_ratio'!$F$3:$F$44, MATCH(L$1, '11_Calc_ESoP_ratio'!$A$3:$A$44, 0))</f>
      </c>
      <c r="M2" t="str">
        <f>INDEX('11_Calc_ESoP_ratio'!$F$3:$F$44, MATCH(M$1, '11_Calc_ESoP_ratio'!$A$3:$A$44, 0))</f>
      </c>
      <c r="N2" t="str">
        <f>INDEX('11_Calc_ESoP_ratio'!$F$3:$F$44, MATCH(N$1, '11_Calc_ESoP_ratio'!$A$3:$A$44, 0))</f>
      </c>
      <c r="O2" t="str">
        <f>INDEX('11_Calc_ESoP_ratio'!$F$3:$F$44, MATCH(O$1, '11_Calc_ESoP_ratio'!$A$3:$A$44, 0))</f>
      </c>
      <c r="P2" t="str">
        <f>INDEX('11_Calc_ESoP_ratio'!$F$3:$F$44, MATCH(P$1, '11_Calc_ESoP_ratio'!$A$3:$A$44, 0))</f>
      </c>
      <c r="Q2" t="str">
        <f>INDEX('11_Calc_ESoP_ratio'!$F$3:$F$44, MATCH(Q$1, '11_Calc_ESoP_ratio'!$A$3:$A$44, 0))</f>
      </c>
      <c r="R2" t="str">
        <f>INDEX('11_Calc_ESoP_ratio'!$F$3:$F$44, MATCH(R$1, '11_Calc_ESoP_ratio'!$A$3:$A$44, 0))</f>
      </c>
      <c r="S2" t="str">
        <f>INDEX('11_Calc_ESoP_ratio'!$F$3:$F$44, MATCH(S$1, '11_Calc_ESoP_ratio'!$A$3:$A$44, 0))</f>
      </c>
      <c r="T2" t="str">
        <f>INDEX('11_Calc_ESoP_ratio'!$F$3:$F$44, MATCH(T$1, '11_Calc_ESoP_ratio'!$A$3:$A$44, 0))</f>
      </c>
      <c r="U2" t="str">
        <f>INDEX('11_Calc_ESoP_ratio'!$F$3:$F$44, MATCH(U$1, '11_Calc_ESoP_ratio'!$A$3:$A$44, 0))</f>
      </c>
      <c r="V2" t="str">
        <f>INDEX('11_Calc_ESoP_ratio'!$F$3:$F$44, MATCH(V$1, '11_Calc_ESoP_ratio'!$A$3:$A$44, 0))</f>
      </c>
      <c r="W2" t="str">
        <f>INDEX('11_Calc_ESoP_ratio'!$F$3:$F$44, MATCH(W$1, '11_Calc_ESoP_ratio'!$A$3:$A$44, 0))</f>
      </c>
      <c r="X2" t="str">
        <f>INDEX('11_Calc_ESoP_ratio'!$F$3:$F$44, MATCH(X$1, '11_Calc_ESoP_ratio'!$A$3:$A$44, 0))</f>
      </c>
      <c r="Y2" t="str">
        <f>INDEX('11_Calc_ESoP_ratio'!$F$3:$F$44, MATCH(Y$1, '11_Calc_ESoP_ratio'!$A$3:$A$44, 0))</f>
      </c>
      <c r="Z2" t="str">
        <f>INDEX('11_Calc_ESoP_ratio'!$F$3:$F$44, MATCH(Z$1, '11_Calc_ESoP_ratio'!$A$3:$A$44, 0))</f>
      </c>
      <c r="AA2" t="str">
        <f>INDEX('11_Calc_ESoP_ratio'!$F$3:$F$44, MATCH(AA$1, '11_Calc_ESoP_ratio'!$A$3:$A$44, 0))</f>
      </c>
      <c r="AB2" t="str">
        <f>INDEX('11_Calc_ESoP_ratio'!$F$3:$F$44, MATCH(AB$1, '11_Calc_ESoP_ratio'!$A$3:$A$44, 0))</f>
      </c>
      <c r="AC2" t="str">
        <f>INDEX('11_Calc_ESoP_ratio'!$F$3:$F$44, MATCH(AC$1, '11_Calc_ESoP_ratio'!$A$3:$A$44, 0))</f>
      </c>
      <c r="AD2" t="str">
        <f>INDEX('11_Calc_ESoP_ratio'!$F$3:$F$44, MATCH(AD$1, '11_Calc_ESoP_ratio'!$A$3:$A$44, 0))</f>
      </c>
      <c r="AE2" t="str">
        <f>INDEX('11_Calc_ESoP_ratio'!$F$3:$F$44, MATCH(AE$1, '11_Calc_ESoP_ratio'!$A$3:$A$44, 0))</f>
      </c>
      <c r="AF2" t="str">
        <f>INDEX('11_Calc_ESoP_ratio'!$F$3:$F$44, MATCH(AF$1, '11_Calc_ESoP_ratio'!$A$3:$A$44, 0))</f>
      </c>
      <c r="AG2" t="str">
        <f>INDEX('11_Calc_ESoP_ratio'!$F$3:$F$44, MATCH(AG$1, '11_Calc_ESoP_ratio'!$A$3:$A$44, 0))</f>
      </c>
      <c r="AH2" t="str">
        <f>INDEX('11_Calc_ESoP_ratio'!$F$3:$F$44, MATCH(AH$1, '11_Calc_ESoP_ratio'!$A$3:$A$44, 0))</f>
      </c>
      <c r="AI2" t="str">
        <f>INDEX('11_Calc_ESoP_ratio'!$F$3:$F$44, MATCH(AI$1, '11_Calc_ESoP_ratio'!$A$3:$A$44, 0))</f>
      </c>
      <c r="AJ2" t="str">
        <f>INDEX('11_Calc_ESoP_ratio'!$F$3:$F$44, MATCH(AJ$1, '11_Calc_ESoP_ratio'!$A$3:$A$44, 0))</f>
      </c>
      <c r="AK2" t="str">
        <f>INDEX('11_Calc_ESoP_ratio'!$F$3:$F$44, MATCH(AK$1, '11_Calc_ESoP_ratio'!$A$3:$A$44, 0))</f>
      </c>
      <c r="AL2" t="str">
        <f>INDEX('11_Calc_ESoP_ratio'!$F$3:$F$44, MATCH(AL$1, '11_Calc_ESoP_ratio'!$A$3:$A$44, 0))</f>
      </c>
      <c r="AM2" t="str">
        <f>INDEX('11_Calc_ESoP_ratio'!$F$3:$F$44, MATCH(AM$1, '11_Calc_ESoP_ratio'!$A$3:$A$44, 0))</f>
      </c>
      <c r="AN2" t="str">
        <f>INDEX('11_Calc_ESoP_ratio'!$F$3:$F$44, MATCH(AN$1, '11_Calc_ESoP_ratio'!$A$3:$A$44, 0))</f>
      </c>
      <c r="AO2" t="str">
        <f>INDEX('11_Calc_ESoP_ratio'!$F$3:$F$44, MATCH(AO$1, '11_Calc_ESoP_ratio'!$A$3:$A$44, 0))</f>
      </c>
      <c r="AP2" t="str">
        <f>INDEX('11_Calc_ESoP_ratio'!$F$3:$F$44, MATCH(AP$1, '11_Calc_ESoP_ratio'!$A$3:$A$44, 0))</f>
      </c>
      <c r="AQ2" t="str">
        <f>INDEX('11_Calc_ESoP_ratio'!$F$3:$F$44, MATCH(AQ$1, '11_Calc_ESoP_ratio'!$A$3:$A$44,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2026-07-17T19:26:03Z</dcterms:created>
</coreProperties>
</file>