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bout" sheetId="1" state="visible" r:id="rId1"/>
    <sheet name="Keys" sheetId="2" state="visible" r:id="rId2"/>
    <sheet name="1_Source_IndustryOutput" sheetId="3" state="visible" r:id="rId3"/>
    <sheet name="Src_Stateior_SoI_Make" sheetId="4" state="visible" r:id="rId4"/>
    <sheet name="Src_Disagg_EIA_coal" sheetId="5" state="visible" r:id="rId5"/>
    <sheet name="Src_Disagg_heuristics" sheetId="6" state="visible" r:id="rId6"/>
    <sheet name="Crosswalk_BEA_to_ISIC" sheetId="7" state="visible" r:id="rId7"/>
    <sheet name="State_disagg_splits" sheetId="8" state="visible" r:id="rId8"/>
    <sheet name="NAICS_to_ISIC_Key" sheetId="9" state="visible" r:id="rId9"/>
    <sheet name="5_Calc_ISIC_aggregation" sheetId="10" state="visible" r:id="rId10"/>
    <sheet name="BObIC" sheetId="11" state="visible" r:id="rId11"/>
  </sheets>
  <calcPr calcId="191029" fullCalcOnLoad="1"/>
</workbook>
</file>

<file path=xl/sharedStrings.xml><?xml version="1.0" encoding="utf-8"?>
<sst xmlns="http://schemas.openxmlformats.org/spreadsheetml/2006/main" count="583" uniqueCount="583">
  <si>
    <t xml:space="preserve">BObIC - BAU Output by ISIC Code</t>
  </si>
  <si>
    <t xml:space="preserve"/>
  </si>
  <si>
    <t xml:space="preserve">State: Oklahoma (OK)    Base year: 2019    Pipeline: EPS IO Pipeline — stateior-based</t>
  </si>
  <si>
    <t xml:space="preserve">Deflator: 2019 USD -&gt; 2012 USD = 1.12266 (BEA chained GDP price index; 2012 = 100.000, 2019 = 112.266)</t>
  </si>
  <si>
    <t xml:space="preserve">=========================================================</t>
  </si>
  <si>
    <t xml:space="preserve">Methodology</t>
  </si>
  <si>
    <t xml:space="preserve">State industry output is pulled directly from EPA stateior's two-region</t>
  </si>
  <si>
    <t xml:space="preserve">(State of Interest vs. Rest of US) MRIO accounts, at BEA Summary sector</t>
  </si>
  <si>
    <t xml:space="preserve">resolution. Stateior combines BEA national Make/Use tables with FAF</t>
  </si>
  <si>
    <t xml:space="preserve">(Freight Analysis Framework) for goods trade and cluster-based RPC</t>
  </si>
  <si>
    <t xml:space="preserve">estimation for services to construct state-level output by industry.</t>
  </si>
  <si>
    <t xml:space="preserve">BEA Summary codes are aggregated to the 42-ISIC scheme via the canonical</t>
  </si>
  <si>
    <t xml:space="preserve">crosswalk (see 'Crosswalk_BEA_to_ISIC' tab). Five BEA Summary sectors</t>
  </si>
  <si>
    <t xml:space="preserve">(22 utilities, 212 mining, 325 chemicals, 327 nonmetallic, 331 primary</t>
  </si>
  <si>
    <t xml:space="preserve">metals, 513 broadcasting/telecom) are disaggregated to the finer ISIC</t>
  </si>
  <si>
    <t xml:space="preserve">children using state-specific ratios (see 'State_disagg_splits' tab).</t>
  </si>
  <si>
    <t xml:space="preserve">Values are deflated from stateior's nominal 2019 USD to 2012 USD to</t>
  </si>
  <si>
    <t xml:space="preserve">match the EPS convention.</t>
  </si>
  <si>
    <t xml:space="preserve">In-workbook derivation</t>
  </si>
  <si>
    <t xml:space="preserve">----------------------</t>
  </si>
  <si>
    <t xml:space="preserve">The output tab is computed by Excel formulas, not pasted values. On the calc</t>
  </si>
  <si>
    <t xml:space="preserve">tab, STEP 1 pulls each BEA Summary value from the source tab via INDEX/MATCH</t>
  </si>
  <si>
    <t xml:space="preserve">and multiplies it by that mapping's allocation weight; STEP 2 SUMIFS the</t>
  </si>
  <si>
    <t xml:space="preserve">weighted values to the 42 ISIC codes and divides by the deflator (Keys!$C$2)</t>
  </si>
  <si>
    <t xml:space="preserve">to express the result in 2012 USD. Edit any source or Keys cell and the</t>
  </si>
  <si>
    <t xml:space="preserve">output recomputes.</t>
  </si>
  <si>
    <t xml:space="preserve">Allocation weights (the BEA -&gt; ISIC crosswalk)</t>
  </si>
  <si>
    <t xml:space="preserve">----------------------------------------------</t>
  </si>
  <si>
    <t xml:space="preserve">Each BEA Summary sector's value is mapped to the 42-ISIC scheme via the</t>
  </si>
  <si>
    <t xml:space="preserve">'2_Crosswalk_BEA_to_ISIC' tab. allocation_weight (STEP 1, column C of the</t>
  </si>
  <si>
    <t xml:space="preserve">calc tab) is the fraction of a BEA sector assigned to each ISIC code; the</t>
  </si>
  <si>
    <t xml:space="preserve">weights for any one BEA code always sum to 1.0.</t>
  </si>
  <si>
    <t xml:space="preserve">Most BEA codes map 1:1 to a single ISIC with weight = 1.0 - a definitional</t>
  </si>
  <si>
    <t xml:space="preserve">mapping, not an assumption. Seven BEA sectors are SPLIT across multiple ISIC</t>
  </si>
  <si>
    <t xml:space="preserve">codes, in two groups:</t>
  </si>
  <si>
    <t xml:space="preserve">A. State-specific, data-derived splits - recomputed for each state (see the</t>
  </si>
  <si>
    <t xml:space="preserve">   '3_State_disagg_splits' tab for the ratio + data source used for THIS</t>
  </si>
  <si>
    <t xml:space="preserve">   state, and its provenance):</t>
  </si>
  <si>
    <t xml:space="preserve">     212 mining         -&gt; 05 coal + 07T08 other mining.</t>
  </si>
  <si>
    <t xml:space="preserve">         weight = coal / (coal + nonfuel) mine value, from EIA-7A coal +</t>
  </si>
  <si>
    <t xml:space="preserve">         USGS Minerals Yearbook nonfuel production value, each deflated to</t>
  </si>
  <si>
    <t xml:space="preserve">         2012 USD so the ratio is vintage-consistent.</t>
  </si>
  <si>
    <t xml:space="preserve">     325 chemicals      -&gt; 20 basic chemicals + 21 pharmaceuticals</t>
  </si>
  <si>
    <t xml:space="preserve">     327 nonmetallic    -&gt; 231 glass + 239 cement/other</t>
  </si>
  <si>
    <t xml:space="preserve">     331 primary metals -&gt; 241 iron &amp; steel + 242 other metals</t>
  </si>
  <si>
    <t xml:space="preserve">         (325/327/331: Census ASM value-added shares where available, else</t>
  </si>
  <si>
    <t xml:space="preserve">          EPA GHGRP facility/emissions proxies, else documented heuristics.)</t>
  </si>
  <si>
    <t xml:space="preserve">B. Fixed national splits - the same weights for every state, carried in the</t>
  </si>
  <si>
    <t xml:space="preserve">   base crosswalk (not state-specific):</t>
  </si>
  <si>
    <t xml:space="preserve">     22  utilities                  -&gt; 351 power + 352T353 gas + 36T39 water</t>
  </si>
  <si>
    <t xml:space="preserve">     324 petroleum &amp; coal products  -&gt; 19 refining + 241 iron &amp; steel (coke)</t>
  </si>
  <si>
    <t xml:space="preserve">     513 information                -&gt; 58T60 media + 61 telecommunications</t>
  </si>
  <si>
    <t xml:space="preserve">So the ISIC detail is only as fine as these weights: group-A weights carry</t>
  </si>
  <si>
    <t xml:space="preserve">this state's industry mix; group-B weights are national constants.</t>
  </si>
  <si>
    <t xml:space="preserve">Notes</t>
  </si>
  <si>
    <t xml:space="preserve">This pipeline replaces the legacy LQ-based state IO regionalization with</t>
  </si>
  <si>
    <t xml:space="preserve">EPA stateior's FAF + RPC two-region methodology. Key improvements:</t>
  </si>
  <si>
    <t xml:space="preserve">  - Interstate trade flows are now explicit (SoI&lt;-&gt;RoUS two-region Use</t>
  </si>
  <si>
    <t xml:space="preserve">    table), rather than derived from single-region SLQ caps at 1.0.</t>
  </si>
  <si>
    <t xml:space="preserve">  - Domestic Content Share (DCS) now captures real interstate trade; no</t>
  </si>
  <si>
    <t xml:space="preserve">    longer forced to 1.0 when LQ &gt;= 1.</t>
  </si>
  <si>
    <t xml:space="preserve">  - Export Share (ESoP) captures BOTH international and interstate</t>
  </si>
  <si>
    <t xml:space="preserve">    exports, not only international net exports.</t>
  </si>
  <si>
    <t xml:space="preserve">  - State-specific disaggregation ratios (coal, cement, pharma/chem,</t>
  </si>
  <si>
    <t xml:space="preserve">    metals) use EIA / Census / GHGRP data where available, replacing</t>
  </si>
  <si>
    <t xml:space="preserve">    national-average ratios.</t>
  </si>
  <si>
    <t xml:space="preserve">  - BEA sector 81 (Other services) correctly routes to ISIC 90T96 per</t>
  </si>
  <si>
    <t xml:space="preserve">    NAICS 2017 -&gt; ISIC Rev 4 Census concordance.</t>
  </si>
  <si>
    <t xml:space="preserve">All monetary values are in 2012 USD (chained), matching EPS convention.</t>
  </si>
  <si>
    <t xml:space="preserve">Conversion factor: 2019 USD / 1.12266 = 2012 USD.</t>
  </si>
  <si>
    <t xml:space="preserve">Data sources</t>
  </si>
  <si>
    <t xml:space="preserve">EPA stateior (v0.4.0)</t>
  </si>
  <si>
    <t xml:space="preserve">  Two-region MRIO accounts by state (State of Interest vs RoUS)</t>
  </si>
  <si>
    <t xml:space="preserve">  https://github.com/USEPA/stateior</t>
  </si>
  <si>
    <t xml:space="preserve">EPA useeior (latest (2026))</t>
  </si>
  <si>
    <t xml:space="preserve">  Build toolkit for USEEIO / state IO models; BEA data loaders</t>
  </si>
  <si>
    <t xml:space="preserve">  https://github.com/USEPA/useeior</t>
  </si>
  <si>
    <t xml:space="preserve">US BEA Input-Output Accounts (2019 Summary)</t>
  </si>
  <si>
    <t xml:space="preserve">  National Make/Use tables (via useeior)</t>
  </si>
  <si>
    <t xml:space="preserve">  https://www.bea.gov/industry/input-output-accounts-data</t>
  </si>
  <si>
    <t xml:space="preserve">US BEA GDP by Industry (2019)</t>
  </si>
  <si>
    <t xml:space="preserve">  National industry value-added, output, compensation; state-level via FAF regionalization in stateior</t>
  </si>
  <si>
    <t xml:space="preserve">  https://apps.bea.gov/iTable/</t>
  </si>
  <si>
    <t xml:space="preserve">FHWA FAF5 (Freight Analysis Framework) (2017 base)</t>
  </si>
  <si>
    <t xml:space="preserve">  Commodity-flow data used by stateior for goods trade between states</t>
  </si>
  <si>
    <t xml:space="preserve">  https://faf.ornl.gov/faf5/</t>
  </si>
  <si>
    <t xml:space="preserve">US Census Annual Survey of Manufactures (2017)</t>
  </si>
  <si>
    <t xml:space="preserve">  State x 4-digit NAICS value added (for 331/327/325 disagg)</t>
  </si>
  <si>
    <t xml:space="preserve">  https://www.census.gov/programs-surveys/asm.html</t>
  </si>
  <si>
    <t xml:space="preserve">EIA Annual Coal Report (Form EIA-7A) (2019)</t>
  </si>
  <si>
    <t xml:space="preserve">  State coal production tonnage + reported value (for 212 disagg)</t>
  </si>
  <si>
    <t xml:space="preserve">  https://www.eia.gov/coal/annual/</t>
  </si>
  <si>
    <t xml:space="preserve">EPA GHGRP FLIGHT (2019)</t>
  </si>
  <si>
    <t xml:space="preserve">  Facility-level emissions, Subparts H (cement), Q (iron/steel), F (aluminum) (for 327/331 disagg gap-fill)</t>
  </si>
  <si>
    <t xml:space="preserve">  https://ghgdata.epa.gov/ghgp/</t>
  </si>
  <si>
    <t xml:space="preserve">USGS Minerals Yearbook (2019)</t>
  </si>
  <si>
    <t xml:space="preserve">  State-level cement + stone production (for 327 gap-fill)</t>
  </si>
  <si>
    <t xml:space="preserve">  https://www.usgs.gov/centers/national-minerals-information-center/minerals-yearbook-metals-and-minerals</t>
  </si>
  <si>
    <t xml:space="preserve">BLS QCEW (2019)</t>
  </si>
  <si>
    <t xml:space="preserve">  State x 4-digit NAICS employment (employment + disagg gap-fill)</t>
  </si>
  <si>
    <t xml:space="preserve">  https://www.bls.gov/cew/</t>
  </si>
  <si>
    <t xml:space="preserve">Migration plan (v0.2)</t>
  </si>
  <si>
    <t xml:space="preserve">  Design document for this pipeline: Migration Plan - stateior adoption.md</t>
  </si>
  <si>
    <t xml:space="preserve">  (local repo)</t>
  </si>
  <si>
    <t xml:space="preserve">This workbook</t>
  </si>
  <si>
    <t xml:space="preserve">The BObIC output tab is FORMULA-DERIVED from the raw source tabs (Excel</t>
  </si>
  <si>
    <t xml:space="preserve">formulas, not pasted values): edit a source cell and it recomputes.</t>
  </si>
  <si>
    <t xml:space="preserve">Tabs:</t>
  </si>
  <si>
    <t xml:space="preserve">  - About (this tab)</t>
  </si>
  <si>
    <t xml:space="preserve">  - Keys - constants (category|key|value|description); formulas ref Keys!$C$2</t>
  </si>
  <si>
    <t xml:space="preserve">  - 1_Source_IndustryOutput - raw stateior output per BEA Summary code</t>
  </si>
  <si>
    <t xml:space="preserve">  - Src_Stateior_SoI_Make - full 71x73 state SoI Make matrix (raw)</t>
  </si>
  <si>
    <t xml:space="preserve">  - Src_Disagg_EIA_coal / Src_Disagg_heuristics - disagg source data</t>
  </si>
  <si>
    <t xml:space="preserve">  - 2_Crosswalk_BEA_to_ISIC - canonical + state overrides (weights sum to 1/BEA)</t>
  </si>
  <si>
    <t xml:space="preserve">  - 3_State_disagg_splits - 5 disagg ratios for this state</t>
  </si>
  <si>
    <t xml:space="preserve">  - 4_NAICS_to_ISIC_Key - 42-ISIC scheme reference</t>
  </si>
  <si>
    <t xml:space="preserve">  - 5_Calc_ISIC_aggregation - STEP 1: INDEX/MATCH each BEA value x weight;</t>
  </si>
  <si>
    <t xml:space="preserve">        STEP 2: SUMIFS to 42 ISIC, then / Keys deflator -&gt; 2012 USD</t>
  </si>
  <si>
    <t xml:space="preserve">  - BObIC - looks up each ISIC's STEP 2 value (matches BObIC.csv)</t>
  </si>
  <si>
    <t xml:space="preserve">category</t>
  </si>
  <si>
    <t xml:space="preserve">key</t>
  </si>
  <si>
    <t xml:space="preserve">value</t>
  </si>
  <si>
    <t xml:space="preserve">description</t>
  </si>
  <si>
    <t xml:space="preserve">deflator</t>
  </si>
  <si>
    <t xml:space="preserve">deflator_nominal_to_2012</t>
  </si>
  <si>
    <t xml:space="preserve">Divide nominal 2019 USD by this to get 2012 USD. BEA chained GDP price index; 2012 = 100.000, 2019 = 112.266</t>
  </si>
  <si>
    <t xml:space="preserve">year</t>
  </si>
  <si>
    <t xml:space="preserve">base_year</t>
  </si>
  <si>
    <t xml:space="preserve">stateior base year; nominal-USD vintage of the source tabs</t>
  </si>
  <si>
    <t xml:space="preserve">numeric</t>
  </si>
  <si>
    <t xml:space="preserve">epsilon_div_floor</t>
  </si>
  <si>
    <t xml:space="preserve">Denominator floor for ratio outputs (DCS, ESoP): x/MAX(den, epsilon) avoids div-by-zero; mirrors pmax(den, 1e-9) in the R pipeline</t>
  </si>
  <si>
    <t xml:space="preserve">fogp_denom_floor_usd</t>
  </si>
  <si>
    <t xml:space="preserve">FoGP-entity denominator floor: total purchases per category floored at $1 (mirrors pmax(total, 1)); near-zero totals give near-zero fractions</t>
  </si>
  <si>
    <t xml:space="preserve">BEA_Summary_code</t>
  </si>
  <si>
    <t xml:space="preserve">output_USD_2019nominal</t>
  </si>
  <si>
    <t xml:space="preserve">111CA</t>
  </si>
  <si>
    <t xml:space="preserve">113FF</t>
  </si>
  <si>
    <t xml:space="preserve">211</t>
  </si>
  <si>
    <t xml:space="preserve">212</t>
  </si>
  <si>
    <t xml:space="preserve">213</t>
  </si>
  <si>
    <t xml:space="preserve">22</t>
  </si>
  <si>
    <t xml:space="preserve">23</t>
  </si>
  <si>
    <t xml:space="preserve">321</t>
  </si>
  <si>
    <t xml:space="preserve">327</t>
  </si>
  <si>
    <t xml:space="preserve">331</t>
  </si>
  <si>
    <t xml:space="preserve">332</t>
  </si>
  <si>
    <t xml:space="preserve">333</t>
  </si>
  <si>
    <t xml:space="preserve">334</t>
  </si>
  <si>
    <t xml:space="preserve">335</t>
  </si>
  <si>
    <t xml:space="preserve">3361MV</t>
  </si>
  <si>
    <t xml:space="preserve">3364OT</t>
  </si>
  <si>
    <t xml:space="preserve">337</t>
  </si>
  <si>
    <t xml:space="preserve">339</t>
  </si>
  <si>
    <t xml:space="preserve">311FT</t>
  </si>
  <si>
    <t xml:space="preserve">313TT</t>
  </si>
  <si>
    <t xml:space="preserve">315AL</t>
  </si>
  <si>
    <t xml:space="preserve">322</t>
  </si>
  <si>
    <t xml:space="preserve">323</t>
  </si>
  <si>
    <t xml:space="preserve">324</t>
  </si>
  <si>
    <t xml:space="preserve">325</t>
  </si>
  <si>
    <t xml:space="preserve">326</t>
  </si>
  <si>
    <t xml:space="preserve">42</t>
  </si>
  <si>
    <t xml:space="preserve">441</t>
  </si>
  <si>
    <t xml:space="preserve">445</t>
  </si>
  <si>
    <t xml:space="preserve">452</t>
  </si>
  <si>
    <t xml:space="preserve">4A0</t>
  </si>
  <si>
    <t xml:space="preserve">481</t>
  </si>
  <si>
    <t xml:space="preserve">482</t>
  </si>
  <si>
    <t xml:space="preserve">483</t>
  </si>
  <si>
    <t xml:space="preserve">484</t>
  </si>
  <si>
    <t xml:space="preserve">485</t>
  </si>
  <si>
    <t xml:space="preserve">486</t>
  </si>
  <si>
    <t xml:space="preserve">487OS</t>
  </si>
  <si>
    <t xml:space="preserve">493</t>
  </si>
  <si>
    <t xml:space="preserve">511</t>
  </si>
  <si>
    <t xml:space="preserve">512</t>
  </si>
  <si>
    <t xml:space="preserve">513</t>
  </si>
  <si>
    <t xml:space="preserve">514</t>
  </si>
  <si>
    <t xml:space="preserve">521CI</t>
  </si>
  <si>
    <t xml:space="preserve">523</t>
  </si>
  <si>
    <t xml:space="preserve">524</t>
  </si>
  <si>
    <t xml:space="preserve">525</t>
  </si>
  <si>
    <t xml:space="preserve">HS</t>
  </si>
  <si>
    <t xml:space="preserve">ORE</t>
  </si>
  <si>
    <t xml:space="preserve">532RL</t>
  </si>
  <si>
    <t xml:space="preserve">5411</t>
  </si>
  <si>
    <t xml:space="preserve">5415</t>
  </si>
  <si>
    <t xml:space="preserve">5412OP</t>
  </si>
  <si>
    <t xml:space="preserve">55</t>
  </si>
  <si>
    <t xml:space="preserve">561</t>
  </si>
  <si>
    <t xml:space="preserve">562</t>
  </si>
  <si>
    <t xml:space="preserve">61</t>
  </si>
  <si>
    <t xml:space="preserve">621</t>
  </si>
  <si>
    <t xml:space="preserve">622</t>
  </si>
  <si>
    <t xml:space="preserve">623</t>
  </si>
  <si>
    <t xml:space="preserve">624</t>
  </si>
  <si>
    <t xml:space="preserve">711AS</t>
  </si>
  <si>
    <t xml:space="preserve">713</t>
  </si>
  <si>
    <t xml:space="preserve">721</t>
  </si>
  <si>
    <t xml:space="preserve">722</t>
  </si>
  <si>
    <t xml:space="preserve">81</t>
  </si>
  <si>
    <t xml:space="preserve">GFGD</t>
  </si>
  <si>
    <t xml:space="preserve">GFGN</t>
  </si>
  <si>
    <t xml:space="preserve">GFE</t>
  </si>
  <si>
    <t xml:space="preserve">GSLG</t>
  </si>
  <si>
    <t xml:space="preserve">GSLE</t>
  </si>
  <si>
    <t xml:space="preserve">State-of-Interest Make matrix (V) at BEA Summary resolution, from EPA</t>
  </si>
  <si>
    <t xml:space="preserve">stateior's two-region MRIO build for this state and base year. Rows =</t>
  </si>
  <si>
    <t xml:space="preserve">industries, columns = commodities. Values are in nominal 2019 USD as</t>
  </si>
  <si>
    <t xml:space="preserve">emitted by stateior. This is the raw input aggregated to 42 ISIC for</t>
  </si>
  <si>
    <t xml:space="preserve">the final output in this workbook.</t>
  </si>
  <si>
    <t xml:space="preserve">industry</t>
  </si>
  <si>
    <t xml:space="preserve">Used</t>
  </si>
  <si>
    <t xml:space="preserve">Other</t>
  </si>
  <si>
    <t xml:space="preserve">Raw EIA Annual Coal Report (Form EIA-7A) 2019 state production values,</t>
  </si>
  <si>
    <t xml:space="preserve">used as the numerator for the 212 BEA mining disagg split (05 coal vs</t>
  </si>
  <si>
    <t xml:space="preserve">07T08 other mining). Source:</t>
  </si>
  <si>
    <t xml:space="preserve">THIS STATE: OK</t>
  </si>
  <si>
    <t xml:space="preserve">state</t>
  </si>
  <si>
    <t xml:space="preserve">short_tons</t>
  </si>
  <si>
    <t xml:space="preserve">short_tons_units</t>
  </si>
  <si>
    <t xml:space="preserve">value_usd</t>
  </si>
  <si>
    <t xml:space="preserve">source_notes</t>
  </si>
  <si>
    <t xml:space="preserve">AL</t>
  </si>
  <si>
    <t xml:space="preserve">short tons</t>
  </si>
  <si>
    <t xml:space="preserve">EIA Annual Coal Report 2019; AL avg ~$50/ton bituminous</t>
  </si>
  <si>
    <t xml:space="preserve">AK</t>
  </si>
  <si>
    <t xml:space="preserve">EIA Annual Coal Report 2019; AK Usibelli ~$40/ton subbit</t>
  </si>
  <si>
    <t xml:space="preserve">AZ</t>
  </si>
  <si>
    <t xml:space="preserve">EIA Annual Coal Report 2019; Kayenta mine closed 2019; partial year</t>
  </si>
  <si>
    <t xml:space="preserve">AR</t>
  </si>
  <si>
    <t xml:space="preserve">CA</t>
  </si>
  <si>
    <t xml:space="preserve">CO</t>
  </si>
  <si>
    <t xml:space="preserve">EIA ~$31/ton</t>
  </si>
  <si>
    <t xml:space="preserve">CT</t>
  </si>
  <si>
    <t xml:space="preserve">DE</t>
  </si>
  <si>
    <t xml:space="preserve">DC</t>
  </si>
  <si>
    <t xml:space="preserve">FL</t>
  </si>
  <si>
    <t xml:space="preserve">GA</t>
  </si>
  <si>
    <t xml:space="preserve">HI</t>
  </si>
  <si>
    <t xml:space="preserve">ID</t>
  </si>
  <si>
    <t xml:space="preserve">IL</t>
  </si>
  <si>
    <t xml:space="preserve">IL Basin avg ~$42/ton</t>
  </si>
  <si>
    <t xml:space="preserve">IN</t>
  </si>
  <si>
    <t xml:space="preserve">IA</t>
  </si>
  <si>
    <t xml:space="preserve">KS</t>
  </si>
  <si>
    <t xml:space="preserve">KY</t>
  </si>
  <si>
    <t xml:space="preserve">KY split East (Central App ~$58/ton) + West (IL Basin ~$40/ton)</t>
  </si>
  <si>
    <t xml:space="preserve">LA</t>
  </si>
  <si>
    <t xml:space="preserve">lignite ~$22/ton</t>
  </si>
  <si>
    <t xml:space="preserve">ME</t>
  </si>
  <si>
    <t xml:space="preserve">MD</t>
  </si>
  <si>
    <t xml:space="preserve">NA Appalachia ~$55/ton</t>
  </si>
  <si>
    <t xml:space="preserve">MA</t>
  </si>
  <si>
    <t xml:space="preserve">MI</t>
  </si>
  <si>
    <t xml:space="preserve">MN</t>
  </si>
  <si>
    <t xml:space="preserve">MS</t>
  </si>
  <si>
    <t xml:space="preserve">lignite</t>
  </si>
  <si>
    <t xml:space="preserve">MO</t>
  </si>
  <si>
    <t xml:space="preserve">MT</t>
  </si>
  <si>
    <t xml:space="preserve">PRB subbit ~$14/ton + some bituminous</t>
  </si>
  <si>
    <t xml:space="preserve">NE</t>
  </si>
  <si>
    <t xml:space="preserve">NV</t>
  </si>
  <si>
    <t xml:space="preserve">NH</t>
  </si>
  <si>
    <t xml:space="preserve">NJ</t>
  </si>
  <si>
    <t xml:space="preserve">NM</t>
  </si>
  <si>
    <t xml:space="preserve">San Juan + McKinley ~$24/ton</t>
  </si>
  <si>
    <t xml:space="preserve">NY</t>
  </si>
  <si>
    <t xml:space="preserve">NC</t>
  </si>
  <si>
    <t xml:space="preserve">ND</t>
  </si>
  <si>
    <t xml:space="preserve">lignite ~$20/ton</t>
  </si>
  <si>
    <t xml:space="preserve">OH</t>
  </si>
  <si>
    <t xml:space="preserve">Central App/NA ~$52/ton</t>
  </si>
  <si>
    <t xml:space="preserve">OK</t>
  </si>
  <si>
    <t xml:space="preserve">OR</t>
  </si>
  <si>
    <t xml:space="preserve">PA</t>
  </si>
  <si>
    <t xml:space="preserve">anthracite + NA Appalachia; avg ~$60/ton</t>
  </si>
  <si>
    <t xml:space="preserve">RI</t>
  </si>
  <si>
    <t xml:space="preserve">SC</t>
  </si>
  <si>
    <t xml:space="preserve">SD</t>
  </si>
  <si>
    <t xml:space="preserve">TN</t>
  </si>
  <si>
    <t xml:space="preserve">Central App small; ~$55/ton</t>
  </si>
  <si>
    <t xml:space="preserve">TX</t>
  </si>
  <si>
    <t xml:space="preserve">UT</t>
  </si>
  <si>
    <t xml:space="preserve">~$30/ton</t>
  </si>
  <si>
    <t xml:space="preserve">VT</t>
  </si>
  <si>
    <t xml:space="preserve">VA</t>
  </si>
  <si>
    <t xml:space="preserve">Central App ~$54/ton</t>
  </si>
  <si>
    <t xml:space="preserve">WA</t>
  </si>
  <si>
    <t xml:space="preserve">Centralia closed 2020</t>
  </si>
  <si>
    <t xml:space="preserve">WV</t>
  </si>
  <si>
    <t xml:space="preserve">Central App + NA ~$54/ton avg; largest-after-WY</t>
  </si>
  <si>
    <t xml:space="preserve">WI</t>
  </si>
  <si>
    <t xml:space="preserve">WY</t>
  </si>
  <si>
    <t xml:space="preserve">PRB subbit ~$13/ton</t>
  </si>
  <si>
    <t xml:space="preserve">Hand-curated heuristic tables used as layer-3 fallback for BEA 327</t>
  </si>
  <si>
    <t xml:space="preserve">(nonmetallic) / 331 (primary metals) / 325 (chemicals) disaggregation</t>
  </si>
  <si>
    <t xml:space="preserve">when Census ASM is suppressed and GHGRP lacks coverage.</t>
  </si>
  <si>
    <t xml:space="preserve">Sources:</t>
  </si>
  <si>
    <t xml:space="preserve">  - cement-heavy state list: GHGRP Subpart H 2019 facility presence</t>
  </si>
  <si>
    <t xml:space="preserve">    + USGS Minerals Yearbook 2019 cement production rankings</t>
  </si>
  <si>
    <t xml:space="preserve">  - glass-heavy state list: Census ASM 2017 NAICS 3272 top-6 states</t>
  </si>
  <si>
    <t xml:space="preserve">  - steel_share: Census ASM 2017 NAICS 331 VA breakdown (2021 SUSB</t>
  </si>
  <si>
    <t xml:space="preserve">    supplement where suppressed) + industry knowledge</t>
  </si>
  <si>
    <t xml:space="preserve">  - pharma_share: Census ASM 2017 NAICS 325 VA breakdown +</t>
  </si>
  <si>
    <t xml:space="preserve">    BLS QCEW 2019 NAICS 3254 employment share</t>
  </si>
  <si>
    <t xml:space="preserve">See R/build_state_overrides.R for the applied logic.</t>
  </si>
  <si>
    <t xml:space="preserve">327 cement-heavy states</t>
  </si>
  <si>
    <t xml:space="preserve">TX, CA, MO, AL, PA, FL, MI, IN, IL, GA, OH, SC, KS, OK, IA, AR, CO, UT</t>
  </si>
  <si>
    <t xml:space="preserve">327 glass-heavy states</t>
  </si>
  <si>
    <t xml:space="preserve">OH, PA, NY, IN, WV, NC</t>
  </si>
  <si>
    <t xml:space="preserve">331 / 325 heuristic split shares (used only where Census ASM / GHGRP unavailable):</t>
  </si>
  <si>
    <t xml:space="preserve">331_steel_share (-&gt; ISIC 241)</t>
  </si>
  <si>
    <t xml:space="preserve">331_other_share (-&gt; ISIC 242)</t>
  </si>
  <si>
    <t xml:space="preserve">325_pharma_share (-&gt; ISIC 21)</t>
  </si>
  <si>
    <t xml:space="preserve">325_chem_share (-&gt; ISIC 20)</t>
  </si>
  <si>
    <t xml:space="preserve">BEA Summary (post-disagg) -&gt; 42-ISIC crosswalk, applied to state OK.</t>
  </si>
  <si>
    <t xml:space="preserve">Rows with allocation_weight != 1.0 represent BEA sectors that are split</t>
  </si>
  <si>
    <t xml:space="preserve">across multiple ISIC codes (e.g. BEA 22 utilities -&gt; 351/352T353/36T39).</t>
  </si>
  <si>
    <t xml:space="preserve">State-specific overrides are loaded from crosswalks/state_overrides/&lt;ST&gt;/splits.csv.</t>
  </si>
  <si>
    <t xml:space="preserve">BEA_code</t>
  </si>
  <si>
    <t xml:space="preserve">BEA_name</t>
  </si>
  <si>
    <t xml:space="preserve">ISIC_code</t>
  </si>
  <si>
    <t xml:space="preserve">ISIC_name</t>
  </si>
  <si>
    <t xml:space="preserve">allocation_weight</t>
  </si>
  <si>
    <t xml:space="preserve">notes</t>
  </si>
  <si>
    <t xml:space="preserve">source</t>
  </si>
  <si>
    <t xml:space="preserve">Farms</t>
  </si>
  <si>
    <t xml:space="preserve">01T03</t>
  </si>
  <si>
    <t xml:space="preserve">Agriculture, forestry, fishing</t>
  </si>
  <si>
    <t xml:space="preserve">Forestry, fishing, related</t>
  </si>
  <si>
    <t xml:space="preserve">Oil and gas extraction</t>
  </si>
  <si>
    <t xml:space="preserve">06</t>
  </si>
  <si>
    <t xml:space="preserve">Extraction of crude petroleum and natural gas</t>
  </si>
  <si>
    <t xml:space="preserve">Support activities for mining</t>
  </si>
  <si>
    <t xml:space="preserve">09</t>
  </si>
  <si>
    <t xml:space="preserve">Mining support service activities</t>
  </si>
  <si>
    <t xml:space="preserve">Utilities</t>
  </si>
  <si>
    <t xml:space="preserve">351</t>
  </si>
  <si>
    <t xml:space="preserve">Electricity</t>
  </si>
  <si>
    <t xml:space="preserve">BEA 2012 Detail: electric ~72% of 22 output</t>
  </si>
  <si>
    <t xml:space="preserve">352T353</t>
  </si>
  <si>
    <t xml:space="preserve">Gas, steam, AC</t>
  </si>
  <si>
    <t xml:space="preserve">BEA Detail: gas distribution ~20%</t>
  </si>
  <si>
    <t xml:space="preserve">36T39</t>
  </si>
  <si>
    <t xml:space="preserve">Water, sewerage, waste</t>
  </si>
  <si>
    <t xml:space="preserve">BEA Detail: water/sewage ~8%</t>
  </si>
  <si>
    <t xml:space="preserve">Construction</t>
  </si>
  <si>
    <t xml:space="preserve">41T43</t>
  </si>
  <si>
    <t xml:space="preserve">Food, beverage, tobacco</t>
  </si>
  <si>
    <t xml:space="preserve">10T12</t>
  </si>
  <si>
    <t xml:space="preserve">Food, beverages, tobacco</t>
  </si>
  <si>
    <t xml:space="preserve">Textile mills and textile product mills</t>
  </si>
  <si>
    <t xml:space="preserve">13T15</t>
  </si>
  <si>
    <t xml:space="preserve">Textiles, apparel, leather</t>
  </si>
  <si>
    <t xml:space="preserve">Apparel and leather</t>
  </si>
  <si>
    <t xml:space="preserve">Wood products</t>
  </si>
  <si>
    <t xml:space="preserve">16</t>
  </si>
  <si>
    <t xml:space="preserve">Wood and products of wood and cork</t>
  </si>
  <si>
    <t xml:space="preserve">Paper products</t>
  </si>
  <si>
    <t xml:space="preserve">17T18</t>
  </si>
  <si>
    <t xml:space="preserve">Paper products and printing</t>
  </si>
  <si>
    <t xml:space="preserve">Printing and related</t>
  </si>
  <si>
    <t xml:space="preserve">Petroleum and coal products</t>
  </si>
  <si>
    <t xml:space="preserve">19</t>
  </si>
  <si>
    <t xml:space="preserve">Coke and refined petroleum products</t>
  </si>
  <si>
    <t xml:space="preserve">BEA 2024 Detail: 324110 refineries + 324121/324122 asphalt = ~96.1% of 324 output ($601,241M / $625,936M)</t>
  </si>
  <si>
    <t xml:space="preserve">241</t>
  </si>
  <si>
    <t xml:space="preserve">Iron and steel (incl. coal coking)</t>
  </si>
  <si>
    <t xml:space="preserve">EPS modeling convention: route NAICS 324190 (Other petroleum and coal products mfg, includes coal coking) to 241 to consolidate coke with iron and steel; matches eps-us national model</t>
  </si>
  <si>
    <t xml:space="preserve">Plastics and rubber products</t>
  </si>
  <si>
    <t xml:space="preserve">Rubber and plastics products</t>
  </si>
  <si>
    <t xml:space="preserve">Fabricated metal products</t>
  </si>
  <si>
    <t xml:space="preserve">25</t>
  </si>
  <si>
    <t xml:space="preserve">Machinery</t>
  </si>
  <si>
    <t xml:space="preserve">28</t>
  </si>
  <si>
    <t xml:space="preserve">Machinery and equipment n.e.c.</t>
  </si>
  <si>
    <t xml:space="preserve">Computer and electronic products</t>
  </si>
  <si>
    <t xml:space="preserve">26</t>
  </si>
  <si>
    <t xml:space="preserve">Computer, electronic and optical products</t>
  </si>
  <si>
    <t xml:space="preserve">Electrical equipment, appliances</t>
  </si>
  <si>
    <t xml:space="preserve">27</t>
  </si>
  <si>
    <t xml:space="preserve">Electrical equipment</t>
  </si>
  <si>
    <t xml:space="preserve">Motor vehicles, bodies, trailers, parts</t>
  </si>
  <si>
    <t xml:space="preserve">29</t>
  </si>
  <si>
    <t xml:space="preserve">Motor vehicles, trailers, semi-trailers</t>
  </si>
  <si>
    <t xml:space="preserve">Other transportation equipment</t>
  </si>
  <si>
    <t xml:space="preserve">30</t>
  </si>
  <si>
    <t xml:space="preserve">Other transport equipment</t>
  </si>
  <si>
    <t xml:space="preserve">Furniture and related products</t>
  </si>
  <si>
    <t xml:space="preserve">31T33</t>
  </si>
  <si>
    <t xml:space="preserve">Furniture; other manufacturing; repair</t>
  </si>
  <si>
    <t xml:space="preserve">Miscellaneous manufacturing</t>
  </si>
  <si>
    <t xml:space="preserve">Wholesale trade</t>
  </si>
  <si>
    <t xml:space="preserve">45T47</t>
  </si>
  <si>
    <t xml:space="preserve">Wholesale and retail trade</t>
  </si>
  <si>
    <t xml:space="preserve">Motor vehicle and parts dealers</t>
  </si>
  <si>
    <t xml:space="preserve">Food and beverage stores</t>
  </si>
  <si>
    <t xml:space="preserve">General merchandise stores</t>
  </si>
  <si>
    <t xml:space="preserve">Other retail</t>
  </si>
  <si>
    <t xml:space="preserve">Air transportation</t>
  </si>
  <si>
    <t xml:space="preserve">49T53</t>
  </si>
  <si>
    <t xml:space="preserve">Transportation and storage</t>
  </si>
  <si>
    <t xml:space="preserve">Rail transportation</t>
  </si>
  <si>
    <t xml:space="preserve">Water transportation</t>
  </si>
  <si>
    <t xml:space="preserve">Truck transportation</t>
  </si>
  <si>
    <t xml:space="preserve">Transit and ground passenger</t>
  </si>
  <si>
    <t xml:space="preserve">Pipeline transportation</t>
  </si>
  <si>
    <t xml:space="preserve">Gas, steam, AC (incl. pipelines per EPS energy-side convention)</t>
  </si>
  <si>
    <t xml:space="preserve">Reclassified from 49T53 (staff decision 2026-07-16): EPS 352T353 = 'energy pipelines and gas processing'; industrial-energy side sources pipeline fuel (AEO T36 / NAICS 486) here, so IO dollars follow. NOTE: diverges from eps-us national io-model (tags 486 -&gt; 49T53); national files to be corrected separately.</t>
  </si>
  <si>
    <t xml:space="preserve">Other transportation and support</t>
  </si>
  <si>
    <t xml:space="preserve">Warehousing and storage</t>
  </si>
  <si>
    <t xml:space="preserve">Publishing industries (incl software)</t>
  </si>
  <si>
    <t xml:space="preserve">58T60</t>
  </si>
  <si>
    <t xml:space="preserve">Publishing, audiovisual, broadcasting</t>
  </si>
  <si>
    <t xml:space="preserve">Motion picture and sound recording</t>
  </si>
  <si>
    <t xml:space="preserve">Broadcasting and telecom</t>
  </si>
  <si>
    <t xml:space="preserve">Placeholder ~25/75 broadcast/telecom per \u00a74.6</t>
  </si>
  <si>
    <t xml:space="preserve">Telecommunications</t>
  </si>
  <si>
    <t xml:space="preserve">Data processing, hosting, other info</t>
  </si>
  <si>
    <t xml:space="preserve">62T63</t>
  </si>
  <si>
    <t xml:space="preserve">IT and other information services</t>
  </si>
  <si>
    <t xml:space="preserve">Federal Reserve banks, credit intermediation</t>
  </si>
  <si>
    <t xml:space="preserve">64T66</t>
  </si>
  <si>
    <t xml:space="preserve">Finance and insurance</t>
  </si>
  <si>
    <t xml:space="preserve">Securities, commodity contracts, investments</t>
  </si>
  <si>
    <t xml:space="preserve">Insurance carriers and related</t>
  </si>
  <si>
    <t xml:space="preserve">Funds, trusts, other financial vehicles</t>
  </si>
  <si>
    <t xml:space="preserve">Housing (owner-occupied)</t>
  </si>
  <si>
    <t xml:space="preserve">68</t>
  </si>
  <si>
    <t xml:space="preserve">Real estate activities</t>
  </si>
  <si>
    <t xml:space="preserve">Other real estate</t>
  </si>
  <si>
    <t xml:space="preserve">Rental and leasing (excl real estate)</t>
  </si>
  <si>
    <t xml:space="preserve">69T82</t>
  </si>
  <si>
    <t xml:space="preserve">Prof/admin/support services</t>
  </si>
  <si>
    <t xml:space="preserve">ISIC 77 not in 42-ISIC; \u00a74.7</t>
  </si>
  <si>
    <t xml:space="preserve">Legal services</t>
  </si>
  <si>
    <t xml:space="preserve">Misc professional, scientific, technical services</t>
  </si>
  <si>
    <t xml:space="preserve">Computer systems design</t>
  </si>
  <si>
    <t xml:space="preserve">Resolves \u00a74.7 at stateior's Summary resolution</t>
  </si>
  <si>
    <t xml:space="preserve">Management of companies and enterprises</t>
  </si>
  <si>
    <t xml:space="preserve">Administrative and support services</t>
  </si>
  <si>
    <t xml:space="preserve">Waste management and remediation</t>
  </si>
  <si>
    <t xml:space="preserve">Water supply; sewerage; waste mgmt</t>
  </si>
  <si>
    <t xml:space="preserve">Educational services</t>
  </si>
  <si>
    <t xml:space="preserve">85</t>
  </si>
  <si>
    <t xml:space="preserve">Education</t>
  </si>
  <si>
    <t xml:space="preserve">Ambulatory health care</t>
  </si>
  <si>
    <t xml:space="preserve">86T88</t>
  </si>
  <si>
    <t xml:space="preserve">Human health and social work</t>
  </si>
  <si>
    <t xml:space="preserve">Hospitals</t>
  </si>
  <si>
    <t xml:space="preserve">Nursing and residential care</t>
  </si>
  <si>
    <t xml:space="preserve">Social assistance</t>
  </si>
  <si>
    <t xml:space="preserve">Performing arts, spectator sports, museums</t>
  </si>
  <si>
    <t xml:space="preserve">90T96</t>
  </si>
  <si>
    <t xml:space="preserve">Arts, entertainment and other services</t>
  </si>
  <si>
    <t xml:space="preserve">Amusements, gambling, recreation</t>
  </si>
  <si>
    <t xml:space="preserve">Accommodation</t>
  </si>
  <si>
    <t xml:space="preserve">55T56</t>
  </si>
  <si>
    <t xml:space="preserve">Accommodation and food services</t>
  </si>
  <si>
    <t xml:space="preserve">Food services and drinking places</t>
  </si>
  <si>
    <t xml:space="preserve">Other services (ex government)</t>
  </si>
  <si>
    <t xml:space="preserve">Federal general government - defense</t>
  </si>
  <si>
    <t xml:space="preserve">84</t>
  </si>
  <si>
    <t xml:space="preserve">Public administration and defense</t>
  </si>
  <si>
    <t xml:space="preserve">Federal general government - nondefense</t>
  </si>
  <si>
    <t xml:space="preserve">Federal government enterprises</t>
  </si>
  <si>
    <t xml:space="preserve">State and local general government</t>
  </si>
  <si>
    <t xml:space="preserve">State and local government enterprises</t>
  </si>
  <si>
    <t xml:space="preserve">Mining, except oil and gas</t>
  </si>
  <si>
    <t xml:space="preserve">05</t>
  </si>
  <si>
    <t xml:space="preserve">Mining of coal and lignite</t>
  </si>
  <si>
    <t xml:space="preserve">coal/(coal+nonfuel) mine-value share, 2012 USD: EIA coal 2019 $36M + USGS T3 nonfuel 2021 $794M -&gt; coal share 0.043 (applied to stateior 212 $1080M)</t>
  </si>
  <si>
    <t xml:space="preserve">07T08</t>
  </si>
  <si>
    <t xml:space="preserve">Other mining and quarrying</t>
  </si>
  <si>
    <t xml:space="preserve">Nonmetallic minerals</t>
  </si>
  <si>
    <t xml:space="preserve">231</t>
  </si>
  <si>
    <t xml:space="preserve">Glass</t>
  </si>
  <si>
    <t xml:space="preserve">HEURISTIC (GHGRP Subpart H cement state list + glass industry profile; Census ASM suppressed or missing)</t>
  </si>
  <si>
    <t xml:space="preserve">239</t>
  </si>
  <si>
    <t xml:space="preserve">Cement, lime, other nonmetallic</t>
  </si>
  <si>
    <t xml:space="preserve">Primary metals</t>
  </si>
  <si>
    <t xml:space="preserve">HEURISTIC (no ASM or GHGRP data pulled yet)</t>
  </si>
  <si>
    <t xml:space="preserve">242</t>
  </si>
  <si>
    <t xml:space="preserve">Aluminum, nonferrous, foundries</t>
  </si>
  <si>
    <t xml:space="preserve">Chemicals</t>
  </si>
  <si>
    <t xml:space="preserve">20</t>
  </si>
  <si>
    <t xml:space="preserve">Chemicals and chemical products</t>
  </si>
  <si>
    <t xml:space="preserve">HEURISTIC (Census ASM suppressed or unpulled)</t>
  </si>
  <si>
    <t xml:space="preserve">21</t>
  </si>
  <si>
    <t xml:space="preserve">Pharmaceuticals</t>
  </si>
  <si>
    <t xml:space="preserve">State-specific disaggregation ratios applied for OK.</t>
  </si>
  <si>
    <t xml:space="preserve">Five BEA Summary sectors are split into finer ISIC children. Ratios</t>
  </si>
  <si>
    <t xml:space="preserve">come from the layered proxy strategy in the migration plan (sec 4.0):</t>
  </si>
  <si>
    <t xml:space="preserve">  1. Pulled-from-source data (EIA-7A, Census ASM, GHGRP) where available</t>
  </si>
  <si>
    <t xml:space="preserve">  2. GHGRP emissions proxy where Census is suppressed</t>
  </si>
  <si>
    <t xml:space="preserve">  3. Hand-curated heuristic table (from industry knowledge)</t>
  </si>
  <si>
    <t xml:space="preserve">  4. National fallback ratio (last resort)</t>
  </si>
  <si>
    <t xml:space="preserve">Concise NAICS Summary -&gt; ISIC Rev 4 mapping used by this pipeline.</t>
  </si>
  <si>
    <t xml:space="preserve">See US Census Bureau NAICS 2017 to ISIC Rev 4 concordance for the full</t>
  </si>
  <si>
    <t xml:space="preserve">detail-level mapping:</t>
  </si>
  <si>
    <t xml:space="preserve">  https://www.census.gov/naics/concordances/2017_NAICS_to_ISIC_4.xlsx</t>
  </si>
  <si>
    <t xml:space="preserve">ISIC Rev 4 code</t>
  </si>
  <si>
    <t xml:space="preserve">Title (42-ISIC scheme)</t>
  </si>
  <si>
    <t xml:space="preserve">BEA Summary sources (examples)</t>
  </si>
  <si>
    <t xml:space="preserve">Agriculture, forestry and fishing</t>
  </si>
  <si>
    <t xml:space="preserve">111CA Farms; 113FF Forestry/fishing/related</t>
  </si>
  <si>
    <t xml:space="preserve">212/coal (NAICS 2121)</t>
  </si>
  <si>
    <t xml:space="preserve">211 Oil and gas extraction</t>
  </si>
  <si>
    <t xml:space="preserve">Mining of metal ores; other mining and quarrying</t>
  </si>
  <si>
    <t xml:space="preserve">212/other (NAICS 2122+2123)</t>
  </si>
  <si>
    <t xml:space="preserve">213 Support activities for mining</t>
  </si>
  <si>
    <t xml:space="preserve">Food products, beverages and tobacco</t>
  </si>
  <si>
    <t xml:space="preserve">311FT Food/beverage/tobacco</t>
  </si>
  <si>
    <t xml:space="preserve">Textiles, wearing apparel, leather and related products</t>
  </si>
  <si>
    <t xml:space="preserve">313TT Textile mills; 315AL Apparel/leather</t>
  </si>
  <si>
    <t xml:space="preserve">Wood and products of wood and cork, except furniture</t>
  </si>
  <si>
    <t xml:space="preserve">321 Wood products</t>
  </si>
  <si>
    <t xml:space="preserve">322 Paper; 323 Printing</t>
  </si>
  <si>
    <t xml:space="preserve">324 Petroleum and coal products</t>
  </si>
  <si>
    <t xml:space="preserve">Chemicals and chemical products (excl. pharmaceuticals)</t>
  </si>
  <si>
    <t xml:space="preserve">325/chem (NAICS 3251-3259 excl. 3254)</t>
  </si>
  <si>
    <t xml:space="preserve">Pharmaceuticals, medicinal chemical and botanical products</t>
  </si>
  <si>
    <t xml:space="preserve">325/pharma (NAICS 3254)</t>
  </si>
  <si>
    <t xml:space="preserve">326 Plastics and rubber</t>
  </si>
  <si>
    <t xml:space="preserve">Glass and glass products</t>
  </si>
  <si>
    <t xml:space="preserve">327/glass (NAICS 3272)</t>
  </si>
  <si>
    <t xml:space="preserve">Non-metallic mineral products n.e.c. (cement, lime, etc.)</t>
  </si>
  <si>
    <t xml:space="preserve">327/other (cement, lime, concrete, other nonmetallic)</t>
  </si>
  <si>
    <t xml:space="preserve">Basic iron and steel</t>
  </si>
  <si>
    <t xml:space="preserve">331/iron-steel (NAICS 3311+3312)</t>
  </si>
  <si>
    <t xml:space="preserve">Aluminum, nonferrous metals, foundries</t>
  </si>
  <si>
    <t xml:space="preserve">331/other (NAICS 3313-3315 alum + other nonferrous + foundries)</t>
  </si>
  <si>
    <t xml:space="preserve">Fabricated metal products, except machinery and equipment</t>
  </si>
  <si>
    <t xml:space="preserve">332 Fabricated metals</t>
  </si>
  <si>
    <t xml:space="preserve">334 Computer and electronic products</t>
  </si>
  <si>
    <t xml:space="preserve">335 Electrical equipment</t>
  </si>
  <si>
    <t xml:space="preserve">333 Machinery</t>
  </si>
  <si>
    <t xml:space="preserve">Motor vehicles, trailers and semi-trailers</t>
  </si>
  <si>
    <t xml:space="preserve">3361MV Motor vehicles</t>
  </si>
  <si>
    <t xml:space="preserve">3364OT Other transport equipment</t>
  </si>
  <si>
    <t xml:space="preserve">Furniture; other manufacturing; repair of machinery</t>
  </si>
  <si>
    <t xml:space="preserve">337 Furniture; 339 Misc mfg; NAICS 811400/811200 repair (Section S)</t>
  </si>
  <si>
    <t xml:space="preserve">Electricity, transmission and distribution</t>
  </si>
  <si>
    <t xml:space="preserve">221100 Electric power</t>
  </si>
  <si>
    <t xml:space="preserve">Gas distribution; steam and air conditioning supply</t>
  </si>
  <si>
    <t xml:space="preserve">221200 Gas distribution</t>
  </si>
  <si>
    <t xml:space="preserve">Water supply; sewerage; waste management and remediation</t>
  </si>
  <si>
    <t xml:space="preserve">221300 Water/sewage; 562 Waste mgmt; NAICS 811xxx industrial repair (Section C 33)</t>
  </si>
  <si>
    <t xml:space="preserve">23 Construction</t>
  </si>
  <si>
    <t xml:space="preserve">Wholesale and retail trade; repair of motor vehicles</t>
  </si>
  <si>
    <t xml:space="preserve">42 Wholesale; 441 Motor vehicles retail; 445 Food stores; 452 Genl merch; 4A0 Other retail; NAICS 811100 Auto repair (ISIC 4520 Section G)</t>
  </si>
  <si>
    <t xml:space="preserve">481-493 Transport + warehousing</t>
  </si>
  <si>
    <t xml:space="preserve">Accommodation and food service activities</t>
  </si>
  <si>
    <t xml:space="preserve">721 Accommodation; 722 Food services</t>
  </si>
  <si>
    <t xml:space="preserve">Publishing, audiovisual and broadcasting activities</t>
  </si>
  <si>
    <t xml:space="preserve">511 Publishing; 512 Motion picture; 513-broadcast (NAICS 515)</t>
  </si>
  <si>
    <t xml:space="preserve">513-telecom (NAICS 517)</t>
  </si>
  <si>
    <t xml:space="preserve">514 Data processing; 5415 Computer systems design</t>
  </si>
  <si>
    <t xml:space="preserve">Financial and insurance activities</t>
  </si>
  <si>
    <t xml:space="preserve">521CI + 523 + 524 + 525 Finance and insurance</t>
  </si>
  <si>
    <t xml:space="preserve">HS + ORE Real estate</t>
  </si>
  <si>
    <t xml:space="preserve">Professional, scientific, technical, administrative services</t>
  </si>
  <si>
    <t xml:space="preserve">5411 Legal + 5412OP misc prof + 55 Mgmt + 561 Admin support; 532RL Rental/leasing</t>
  </si>
  <si>
    <t xml:space="preserve">Public administration and defence; compulsory social security</t>
  </si>
  <si>
    <t xml:space="preserve">GFGD + GFGN + GFE + GSLG + GSLE Government (federal + state/local)</t>
  </si>
  <si>
    <t xml:space="preserve">61 Educational services</t>
  </si>
  <si>
    <t xml:space="preserve">Human health and social work activities</t>
  </si>
  <si>
    <t xml:space="preserve">621 + 622 + 623 + 624 Health and social assistance</t>
  </si>
  <si>
    <t xml:space="preserve">Arts, entertainment, recreation, other service activities</t>
  </si>
  <si>
    <t xml:space="preserve">711AS + 713 + 81 Arts/entertainment/recreation + other services (religious, personal, repair etc.) per NAICS 2017 -&gt; ISIC Rev 4 Section S</t>
  </si>
  <si>
    <t xml:space="preserve">97T98</t>
  </si>
  <si>
    <t xml:space="preserve">Households as employers; undifferentiated production (zero in EPS)</t>
  </si>
  <si>
    <t xml:space="preserve">Designed zero row: households as employers (NAICS 814)</t>
  </si>
  <si>
    <t xml:space="preserve">STEP 1 - read BEA code / ISIC code / weight live from the Crosswalk tab, pull each BEA value from the source tab, then weight it</t>
  </si>
  <si>
    <t xml:space="preserve">BEA_value_nominal</t>
  </si>
  <si>
    <t xml:space="preserve">weighted_nominal</t>
  </si>
  <si>
    <t xml:space="preserve">STEP 2 - aggregate weighted values to 42 ISIC, then deflate to 2012 USD (Keys!$C$2)</t>
  </si>
  <si>
    <t xml:space="preserve">aggregated_nominal</t>
  </si>
  <si>
    <t xml:space="preserve">value_2012USD</t>
  </si>
  <si>
    <t xml:space="preserve">Unit: USD</t>
  </si>
  <si>
    <t xml:space="preserve">Output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</si>
</sst>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2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10.71" hidden="0" customWidth="1"/>
  </cols>
  <sheetData>
    <row r="1">
      <c r="A1" s="1" t="s">
        <v>0</v>
      </c>
    </row>
    <row r="2">
      <c r="A2" t="s">
        <v>1</v>
      </c>
    </row>
    <row r="3">
      <c r="A3" t="s">
        <v>2</v>
      </c>
    </row>
    <row r="4">
      <c r="A4" t="s">
        <v>3</v>
      </c>
    </row>
    <row r="5">
      <c r="A5" t="s">
        <v>1</v>
      </c>
    </row>
    <row r="6">
      <c r="A6" t="s">
        <v>4</v>
      </c>
    </row>
    <row r="7">
      <c r="A7" t="s">
        <v>5</v>
      </c>
    </row>
    <row r="8">
      <c r="A8" t="s">
        <v>4</v>
      </c>
    </row>
    <row r="9">
      <c r="A9" t="s">
        <v>6</v>
      </c>
    </row>
    <row r="10">
      <c r="A10" t="s">
        <v>7</v>
      </c>
    </row>
    <row r="11">
      <c r="A11" t="s">
        <v>8</v>
      </c>
    </row>
    <row r="12">
      <c r="A12" t="s">
        <v>9</v>
      </c>
    </row>
    <row r="13">
      <c r="A13" t="s">
        <v>10</v>
      </c>
    </row>
    <row r="14">
      <c r="A14" t="s">
        <v>1</v>
      </c>
    </row>
    <row r="15">
      <c r="A15" t="s">
        <v>11</v>
      </c>
    </row>
    <row r="16">
      <c r="A16" t="s">
        <v>12</v>
      </c>
    </row>
    <row r="17">
      <c r="A17" t="s">
        <v>13</v>
      </c>
    </row>
    <row r="18">
      <c r="A18" t="s">
        <v>14</v>
      </c>
    </row>
    <row r="19">
      <c r="A19" t="s">
        <v>15</v>
      </c>
    </row>
    <row r="20">
      <c r="A20" t="s">
        <v>1</v>
      </c>
    </row>
    <row r="21">
      <c r="A21" t="s">
        <v>16</v>
      </c>
    </row>
    <row r="22">
      <c r="A22" t="s">
        <v>17</v>
      </c>
    </row>
    <row r="23">
      <c r="A23" t="s">
        <v>1</v>
      </c>
    </row>
    <row r="24">
      <c r="A24" t="s">
        <v>18</v>
      </c>
    </row>
    <row r="25">
      <c r="A25" t="s">
        <v>19</v>
      </c>
    </row>
    <row r="26">
      <c r="A26" t="s">
        <v>20</v>
      </c>
    </row>
    <row r="27">
      <c r="A27" t="s">
        <v>21</v>
      </c>
    </row>
    <row r="28">
      <c r="A28" t="s">
        <v>22</v>
      </c>
    </row>
    <row r="29">
      <c r="A29" t="s">
        <v>23</v>
      </c>
    </row>
    <row r="30">
      <c r="A30" t="s">
        <v>24</v>
      </c>
    </row>
    <row r="31">
      <c r="A31" t="s">
        <v>25</v>
      </c>
    </row>
    <row r="32">
      <c r="A32" t="s">
        <v>1</v>
      </c>
    </row>
    <row r="33">
      <c r="A33" t="s">
        <v>26</v>
      </c>
    </row>
    <row r="34">
      <c r="A34" t="s">
        <v>27</v>
      </c>
    </row>
    <row r="35">
      <c r="A35" t="s">
        <v>28</v>
      </c>
    </row>
    <row r="36">
      <c r="A36" t="s">
        <v>29</v>
      </c>
    </row>
    <row r="37">
      <c r="A37" t="s">
        <v>30</v>
      </c>
    </row>
    <row r="38">
      <c r="A38" t="s">
        <v>31</v>
      </c>
    </row>
    <row r="39">
      <c r="A39" t="s">
        <v>1</v>
      </c>
    </row>
    <row r="40">
      <c r="A40" t="s">
        <v>32</v>
      </c>
    </row>
    <row r="41">
      <c r="A41" t="s">
        <v>33</v>
      </c>
    </row>
    <row r="42">
      <c r="A42" t="s">
        <v>34</v>
      </c>
    </row>
    <row r="43">
      <c r="A43" t="s">
        <v>1</v>
      </c>
    </row>
    <row r="44">
      <c r="A44" t="s">
        <v>35</v>
      </c>
    </row>
    <row r="45">
      <c r="A45" t="s">
        <v>36</v>
      </c>
    </row>
    <row r="46">
      <c r="A46" t="s">
        <v>37</v>
      </c>
    </row>
    <row r="47">
      <c r="A47" t="s">
        <v>38</v>
      </c>
    </row>
    <row r="48">
      <c r="A48" t="s">
        <v>39</v>
      </c>
    </row>
    <row r="49">
      <c r="A49" t="s">
        <v>40</v>
      </c>
    </row>
    <row r="50">
      <c r="A50" t="s">
        <v>41</v>
      </c>
    </row>
    <row r="51">
      <c r="A51" t="s">
        <v>42</v>
      </c>
    </row>
    <row r="52">
      <c r="A52" t="s">
        <v>43</v>
      </c>
    </row>
    <row r="53">
      <c r="A53" t="s">
        <v>44</v>
      </c>
    </row>
    <row r="54">
      <c r="A54" t="s">
        <v>45</v>
      </c>
    </row>
    <row r="55">
      <c r="A55" t="s">
        <v>46</v>
      </c>
    </row>
    <row r="56">
      <c r="A56" t="s">
        <v>1</v>
      </c>
    </row>
    <row r="57">
      <c r="A57" t="s">
        <v>47</v>
      </c>
    </row>
    <row r="58">
      <c r="A58" t="s">
        <v>48</v>
      </c>
    </row>
    <row r="59">
      <c r="A59" t="s">
        <v>49</v>
      </c>
    </row>
    <row r="60">
      <c r="A60" t="s">
        <v>50</v>
      </c>
    </row>
    <row r="61">
      <c r="A61" t="s">
        <v>51</v>
      </c>
    </row>
    <row r="62">
      <c r="A62" t="s">
        <v>1</v>
      </c>
    </row>
    <row r="63">
      <c r="A63" t="s">
        <v>52</v>
      </c>
    </row>
    <row r="64">
      <c r="A64" t="s">
        <v>53</v>
      </c>
    </row>
    <row r="65">
      <c r="A65" t="s">
        <v>1</v>
      </c>
    </row>
    <row r="66">
      <c r="A66" t="s">
        <v>4</v>
      </c>
    </row>
    <row r="67">
      <c r="A67" t="s">
        <v>54</v>
      </c>
    </row>
    <row r="68">
      <c r="A68" t="s">
        <v>4</v>
      </c>
    </row>
    <row r="69">
      <c r="A69" t="s">
        <v>55</v>
      </c>
    </row>
    <row r="70">
      <c r="A70" t="s">
        <v>56</v>
      </c>
    </row>
    <row r="71">
      <c r="A71" t="s">
        <v>1</v>
      </c>
    </row>
    <row r="72">
      <c r="A72" t="s">
        <v>57</v>
      </c>
    </row>
    <row r="73">
      <c r="A73" t="s">
        <v>58</v>
      </c>
    </row>
    <row r="74">
      <c r="A74" t="s">
        <v>59</v>
      </c>
    </row>
    <row r="75">
      <c r="A75" t="s">
        <v>60</v>
      </c>
    </row>
    <row r="76">
      <c r="A76" t="s">
        <v>61</v>
      </c>
    </row>
    <row r="77">
      <c r="A77" t="s">
        <v>62</v>
      </c>
    </row>
    <row r="78">
      <c r="A78" t="s">
        <v>63</v>
      </c>
    </row>
    <row r="79">
      <c r="A79" t="s">
        <v>64</v>
      </c>
    </row>
    <row r="80">
      <c r="A80" t="s">
        <v>65</v>
      </c>
    </row>
    <row r="81">
      <c r="A81" t="s">
        <v>66</v>
      </c>
    </row>
    <row r="82">
      <c r="A82" t="s">
        <v>67</v>
      </c>
    </row>
    <row r="83">
      <c r="A83" t="s">
        <v>1</v>
      </c>
    </row>
    <row r="84">
      <c r="A84" t="s">
        <v>68</v>
      </c>
    </row>
    <row r="85">
      <c r="A85" t="s">
        <v>69</v>
      </c>
    </row>
    <row r="86">
      <c r="A86" t="s">
        <v>1</v>
      </c>
    </row>
    <row r="87">
      <c r="A87" t="s">
        <v>4</v>
      </c>
    </row>
    <row r="88">
      <c r="A88" t="s">
        <v>70</v>
      </c>
    </row>
    <row r="89">
      <c r="A89" t="s">
        <v>4</v>
      </c>
    </row>
    <row r="90">
      <c r="A90" t="s">
        <v>71</v>
      </c>
    </row>
    <row r="91">
      <c r="A91" t="s">
        <v>72</v>
      </c>
    </row>
    <row r="92">
      <c r="A92" t="s">
        <v>73</v>
      </c>
    </row>
    <row r="93">
      <c r="A93" t="s">
        <v>1</v>
      </c>
    </row>
    <row r="94">
      <c r="A94" t="s">
        <v>74</v>
      </c>
    </row>
    <row r="95">
      <c r="A95" t="s">
        <v>75</v>
      </c>
    </row>
    <row r="96">
      <c r="A96" t="s">
        <v>76</v>
      </c>
    </row>
    <row r="97">
      <c r="A97" t="s">
        <v>1</v>
      </c>
    </row>
    <row r="98">
      <c r="A98" t="s">
        <v>77</v>
      </c>
    </row>
    <row r="99">
      <c r="A99" t="s">
        <v>78</v>
      </c>
    </row>
    <row r="100">
      <c r="A100" t="s">
        <v>79</v>
      </c>
    </row>
    <row r="101">
      <c r="A101" t="s">
        <v>1</v>
      </c>
    </row>
    <row r="102">
      <c r="A102" t="s">
        <v>80</v>
      </c>
    </row>
    <row r="103">
      <c r="A103" t="s">
        <v>81</v>
      </c>
    </row>
    <row r="104">
      <c r="A104" t="s">
        <v>82</v>
      </c>
    </row>
    <row r="105">
      <c r="A105" t="s">
        <v>1</v>
      </c>
    </row>
    <row r="106">
      <c r="A106" t="s">
        <v>83</v>
      </c>
    </row>
    <row r="107">
      <c r="A107" t="s">
        <v>84</v>
      </c>
    </row>
    <row r="108">
      <c r="A108" t="s">
        <v>85</v>
      </c>
    </row>
    <row r="109">
      <c r="A109" t="s">
        <v>1</v>
      </c>
    </row>
    <row r="110">
      <c r="A110" t="s">
        <v>86</v>
      </c>
    </row>
    <row r="111">
      <c r="A111" t="s">
        <v>87</v>
      </c>
    </row>
    <row r="112">
      <c r="A112" t="s">
        <v>88</v>
      </c>
    </row>
    <row r="113">
      <c r="A113" t="s">
        <v>1</v>
      </c>
    </row>
    <row r="114">
      <c r="A114" t="s">
        <v>89</v>
      </c>
    </row>
    <row r="115">
      <c r="A115" t="s">
        <v>90</v>
      </c>
    </row>
    <row r="116">
      <c r="A116" t="s">
        <v>91</v>
      </c>
    </row>
    <row r="117">
      <c r="A117" t="s">
        <v>1</v>
      </c>
    </row>
    <row r="118">
      <c r="A118" t="s">
        <v>92</v>
      </c>
    </row>
    <row r="119">
      <c r="A119" t="s">
        <v>93</v>
      </c>
    </row>
    <row r="120">
      <c r="A120" t="s">
        <v>94</v>
      </c>
    </row>
    <row r="121">
      <c r="A121" t="s">
        <v>1</v>
      </c>
    </row>
    <row r="122">
      <c r="A122" t="s">
        <v>95</v>
      </c>
    </row>
    <row r="123">
      <c r="A123" t="s">
        <v>96</v>
      </c>
    </row>
    <row r="124">
      <c r="A124" t="s">
        <v>97</v>
      </c>
    </row>
    <row r="125">
      <c r="A125" t="s">
        <v>1</v>
      </c>
    </row>
    <row r="126">
      <c r="A126" t="s">
        <v>98</v>
      </c>
    </row>
    <row r="127">
      <c r="A127" t="s">
        <v>99</v>
      </c>
    </row>
    <row r="128">
      <c r="A128" t="s">
        <v>100</v>
      </c>
    </row>
    <row r="129">
      <c r="A129" t="s">
        <v>1</v>
      </c>
    </row>
    <row r="130">
      <c r="A130" t="s">
        <v>101</v>
      </c>
    </row>
    <row r="131">
      <c r="A131" t="s">
        <v>102</v>
      </c>
    </row>
    <row r="132">
      <c r="A132" t="s">
        <v>103</v>
      </c>
    </row>
    <row r="133">
      <c r="A133" t="s">
        <v>1</v>
      </c>
    </row>
    <row r="134">
      <c r="A134" t="s">
        <v>4</v>
      </c>
    </row>
    <row r="135">
      <c r="A135" t="s">
        <v>104</v>
      </c>
    </row>
    <row r="136">
      <c r="A136" t="s">
        <v>4</v>
      </c>
    </row>
    <row r="137">
      <c r="A137" t="s">
        <v>105</v>
      </c>
    </row>
    <row r="138">
      <c r="A138" t="s">
        <v>106</v>
      </c>
    </row>
    <row r="139">
      <c r="A139" t="s">
        <v>1</v>
      </c>
    </row>
    <row r="140">
      <c r="A140" t="s">
        <v>107</v>
      </c>
    </row>
    <row r="141">
      <c r="A141" t="s">
        <v>108</v>
      </c>
    </row>
    <row r="142">
      <c r="A142" t="s">
        <v>109</v>
      </c>
    </row>
    <row r="143">
      <c r="A143" t="s">
        <v>110</v>
      </c>
    </row>
    <row r="144">
      <c r="A144" t="s">
        <v>111</v>
      </c>
    </row>
    <row r="145">
      <c r="A145" t="s">
        <v>112</v>
      </c>
    </row>
    <row r="146">
      <c r="A146" t="s">
        <v>113</v>
      </c>
    </row>
    <row r="147">
      <c r="A147" t="s">
        <v>114</v>
      </c>
    </row>
    <row r="148">
      <c r="A148" t="s">
        <v>115</v>
      </c>
    </row>
    <row r="149">
      <c r="A149" t="s">
        <v>116</v>
      </c>
    </row>
    <row r="150">
      <c r="A150" t="s">
        <v>117</v>
      </c>
    </row>
    <row r="151">
      <c r="A151" t="s">
        <v>118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2.71" hidden="0" customWidth="1"/>
    <col min="2" max="2" width="26.71" hidden="0" customWidth="1"/>
    <col min="3" max="3" width="14.71" hidden="0" customWidth="1"/>
    <col min="4" max="4" width="82.71" hidden="0" customWidth="1"/>
  </cols>
  <sheetData>
    <row r="1">
      <c r="A1" t="s">
        <v>119</v>
      </c>
      <c r="B1" t="s">
        <v>120</v>
      </c>
      <c r="C1" t="s">
        <v>121</v>
      </c>
      <c r="D1" t="s">
        <v>122</v>
      </c>
    </row>
    <row r="2">
      <c r="A2" t="s">
        <v>123</v>
      </c>
      <c r="B2" t="s">
        <v>124</v>
      </c>
      <c r="C2" t="n">
        <v>1.12266</v>
      </c>
      <c r="D2" t="s">
        <v>125</v>
      </c>
    </row>
    <row r="3">
      <c r="A3" t="s">
        <v>126</v>
      </c>
      <c r="B3" t="s">
        <v>127</v>
      </c>
      <c r="C3" t="n">
        <v>2019</v>
      </c>
      <c r="D3" t="s">
        <v>128</v>
      </c>
    </row>
    <row r="4">
      <c r="A4" t="s">
        <v>129</v>
      </c>
      <c r="B4" t="s">
        <v>130</v>
      </c>
      <c r="C4" t="n">
        <v>0.000000001</v>
      </c>
      <c r="D4" t="s">
        <v>131</v>
      </c>
    </row>
    <row r="5">
      <c r="A5" t="s">
        <v>129</v>
      </c>
      <c r="B5" t="s">
        <v>132</v>
      </c>
      <c r="C5" t="n">
        <v>1</v>
      </c>
      <c r="D5" t="s">
        <v>133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</cols>
  <sheetData>
    <row r="1">
      <c r="A1" t="s">
        <v>134</v>
      </c>
      <c r="B1" t="s">
        <v>135</v>
      </c>
    </row>
    <row r="2">
      <c r="A2" t="s">
        <v>136</v>
      </c>
      <c r="B2" t="n">
        <v>7260821104.25117</v>
      </c>
    </row>
    <row r="3">
      <c r="A3" t="s">
        <v>137</v>
      </c>
      <c r="B3" t="n">
        <v>342351501.819895</v>
      </c>
    </row>
    <row r="4">
      <c r="A4" t="s">
        <v>138</v>
      </c>
      <c r="B4" t="n">
        <v>34073989044.0971</v>
      </c>
    </row>
    <row r="5">
      <c r="A5" t="s">
        <v>139</v>
      </c>
      <c r="B5" t="n">
        <v>1079728312.40524</v>
      </c>
    </row>
    <row r="6">
      <c r="A6" t="s">
        <v>140</v>
      </c>
      <c r="B6" t="n">
        <v>9267230678.05184</v>
      </c>
    </row>
    <row r="7">
      <c r="A7" t="s">
        <v>141</v>
      </c>
      <c r="B7" t="n">
        <v>6925640603.64191</v>
      </c>
    </row>
    <row r="8">
      <c r="A8" t="s">
        <v>142</v>
      </c>
      <c r="B8" t="n">
        <v>14426656814.8262</v>
      </c>
    </row>
    <row r="9">
      <c r="A9" t="s">
        <v>143</v>
      </c>
      <c r="B9" t="n">
        <v>619229597.58149</v>
      </c>
    </row>
    <row r="10">
      <c r="A10" t="s">
        <v>144</v>
      </c>
      <c r="B10" t="n">
        <v>2155094222.02714</v>
      </c>
    </row>
    <row r="11">
      <c r="A11" t="s">
        <v>145</v>
      </c>
      <c r="B11" t="n">
        <v>1464516559.71783</v>
      </c>
    </row>
    <row r="12">
      <c r="A12" t="s">
        <v>146</v>
      </c>
      <c r="B12" t="n">
        <v>6669687808.8419</v>
      </c>
    </row>
    <row r="13">
      <c r="A13" t="s">
        <v>147</v>
      </c>
      <c r="B13" t="n">
        <v>7973755914.84176</v>
      </c>
    </row>
    <row r="14">
      <c r="A14" t="s">
        <v>148</v>
      </c>
      <c r="B14" t="n">
        <v>903039461.69826</v>
      </c>
    </row>
    <row r="15">
      <c r="A15" t="s">
        <v>149</v>
      </c>
      <c r="B15" t="n">
        <v>728102327.223373</v>
      </c>
    </row>
    <row r="16">
      <c r="A16" t="s">
        <v>150</v>
      </c>
      <c r="B16" t="n">
        <v>3405570637.08175</v>
      </c>
    </row>
    <row r="17">
      <c r="A17" t="s">
        <v>151</v>
      </c>
      <c r="B17" t="n">
        <v>2481555355.19816</v>
      </c>
    </row>
    <row r="18">
      <c r="A18" t="s">
        <v>152</v>
      </c>
      <c r="B18" t="n">
        <v>299826158.614569</v>
      </c>
    </row>
    <row r="19">
      <c r="A19" t="s">
        <v>153</v>
      </c>
      <c r="B19" t="n">
        <v>515582126.318724</v>
      </c>
    </row>
    <row r="20">
      <c r="A20" t="s">
        <v>154</v>
      </c>
      <c r="B20" t="n">
        <v>7039033811.07056</v>
      </c>
    </row>
    <row r="21">
      <c r="A21" t="s">
        <v>155</v>
      </c>
      <c r="B21" t="n">
        <v>103812880.110662</v>
      </c>
    </row>
    <row r="22">
      <c r="A22" t="s">
        <v>156</v>
      </c>
      <c r="B22" t="n">
        <v>109739026.937951</v>
      </c>
    </row>
    <row r="23">
      <c r="A23" t="s">
        <v>157</v>
      </c>
      <c r="B23" t="n">
        <v>2965376203.86656</v>
      </c>
    </row>
    <row r="24">
      <c r="A24" t="s">
        <v>158</v>
      </c>
      <c r="B24" t="n">
        <v>351318002.0245</v>
      </c>
    </row>
    <row r="25">
      <c r="A25" t="s">
        <v>159</v>
      </c>
      <c r="B25" t="n">
        <v>9302203023.8508</v>
      </c>
    </row>
    <row r="26">
      <c r="A26" t="s">
        <v>160</v>
      </c>
      <c r="B26" t="n">
        <v>2248802453.78105</v>
      </c>
    </row>
    <row r="27">
      <c r="A27" t="s">
        <v>161</v>
      </c>
      <c r="B27" t="n">
        <v>4235518390.05355</v>
      </c>
    </row>
    <row r="28">
      <c r="A28" t="s">
        <v>162</v>
      </c>
      <c r="B28" t="n">
        <v>18085076654.5445</v>
      </c>
    </row>
    <row r="29">
      <c r="A29" t="s">
        <v>163</v>
      </c>
      <c r="B29" t="n">
        <v>4489459202.43612</v>
      </c>
    </row>
    <row r="30">
      <c r="A30" t="s">
        <v>164</v>
      </c>
      <c r="B30" t="n">
        <v>1919761876.79688</v>
      </c>
    </row>
    <row r="31">
      <c r="A31" t="s">
        <v>165</v>
      </c>
      <c r="B31" t="n">
        <v>3741737328.41304</v>
      </c>
    </row>
    <row r="32">
      <c r="A32" t="s">
        <v>166</v>
      </c>
      <c r="B32" t="n">
        <v>9400370324.01797</v>
      </c>
    </row>
    <row r="33">
      <c r="A33" t="s">
        <v>167</v>
      </c>
      <c r="B33" t="n">
        <v>2090581977.04114</v>
      </c>
    </row>
    <row r="34">
      <c r="A34" t="s">
        <v>168</v>
      </c>
      <c r="B34" t="n">
        <v>1674123567.7478</v>
      </c>
    </row>
    <row r="35">
      <c r="A35" t="s">
        <v>169</v>
      </c>
      <c r="B35" t="n">
        <v>784612.410593466</v>
      </c>
    </row>
    <row r="36">
      <c r="A36" t="s">
        <v>170</v>
      </c>
      <c r="B36" t="n">
        <v>5364772035.35607</v>
      </c>
    </row>
    <row r="37">
      <c r="A37" t="s">
        <v>171</v>
      </c>
      <c r="B37" t="n">
        <v>111296024.734982</v>
      </c>
    </row>
    <row r="38">
      <c r="A38" t="s">
        <v>172</v>
      </c>
      <c r="B38" t="n">
        <v>7730079452.05479</v>
      </c>
    </row>
    <row r="39">
      <c r="A39" t="s">
        <v>173</v>
      </c>
      <c r="B39" t="n">
        <v>2004254949.20597</v>
      </c>
    </row>
    <row r="40">
      <c r="A40" t="s">
        <v>174</v>
      </c>
      <c r="B40" t="n">
        <v>1360364455.49952</v>
      </c>
    </row>
    <row r="41">
      <c r="A41" t="s">
        <v>175</v>
      </c>
      <c r="B41" t="n">
        <v>2909672355.67003</v>
      </c>
    </row>
    <row r="42">
      <c r="A42" t="s">
        <v>176</v>
      </c>
      <c r="B42" t="n">
        <v>205574242.475575</v>
      </c>
    </row>
    <row r="43">
      <c r="A43" t="s">
        <v>177</v>
      </c>
      <c r="B43" t="n">
        <v>6872140067.66766</v>
      </c>
    </row>
    <row r="44">
      <c r="A44" t="s">
        <v>178</v>
      </c>
      <c r="B44" t="n">
        <v>695601931.858222</v>
      </c>
    </row>
    <row r="45">
      <c r="A45" t="s">
        <v>179</v>
      </c>
      <c r="B45" t="n">
        <v>5643319640.47567</v>
      </c>
    </row>
    <row r="46">
      <c r="A46" t="s">
        <v>180</v>
      </c>
      <c r="B46" t="n">
        <v>1491930945.77644</v>
      </c>
    </row>
    <row r="47">
      <c r="A47" t="s">
        <v>181</v>
      </c>
      <c r="B47" t="n">
        <v>6170895712.20642</v>
      </c>
    </row>
    <row r="48">
      <c r="A48" t="s">
        <v>182</v>
      </c>
      <c r="B48" t="n">
        <v>83981196.5811966</v>
      </c>
    </row>
    <row r="49">
      <c r="A49" t="s">
        <v>183</v>
      </c>
      <c r="B49" t="n">
        <v>20713478788.8051</v>
      </c>
    </row>
    <row r="50">
      <c r="A50" t="s">
        <v>184</v>
      </c>
      <c r="B50" t="n">
        <v>6223379049.44127</v>
      </c>
    </row>
    <row r="51">
      <c r="A51" t="s">
        <v>185</v>
      </c>
      <c r="B51" t="n">
        <v>3331422590.55674</v>
      </c>
    </row>
    <row r="52">
      <c r="A52" t="s">
        <v>186</v>
      </c>
      <c r="B52" t="n">
        <v>2321545993.49971</v>
      </c>
    </row>
    <row r="53">
      <c r="A53" t="s">
        <v>187</v>
      </c>
      <c r="B53" t="n">
        <v>1617915627.84055</v>
      </c>
    </row>
    <row r="54">
      <c r="A54" t="s">
        <v>188</v>
      </c>
      <c r="B54" t="n">
        <v>9532923134.60357</v>
      </c>
    </row>
    <row r="55">
      <c r="A55" t="s">
        <v>189</v>
      </c>
      <c r="B55" t="n">
        <v>4190633091.45869</v>
      </c>
    </row>
    <row r="56">
      <c r="A56" t="s">
        <v>190</v>
      </c>
      <c r="B56" t="n">
        <v>10585706904.7035</v>
      </c>
    </row>
    <row r="57">
      <c r="A57" t="s">
        <v>191</v>
      </c>
      <c r="B57" t="n">
        <v>920318564.62939</v>
      </c>
    </row>
    <row r="58">
      <c r="A58" t="s">
        <v>192</v>
      </c>
      <c r="B58" t="n">
        <v>1814856468.31607</v>
      </c>
    </row>
    <row r="59">
      <c r="A59" t="s">
        <v>193</v>
      </c>
      <c r="B59" t="n">
        <v>10816370903.0199</v>
      </c>
    </row>
    <row r="60">
      <c r="A60" t="s">
        <v>194</v>
      </c>
      <c r="B60" t="n">
        <v>8850866049.61789</v>
      </c>
    </row>
    <row r="61">
      <c r="A61" t="s">
        <v>195</v>
      </c>
      <c r="B61" t="n">
        <v>2259897003.93423</v>
      </c>
    </row>
    <row r="62">
      <c r="A62" t="s">
        <v>196</v>
      </c>
      <c r="B62" t="n">
        <v>1932339020.72102</v>
      </c>
    </row>
    <row r="63">
      <c r="A63" t="s">
        <v>197</v>
      </c>
      <c r="B63" t="n">
        <v>1019347505.85372</v>
      </c>
    </row>
    <row r="64">
      <c r="A64" t="s">
        <v>198</v>
      </c>
      <c r="B64" t="n">
        <v>1229055554.98049</v>
      </c>
    </row>
    <row r="65">
      <c r="A65" t="s">
        <v>199</v>
      </c>
      <c r="B65" t="n">
        <v>1387513381.33336</v>
      </c>
    </row>
    <row r="66">
      <c r="A66" t="s">
        <v>200</v>
      </c>
      <c r="B66" t="n">
        <v>9593604972.84682</v>
      </c>
    </row>
    <row r="67">
      <c r="A67" t="s">
        <v>201</v>
      </c>
      <c r="B67" t="n">
        <v>7419815424.26297</v>
      </c>
    </row>
    <row r="68">
      <c r="A68" t="s">
        <v>202</v>
      </c>
      <c r="B68" t="n">
        <v>6125768353.5732</v>
      </c>
    </row>
    <row r="69">
      <c r="A69" t="s">
        <v>203</v>
      </c>
      <c r="B69" t="n">
        <v>5962872757.28057</v>
      </c>
    </row>
    <row r="70">
      <c r="A70" t="s">
        <v>204</v>
      </c>
      <c r="B70" t="n">
        <v>1225102191.6455</v>
      </c>
    </row>
    <row r="71">
      <c r="A71" t="s">
        <v>205</v>
      </c>
      <c r="B71" t="n">
        <v>33912548241.586</v>
      </c>
    </row>
    <row r="72">
      <c r="A72" t="s">
        <v>206</v>
      </c>
      <c r="B72" t="n">
        <v>3083971223.6546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8" xSplit="1" topLeftCell="B9" activePane="bottomRight" state="frozen"/>
      <selection pane="bottomRight"/>
    </sheetView>
  </sheetViews>
  <sheetFormatPr defaultRowHeight="15.0" baseColWidth="10"/>
  <cols>
    <col min="1" max="1" width="14.71" hidden="0" customWidth="1"/>
  </cols>
  <sheetData>
    <row r="1">
      <c r="A1" t="s">
        <v>207</v>
      </c>
    </row>
    <row r="2">
      <c r="A2" t="s">
        <v>208</v>
      </c>
    </row>
    <row r="3">
      <c r="A3" t="s">
        <v>209</v>
      </c>
    </row>
    <row r="4">
      <c r="A4" t="s">
        <v>210</v>
      </c>
    </row>
    <row r="5">
      <c r="A5" t="s">
        <v>211</v>
      </c>
    </row>
    <row r="6">
      <c r="A6" t="s">
        <v>1</v>
      </c>
    </row>
    <row r="8">
      <c r="A8" t="s">
        <v>212</v>
      </c>
      <c r="B8" t="s">
        <v>136</v>
      </c>
      <c r="C8" t="s">
        <v>137</v>
      </c>
      <c r="D8" t="s">
        <v>138</v>
      </c>
      <c r="E8" t="s">
        <v>139</v>
      </c>
      <c r="F8" t="s">
        <v>140</v>
      </c>
      <c r="G8" t="s">
        <v>141</v>
      </c>
      <c r="H8" t="s">
        <v>142</v>
      </c>
      <c r="I8" t="s">
        <v>143</v>
      </c>
      <c r="J8" t="s">
        <v>144</v>
      </c>
      <c r="K8" t="s">
        <v>145</v>
      </c>
      <c r="L8" t="s">
        <v>146</v>
      </c>
      <c r="M8" t="s">
        <v>147</v>
      </c>
      <c r="N8" t="s">
        <v>148</v>
      </c>
      <c r="O8" t="s">
        <v>149</v>
      </c>
      <c r="P8" t="s">
        <v>150</v>
      </c>
      <c r="Q8" t="s">
        <v>151</v>
      </c>
      <c r="R8" t="s">
        <v>152</v>
      </c>
      <c r="S8" t="s">
        <v>153</v>
      </c>
      <c r="T8" t="s">
        <v>154</v>
      </c>
      <c r="U8" t="s">
        <v>155</v>
      </c>
      <c r="V8" t="s">
        <v>156</v>
      </c>
      <c r="W8" t="s">
        <v>157</v>
      </c>
      <c r="X8" t="s">
        <v>158</v>
      </c>
      <c r="Y8" t="s">
        <v>159</v>
      </c>
      <c r="Z8" t="s">
        <v>160</v>
      </c>
      <c r="AA8" t="s">
        <v>161</v>
      </c>
      <c r="AB8" t="s">
        <v>162</v>
      </c>
      <c r="AC8" t="s">
        <v>163</v>
      </c>
      <c r="AD8" t="s">
        <v>164</v>
      </c>
      <c r="AE8" t="s">
        <v>165</v>
      </c>
      <c r="AF8" t="s">
        <v>166</v>
      </c>
      <c r="AG8" t="s">
        <v>167</v>
      </c>
      <c r="AH8" t="s">
        <v>168</v>
      </c>
      <c r="AI8" t="s">
        <v>169</v>
      </c>
      <c r="AJ8" t="s">
        <v>170</v>
      </c>
      <c r="AK8" t="s">
        <v>171</v>
      </c>
      <c r="AL8" t="s">
        <v>172</v>
      </c>
      <c r="AM8" t="s">
        <v>173</v>
      </c>
      <c r="AN8" t="s">
        <v>174</v>
      </c>
      <c r="AO8" t="s">
        <v>175</v>
      </c>
      <c r="AP8" t="s">
        <v>176</v>
      </c>
      <c r="AQ8" t="s">
        <v>177</v>
      </c>
      <c r="AR8" t="s">
        <v>178</v>
      </c>
      <c r="AS8" t="s">
        <v>179</v>
      </c>
      <c r="AT8" t="s">
        <v>180</v>
      </c>
      <c r="AU8" t="s">
        <v>181</v>
      </c>
      <c r="AV8" t="s">
        <v>182</v>
      </c>
      <c r="AW8" t="s">
        <v>183</v>
      </c>
      <c r="AX8" t="s">
        <v>184</v>
      </c>
      <c r="AY8" t="s">
        <v>185</v>
      </c>
      <c r="AZ8" t="s">
        <v>186</v>
      </c>
      <c r="BA8" t="s">
        <v>187</v>
      </c>
      <c r="BB8" t="s">
        <v>188</v>
      </c>
      <c r="BC8" t="s">
        <v>189</v>
      </c>
      <c r="BD8" t="s">
        <v>190</v>
      </c>
      <c r="BE8" t="s">
        <v>191</v>
      </c>
      <c r="BF8" t="s">
        <v>192</v>
      </c>
      <c r="BG8" t="s">
        <v>193</v>
      </c>
      <c r="BH8" t="s">
        <v>194</v>
      </c>
      <c r="BI8" t="s">
        <v>195</v>
      </c>
      <c r="BJ8" t="s">
        <v>196</v>
      </c>
      <c r="BK8" t="s">
        <v>197</v>
      </c>
      <c r="BL8" t="s">
        <v>198</v>
      </c>
      <c r="BM8" t="s">
        <v>199</v>
      </c>
      <c r="BN8" t="s">
        <v>200</v>
      </c>
      <c r="BO8" t="s">
        <v>201</v>
      </c>
      <c r="BP8" t="s">
        <v>202</v>
      </c>
      <c r="BQ8" t="s">
        <v>203</v>
      </c>
      <c r="BR8" t="s">
        <v>204</v>
      </c>
      <c r="BS8" t="s">
        <v>205</v>
      </c>
      <c r="BT8" t="s">
        <v>206</v>
      </c>
      <c r="BU8" t="s">
        <v>213</v>
      </c>
      <c r="BV8" t="s">
        <v>214</v>
      </c>
    </row>
    <row r="9">
      <c r="A9" t="s">
        <v>136</v>
      </c>
      <c r="B9" t="n">
        <v>7126244536.24018</v>
      </c>
      <c r="C9" t="n">
        <v>99092822.1323483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206042.629883358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35277703.3027102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</row>
    <row r="10">
      <c r="A10" t="s">
        <v>137</v>
      </c>
      <c r="B10" t="n">
        <v>47513.4664700298</v>
      </c>
      <c r="C10" t="n">
        <v>341211254.301087</v>
      </c>
      <c r="D10" t="n">
        <v>0</v>
      </c>
      <c r="E10" t="n">
        <v>0</v>
      </c>
      <c r="F10" t="n">
        <v>0</v>
      </c>
      <c r="G10" t="n">
        <v>0</v>
      </c>
      <c r="H10" t="n">
        <v>1106162.30919053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</row>
    <row r="11">
      <c r="A11" t="s">
        <v>138</v>
      </c>
      <c r="B11" t="n">
        <v>0</v>
      </c>
      <c r="C11" t="n">
        <v>0</v>
      </c>
      <c r="D11" t="n">
        <v>27731713202.377</v>
      </c>
      <c r="E11" t="n">
        <v>9273225.04219833</v>
      </c>
      <c r="F11" t="n">
        <v>2619550360.4512</v>
      </c>
      <c r="G11" t="n">
        <v>0</v>
      </c>
      <c r="H11" t="n">
        <v>266338220.402431</v>
      </c>
      <c r="I11" t="n">
        <v>0</v>
      </c>
      <c r="J11" t="n">
        <v>0</v>
      </c>
      <c r="K11" t="n">
        <v>0</v>
      </c>
      <c r="L11" t="n">
        <v>0</v>
      </c>
      <c r="M11" t="n">
        <v>14244765.5566597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2964071608.40072</v>
      </c>
      <c r="Z11" t="n">
        <v>51204432.9755198</v>
      </c>
      <c r="AA11" t="n">
        <v>0</v>
      </c>
      <c r="AB11" t="n">
        <v>248964871.49527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25820940.5776145</v>
      </c>
      <c r="BB11" t="n">
        <v>143130892.831468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</row>
    <row r="12">
      <c r="A12" t="s">
        <v>139</v>
      </c>
      <c r="B12" t="n">
        <v>0</v>
      </c>
      <c r="C12" t="n">
        <v>0</v>
      </c>
      <c r="D12" t="n">
        <v>0</v>
      </c>
      <c r="E12" t="n">
        <v>892623990.174682</v>
      </c>
      <c r="F12" t="n">
        <v>56112632.7664351</v>
      </c>
      <c r="G12" t="n">
        <v>0</v>
      </c>
      <c r="H12" t="n">
        <v>104112176.215725</v>
      </c>
      <c r="I12" t="n">
        <v>0</v>
      </c>
      <c r="J12" t="n">
        <v>1668499.89251365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325458.140336679</v>
      </c>
      <c r="Z12" t="n">
        <v>19771413.3223723</v>
      </c>
      <c r="AA12" t="n">
        <v>0</v>
      </c>
      <c r="AB12" t="n">
        <v>4256760.38206434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26115.0943684929</v>
      </c>
      <c r="BB12" t="n">
        <v>861798.114160266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</row>
    <row r="13">
      <c r="A13" t="s">
        <v>140</v>
      </c>
      <c r="B13" t="n">
        <v>0</v>
      </c>
      <c r="C13" t="n">
        <v>0</v>
      </c>
      <c r="D13" t="n">
        <v>7213352.62406236</v>
      </c>
      <c r="E13" t="n">
        <v>0</v>
      </c>
      <c r="F13" t="n">
        <v>8608504971.98151</v>
      </c>
      <c r="G13" t="n">
        <v>0</v>
      </c>
      <c r="H13" t="n">
        <v>572976912.47453</v>
      </c>
      <c r="I13" t="n">
        <v>0</v>
      </c>
      <c r="J13" t="n">
        <v>0</v>
      </c>
      <c r="K13" t="n">
        <v>0</v>
      </c>
      <c r="L13" t="n">
        <v>18789271.1195561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2009626.26985186</v>
      </c>
      <c r="Z13" t="n">
        <v>0</v>
      </c>
      <c r="AA13" t="n">
        <v>0</v>
      </c>
      <c r="AB13" t="n">
        <v>31816812.7558858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3497106.57446159</v>
      </c>
      <c r="BB13" t="n">
        <v>22422624.506842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</row>
    <row r="14">
      <c r="A14" t="s">
        <v>141</v>
      </c>
      <c r="B14" t="n">
        <v>0</v>
      </c>
      <c r="C14" t="n">
        <v>0</v>
      </c>
      <c r="D14" t="n">
        <v>346933.275464582</v>
      </c>
      <c r="E14" t="n">
        <v>0</v>
      </c>
      <c r="F14" t="n">
        <v>0</v>
      </c>
      <c r="G14" t="n">
        <v>6750798721.53572</v>
      </c>
      <c r="H14" t="n">
        <v>36600095.6768739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20045138.2607358</v>
      </c>
      <c r="AC14" t="n">
        <v>0</v>
      </c>
      <c r="AD14" t="n">
        <v>0</v>
      </c>
      <c r="AE14" t="n">
        <v>0</v>
      </c>
      <c r="AF14" t="n">
        <v>12008361.6798804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38806531.8429989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5522776.58551294</v>
      </c>
      <c r="BB14" t="n">
        <v>1644797.8692932</v>
      </c>
      <c r="BC14" t="n">
        <v>0</v>
      </c>
      <c r="BD14" t="n">
        <v>0</v>
      </c>
      <c r="BE14" t="n">
        <v>79513.0117682545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59787733.9317877</v>
      </c>
      <c r="BU14" t="n">
        <v>0</v>
      </c>
      <c r="BV14" t="n">
        <v>0</v>
      </c>
    </row>
    <row r="15">
      <c r="A15" t="s">
        <v>142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14423458597.904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3006657.05450077</v>
      </c>
      <c r="BB15" t="n">
        <v>191559.867738276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</row>
    <row r="16">
      <c r="A16" t="s">
        <v>143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2526142.25209705</v>
      </c>
      <c r="I16" t="n">
        <v>607304251.924647</v>
      </c>
      <c r="J16" t="n">
        <v>271312.578498174</v>
      </c>
      <c r="K16" t="n">
        <v>0</v>
      </c>
      <c r="L16" t="n">
        <v>712091.427736613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2277043.038525</v>
      </c>
      <c r="S16" t="n">
        <v>0</v>
      </c>
      <c r="T16" t="n">
        <v>0</v>
      </c>
      <c r="U16" t="n">
        <v>0</v>
      </c>
      <c r="V16" t="n">
        <v>0</v>
      </c>
      <c r="W16" t="n">
        <v>29608.0129751052</v>
      </c>
      <c r="X16" t="n">
        <v>0</v>
      </c>
      <c r="Y16" t="n">
        <v>0</v>
      </c>
      <c r="Z16" t="n">
        <v>80465.5072499879</v>
      </c>
      <c r="AA16" t="n">
        <v>119762.95144925</v>
      </c>
      <c r="AB16" t="n">
        <v>4420748.94116984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78495.9456866316</v>
      </c>
      <c r="BB16" t="n">
        <v>378207.738308316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1020447.29392621</v>
      </c>
      <c r="BV16" t="n">
        <v>0</v>
      </c>
    </row>
    <row r="17">
      <c r="A17" t="s">
        <v>144</v>
      </c>
      <c r="B17" t="n">
        <v>0</v>
      </c>
      <c r="C17" t="n">
        <v>0</v>
      </c>
      <c r="D17" t="n">
        <v>0</v>
      </c>
      <c r="E17" t="n">
        <v>6217649.74902201</v>
      </c>
      <c r="F17" t="n">
        <v>0</v>
      </c>
      <c r="G17" t="n">
        <v>0</v>
      </c>
      <c r="H17" t="n">
        <v>15971510.2998171</v>
      </c>
      <c r="I17" t="n">
        <v>355424.138534183</v>
      </c>
      <c r="J17" t="n">
        <v>2085655657.51265</v>
      </c>
      <c r="K17" t="n">
        <v>17305.7176219986</v>
      </c>
      <c r="L17" t="n">
        <v>506809.747308746</v>
      </c>
      <c r="M17" t="n">
        <v>53573.667107128</v>
      </c>
      <c r="N17" t="n">
        <v>0</v>
      </c>
      <c r="O17" t="n">
        <v>2177419.88769723</v>
      </c>
      <c r="P17" t="n">
        <v>155939.127935087</v>
      </c>
      <c r="Q17" t="n">
        <v>4005.32038501919</v>
      </c>
      <c r="R17" t="n">
        <v>1998212.27502975</v>
      </c>
      <c r="S17" t="n">
        <v>221012.2831331</v>
      </c>
      <c r="T17" t="n">
        <v>0</v>
      </c>
      <c r="U17" t="n">
        <v>474718.98854</v>
      </c>
      <c r="V17" t="n">
        <v>175539.242941188</v>
      </c>
      <c r="W17" t="n">
        <v>314593.959828598</v>
      </c>
      <c r="X17" t="n">
        <v>0</v>
      </c>
      <c r="Y17" t="n">
        <v>457054.350997039</v>
      </c>
      <c r="Z17" t="n">
        <v>1106144.34190535</v>
      </c>
      <c r="AA17" t="n">
        <v>1107557.8531433</v>
      </c>
      <c r="AB17" t="n">
        <v>23062595.785628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695854.183187051</v>
      </c>
      <c r="BB17" t="n">
        <v>14331282.5823047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66271.8269701954</v>
      </c>
      <c r="BV17" t="n">
        <v>0</v>
      </c>
    </row>
    <row r="18">
      <c r="A18" t="s">
        <v>145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959741.582192366</v>
      </c>
      <c r="I18" t="n">
        <v>0</v>
      </c>
      <c r="J18" t="n">
        <v>383132.699477446</v>
      </c>
      <c r="K18" t="n">
        <v>1445455265.69205</v>
      </c>
      <c r="L18" t="n">
        <v>5580296.1964925</v>
      </c>
      <c r="M18" t="n">
        <v>471164.658715652</v>
      </c>
      <c r="N18" t="n">
        <v>4521.35482153162</v>
      </c>
      <c r="O18" t="n">
        <v>1176881.61677181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9309.44137676244</v>
      </c>
      <c r="V18" t="n">
        <v>0</v>
      </c>
      <c r="W18" t="n">
        <v>3388.44261735823</v>
      </c>
      <c r="X18" t="n">
        <v>0</v>
      </c>
      <c r="Y18" t="n">
        <v>1556864.68592354</v>
      </c>
      <c r="Z18" t="n">
        <v>908748.211278666</v>
      </c>
      <c r="AA18" t="n">
        <v>0</v>
      </c>
      <c r="AB18" t="n">
        <v>3799952.44331449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374533.300367753</v>
      </c>
      <c r="BB18" t="n">
        <v>1837554.00492929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2001412.32384018</v>
      </c>
      <c r="BV18" t="n">
        <v>0</v>
      </c>
    </row>
    <row r="19">
      <c r="A19" t="s">
        <v>146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48920377.8508927</v>
      </c>
      <c r="I19" t="n">
        <v>5284038.92800488</v>
      </c>
      <c r="J19" t="n">
        <v>3466049.80138939</v>
      </c>
      <c r="K19" t="n">
        <v>67955697.0545249</v>
      </c>
      <c r="L19" t="n">
        <v>6278912493.63436</v>
      </c>
      <c r="M19" t="n">
        <v>26602237.9658774</v>
      </c>
      <c r="N19" t="n">
        <v>10344051.0569129</v>
      </c>
      <c r="O19" t="n">
        <v>4211940.35783407</v>
      </c>
      <c r="P19" t="n">
        <v>6799152.67000141</v>
      </c>
      <c r="Q19" t="n">
        <v>1132162.0127854</v>
      </c>
      <c r="R19" t="n">
        <v>1219474.50030858</v>
      </c>
      <c r="S19" t="n">
        <v>6831616.50057971</v>
      </c>
      <c r="T19" t="n">
        <v>0</v>
      </c>
      <c r="U19" t="n">
        <v>2401992.6045893</v>
      </c>
      <c r="V19" t="n">
        <v>0</v>
      </c>
      <c r="W19" t="n">
        <v>15429.648646351</v>
      </c>
      <c r="X19" t="n">
        <v>1254368.6628434</v>
      </c>
      <c r="Y19" t="n">
        <v>16461.6403322874</v>
      </c>
      <c r="Z19" t="n">
        <v>787509.302124252</v>
      </c>
      <c r="AA19" t="n">
        <v>4418618.73315083</v>
      </c>
      <c r="AB19" t="n">
        <v>68861150.2705061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5976697.74648915</v>
      </c>
      <c r="BB19" t="n">
        <v>53974745.6982322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7452425.58512844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62884452.524017</v>
      </c>
      <c r="BV19" t="n">
        <v>0</v>
      </c>
    </row>
    <row r="20">
      <c r="A20" t="s">
        <v>147</v>
      </c>
      <c r="B20" t="n">
        <v>0</v>
      </c>
      <c r="C20" t="n">
        <v>0</v>
      </c>
      <c r="D20" t="n">
        <v>0</v>
      </c>
      <c r="E20" t="n">
        <v>0</v>
      </c>
      <c r="F20" t="n">
        <v>28590.7396659777</v>
      </c>
      <c r="G20" t="n">
        <v>0</v>
      </c>
      <c r="H20" t="n">
        <v>18812706.7002133</v>
      </c>
      <c r="I20" t="n">
        <v>0</v>
      </c>
      <c r="J20" t="n">
        <v>982385.371360356</v>
      </c>
      <c r="K20" t="n">
        <v>475170.15715544</v>
      </c>
      <c r="L20" t="n">
        <v>40228655.7272251</v>
      </c>
      <c r="M20" t="n">
        <v>7403987953.23721</v>
      </c>
      <c r="N20" t="n">
        <v>16564838.5743462</v>
      </c>
      <c r="O20" t="n">
        <v>36115418.3253374</v>
      </c>
      <c r="P20" t="n">
        <v>11675292.9961646</v>
      </c>
      <c r="Q20" t="n">
        <v>5332354.27074523</v>
      </c>
      <c r="R20" t="n">
        <v>280288.709230497</v>
      </c>
      <c r="S20" t="n">
        <v>3769244.44611675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3539456.56349553</v>
      </c>
      <c r="AA20" t="n">
        <v>149413.568452244</v>
      </c>
      <c r="AB20" t="n">
        <v>144754914.928845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371679.61565771</v>
      </c>
      <c r="AZ20" t="n">
        <v>0</v>
      </c>
      <c r="BA20" t="n">
        <v>17869212.2912361</v>
      </c>
      <c r="BB20" t="n">
        <v>259975595.782735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8863129.29645309</v>
      </c>
      <c r="BV20" t="n">
        <v>0</v>
      </c>
    </row>
    <row r="21">
      <c r="A21" t="s">
        <v>148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39728.7174651627</v>
      </c>
      <c r="I21" t="n">
        <v>0</v>
      </c>
      <c r="J21" t="n">
        <v>7648.16063171453</v>
      </c>
      <c r="K21" t="n">
        <v>39288.5280454074</v>
      </c>
      <c r="L21" t="n">
        <v>59943.6146441715</v>
      </c>
      <c r="M21" t="n">
        <v>175041.875486875</v>
      </c>
      <c r="N21" t="n">
        <v>859916898.733487</v>
      </c>
      <c r="O21" t="n">
        <v>201415.450573288</v>
      </c>
      <c r="P21" t="n">
        <v>1946.85746317189</v>
      </c>
      <c r="Q21" t="n">
        <v>298208.778969918</v>
      </c>
      <c r="R21" t="n">
        <v>0</v>
      </c>
      <c r="S21" t="n">
        <v>2470476.33772197</v>
      </c>
      <c r="T21" t="n">
        <v>0</v>
      </c>
      <c r="U21" t="n">
        <v>7580.33334955233</v>
      </c>
      <c r="V21" t="n">
        <v>0</v>
      </c>
      <c r="W21" t="n">
        <v>389.040364263834</v>
      </c>
      <c r="X21" t="n">
        <v>696.995043248469</v>
      </c>
      <c r="Y21" t="n">
        <v>0</v>
      </c>
      <c r="Z21" t="n">
        <v>160774.251712484</v>
      </c>
      <c r="AA21" t="n">
        <v>28982.9927287464</v>
      </c>
      <c r="AB21" t="n">
        <v>1764791.44950512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815484.200600709</v>
      </c>
      <c r="BB21" t="n">
        <v>37050165.5139589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</row>
    <row r="22">
      <c r="A22" t="s">
        <v>149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241857.583987318</v>
      </c>
      <c r="I22" t="n">
        <v>0</v>
      </c>
      <c r="J22" t="n">
        <v>333438.757720022</v>
      </c>
      <c r="K22" t="n">
        <v>2184119.3403183</v>
      </c>
      <c r="L22" t="n">
        <v>547918.420530295</v>
      </c>
      <c r="M22" t="n">
        <v>618386.068073868</v>
      </c>
      <c r="N22" t="n">
        <v>853485.997506343</v>
      </c>
      <c r="O22" t="n">
        <v>706287353.021411</v>
      </c>
      <c r="P22" t="n">
        <v>457974.32230891</v>
      </c>
      <c r="Q22" t="n">
        <v>0</v>
      </c>
      <c r="R22" t="n">
        <v>31442.3368913558</v>
      </c>
      <c r="S22" t="n">
        <v>82646.7051038747</v>
      </c>
      <c r="T22" t="n">
        <v>0</v>
      </c>
      <c r="U22" t="n">
        <v>0</v>
      </c>
      <c r="V22" t="n">
        <v>0</v>
      </c>
      <c r="W22" t="n">
        <v>131389.045172297</v>
      </c>
      <c r="X22" t="n">
        <v>0</v>
      </c>
      <c r="Y22" t="n">
        <v>5459.25335279681</v>
      </c>
      <c r="Z22" t="n">
        <v>3472.40680906584</v>
      </c>
      <c r="AA22" t="n">
        <v>146607.393084265</v>
      </c>
      <c r="AB22" t="n">
        <v>7244071.73243943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541994.103875194</v>
      </c>
      <c r="BB22" t="n">
        <v>8363027.30173015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</row>
    <row r="23">
      <c r="A23" t="s">
        <v>150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2130457.11495595</v>
      </c>
      <c r="I23" t="n">
        <v>0</v>
      </c>
      <c r="J23" t="n">
        <v>0</v>
      </c>
      <c r="K23" t="n">
        <v>228464.119996289</v>
      </c>
      <c r="L23" t="n">
        <v>4806680.80968404</v>
      </c>
      <c r="M23" t="n">
        <v>3276311.0236784</v>
      </c>
      <c r="N23" t="n">
        <v>271547.420346578</v>
      </c>
      <c r="O23" t="n">
        <v>779248.307140575</v>
      </c>
      <c r="P23" t="n">
        <v>3316938664.60248</v>
      </c>
      <c r="Q23" t="n">
        <v>3437447.46803062</v>
      </c>
      <c r="R23" t="n">
        <v>0</v>
      </c>
      <c r="S23" t="n">
        <v>161161.124308924</v>
      </c>
      <c r="T23" t="n">
        <v>0</v>
      </c>
      <c r="U23" t="n">
        <v>3124393.11547215</v>
      </c>
      <c r="V23" t="n">
        <v>0</v>
      </c>
      <c r="W23" t="n">
        <v>0</v>
      </c>
      <c r="X23" t="n">
        <v>0</v>
      </c>
      <c r="Y23" t="n">
        <v>0</v>
      </c>
      <c r="Z23" t="n">
        <v>45292.8458357814</v>
      </c>
      <c r="AA23" t="n">
        <v>355907.709326744</v>
      </c>
      <c r="AB23" t="n">
        <v>11966003.2532607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1078712.46326884</v>
      </c>
      <c r="BB23" t="n">
        <v>55534429.1357866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1425441.46931953</v>
      </c>
      <c r="BV23" t="n">
        <v>0</v>
      </c>
    </row>
    <row r="24">
      <c r="A24" t="s">
        <v>151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4428188.82507177</v>
      </c>
      <c r="I24" t="n">
        <v>0</v>
      </c>
      <c r="J24" t="n">
        <v>0</v>
      </c>
      <c r="K24" t="n">
        <v>4801.22627991155</v>
      </c>
      <c r="L24" t="n">
        <v>849338.611815918</v>
      </c>
      <c r="M24" t="n">
        <v>1003882.90274645</v>
      </c>
      <c r="N24" t="n">
        <v>4835237.78397765</v>
      </c>
      <c r="O24" t="n">
        <v>2155644.88075114</v>
      </c>
      <c r="P24" t="n">
        <v>4842305.11632048</v>
      </c>
      <c r="Q24" t="n">
        <v>2380647229.92909</v>
      </c>
      <c r="R24" t="n">
        <v>0</v>
      </c>
      <c r="S24" t="n">
        <v>128590.465971924</v>
      </c>
      <c r="T24" t="n">
        <v>0</v>
      </c>
      <c r="U24" t="n">
        <v>0</v>
      </c>
      <c r="V24" t="n">
        <v>3218.5226814082</v>
      </c>
      <c r="W24" t="n">
        <v>0</v>
      </c>
      <c r="X24" t="n">
        <v>0</v>
      </c>
      <c r="Y24" t="n">
        <v>0</v>
      </c>
      <c r="Z24" t="n">
        <v>122831.126471999</v>
      </c>
      <c r="AA24" t="n">
        <v>229424.242132698</v>
      </c>
      <c r="AB24" t="n">
        <v>7201552.76049734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2921480.97801736</v>
      </c>
      <c r="BB24" t="n">
        <v>71984882.6996096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204299.369092123</v>
      </c>
      <c r="BV24" t="n">
        <v>0</v>
      </c>
    </row>
    <row r="25">
      <c r="A25" t="s">
        <v>152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766617.614993535</v>
      </c>
      <c r="I25" t="n">
        <v>812847.814772595</v>
      </c>
      <c r="J25" t="n">
        <v>48526.9966265149</v>
      </c>
      <c r="K25" t="n">
        <v>46133.1021425207</v>
      </c>
      <c r="L25" t="n">
        <v>158481.760403274</v>
      </c>
      <c r="M25" t="n">
        <v>54507.2902729105</v>
      </c>
      <c r="N25" t="n">
        <v>23128.8441838735</v>
      </c>
      <c r="O25" t="n">
        <v>62451.7527214903</v>
      </c>
      <c r="P25" t="n">
        <v>0</v>
      </c>
      <c r="Q25" t="n">
        <v>0</v>
      </c>
      <c r="R25" t="n">
        <v>294780435.465888</v>
      </c>
      <c r="S25" t="n">
        <v>625494.497260886</v>
      </c>
      <c r="T25" t="n">
        <v>0</v>
      </c>
      <c r="U25" t="n">
        <v>187237.237296327</v>
      </c>
      <c r="V25" t="n">
        <v>1994.81931842104</v>
      </c>
      <c r="W25" t="n">
        <v>1658.90563815782</v>
      </c>
      <c r="X25" t="n">
        <v>13056.7477006198</v>
      </c>
      <c r="Y25" t="n">
        <v>0</v>
      </c>
      <c r="Z25" t="n">
        <v>21186.2279067311</v>
      </c>
      <c r="AA25" t="n">
        <v>10835.7063969716</v>
      </c>
      <c r="AB25" t="n">
        <v>1602249.4678332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111914.980291027</v>
      </c>
      <c r="BB25" t="n">
        <v>505482.660981139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</row>
    <row r="26">
      <c r="A26" t="s">
        <v>153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679566.874640332</v>
      </c>
      <c r="I26" t="n">
        <v>103308.418766095</v>
      </c>
      <c r="J26" t="n">
        <v>31258.6499893807</v>
      </c>
      <c r="K26" t="n">
        <v>8707.42481301315</v>
      </c>
      <c r="L26" t="n">
        <v>662503.011666282</v>
      </c>
      <c r="M26" t="n">
        <v>98304.3344223279</v>
      </c>
      <c r="N26" t="n">
        <v>1083748.02111249</v>
      </c>
      <c r="O26" t="n">
        <v>41480.1869724267</v>
      </c>
      <c r="P26" t="n">
        <v>5709.55706131732</v>
      </c>
      <c r="Q26" t="n">
        <v>14853.1907954816</v>
      </c>
      <c r="R26" t="n">
        <v>401063.484271923</v>
      </c>
      <c r="S26" t="n">
        <v>491221590.794136</v>
      </c>
      <c r="T26" t="n">
        <v>2259.27874925177</v>
      </c>
      <c r="U26" t="n">
        <v>89402.3619584404</v>
      </c>
      <c r="V26" t="n">
        <v>377617.197366493</v>
      </c>
      <c r="W26" t="n">
        <v>43063.1545330298</v>
      </c>
      <c r="X26" t="n">
        <v>424602.322271538</v>
      </c>
      <c r="Y26" t="n">
        <v>146.370492596669</v>
      </c>
      <c r="Z26" t="n">
        <v>224683.539483397</v>
      </c>
      <c r="AA26" t="n">
        <v>208406.299078462</v>
      </c>
      <c r="AB26" t="n">
        <v>5698610.11469696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357559.850333927</v>
      </c>
      <c r="BB26" t="n">
        <v>13800591.2688543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</row>
    <row r="27">
      <c r="A27" t="s">
        <v>154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953893.718464227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34002.5515092671</v>
      </c>
      <c r="T27" t="n">
        <v>6944100687.74709</v>
      </c>
      <c r="U27" t="n">
        <v>0</v>
      </c>
      <c r="V27" t="n">
        <v>1135265.25656297</v>
      </c>
      <c r="W27" t="n">
        <v>153144.016397991</v>
      </c>
      <c r="X27" t="n">
        <v>0</v>
      </c>
      <c r="Y27" t="n">
        <v>26127.9064972773</v>
      </c>
      <c r="Z27" t="n">
        <v>12259724.2718365</v>
      </c>
      <c r="AA27" t="n">
        <v>0</v>
      </c>
      <c r="AB27" t="n">
        <v>63997596.7478727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742519.542213631</v>
      </c>
      <c r="BB27" t="n">
        <v>15630849.3411979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</row>
    <row r="28">
      <c r="A28" t="s">
        <v>155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25626.2793900569</v>
      </c>
      <c r="I28" t="n">
        <v>0</v>
      </c>
      <c r="J28" t="n">
        <v>963.370495237553</v>
      </c>
      <c r="K28" t="n">
        <v>0</v>
      </c>
      <c r="L28" t="n">
        <v>37409.6839692473</v>
      </c>
      <c r="M28" t="n">
        <v>1928.71782038098</v>
      </c>
      <c r="N28" t="n">
        <v>18065.332832545</v>
      </c>
      <c r="O28" t="n">
        <v>0</v>
      </c>
      <c r="P28" t="n">
        <v>199557.554925343</v>
      </c>
      <c r="Q28" t="n">
        <v>0</v>
      </c>
      <c r="R28" t="n">
        <v>34613.4926968344</v>
      </c>
      <c r="S28" t="n">
        <v>21355.3832494867</v>
      </c>
      <c r="T28" t="n">
        <v>0</v>
      </c>
      <c r="U28" t="n">
        <v>100749583.915813</v>
      </c>
      <c r="V28" t="n">
        <v>35563.7520154638</v>
      </c>
      <c r="W28" t="n">
        <v>672.738304250974</v>
      </c>
      <c r="X28" t="n">
        <v>90856.8087465655</v>
      </c>
      <c r="Y28" t="n">
        <v>0</v>
      </c>
      <c r="Z28" t="n">
        <v>1976948.64055986</v>
      </c>
      <c r="AA28" t="n">
        <v>140905.121309001</v>
      </c>
      <c r="AB28" t="n">
        <v>303438.444595901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6988.98528819735</v>
      </c>
      <c r="BB28" t="n">
        <v>164241.154272638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</row>
    <row r="29">
      <c r="A29" t="s">
        <v>156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13125.5946478003</v>
      </c>
      <c r="I29" t="n">
        <v>0</v>
      </c>
      <c r="J29" t="n">
        <v>214586.801210231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260023.422385023</v>
      </c>
      <c r="T29" t="n">
        <v>3671462.32173697</v>
      </c>
      <c r="U29" t="n">
        <v>1744817.36218889</v>
      </c>
      <c r="V29" t="n">
        <v>98200803.718356</v>
      </c>
      <c r="W29" t="n">
        <v>0</v>
      </c>
      <c r="X29" t="n">
        <v>111567.554506303</v>
      </c>
      <c r="Y29" t="n">
        <v>0</v>
      </c>
      <c r="Z29" t="n">
        <v>1401368.30289806</v>
      </c>
      <c r="AA29" t="n">
        <v>6629.53085817454</v>
      </c>
      <c r="AB29" t="n">
        <v>2461048.99646256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118130.351830203</v>
      </c>
      <c r="BB29" t="n">
        <v>1529131.77646874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</row>
    <row r="30">
      <c r="A30" t="s">
        <v>157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1356178.11310808</v>
      </c>
      <c r="I30" t="n">
        <v>6510429.71449489</v>
      </c>
      <c r="J30" t="n">
        <v>103575.854254967</v>
      </c>
      <c r="K30" t="n">
        <v>0</v>
      </c>
      <c r="L30" t="n">
        <v>0</v>
      </c>
      <c r="M30" t="n">
        <v>0</v>
      </c>
      <c r="N30" t="n">
        <v>1120533.06286003</v>
      </c>
      <c r="O30" t="n">
        <v>0</v>
      </c>
      <c r="P30" t="n">
        <v>0</v>
      </c>
      <c r="Q30" t="n">
        <v>0</v>
      </c>
      <c r="R30" t="n">
        <v>0</v>
      </c>
      <c r="S30" t="n">
        <v>215783.39703922</v>
      </c>
      <c r="T30" t="n">
        <v>0</v>
      </c>
      <c r="U30" t="n">
        <v>4348303.28773446</v>
      </c>
      <c r="V30" t="n">
        <v>0</v>
      </c>
      <c r="W30" t="n">
        <v>2909556978.80956</v>
      </c>
      <c r="X30" t="n">
        <v>3009020.18845856</v>
      </c>
      <c r="Y30" t="n">
        <v>0</v>
      </c>
      <c r="Z30" t="n">
        <v>326935.178390269</v>
      </c>
      <c r="AA30" t="n">
        <v>1919203.6732585</v>
      </c>
      <c r="AB30" t="n">
        <v>18025867.4200616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776977.043968173</v>
      </c>
      <c r="BB30" t="n">
        <v>11259103.7098661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6893905.40829943</v>
      </c>
      <c r="BV30" t="n">
        <v>0</v>
      </c>
    </row>
    <row r="31">
      <c r="A31" t="s">
        <v>158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72907.6938807994</v>
      </c>
      <c r="I31" t="n">
        <v>91207.8962421585</v>
      </c>
      <c r="J31" t="n">
        <v>0</v>
      </c>
      <c r="K31" t="n">
        <v>0</v>
      </c>
      <c r="L31" t="n">
        <v>394352.880911474</v>
      </c>
      <c r="M31" t="n">
        <v>177588.845409578</v>
      </c>
      <c r="N31" t="n">
        <v>63709.044705306</v>
      </c>
      <c r="O31" t="n">
        <v>77570.7982815397</v>
      </c>
      <c r="P31" t="n">
        <v>0</v>
      </c>
      <c r="Q31" t="n">
        <v>0</v>
      </c>
      <c r="R31" t="n">
        <v>113654.508474413</v>
      </c>
      <c r="S31" t="n">
        <v>6772119.94576973</v>
      </c>
      <c r="T31" t="n">
        <v>0</v>
      </c>
      <c r="U31" t="n">
        <v>2906498.06500127</v>
      </c>
      <c r="V31" t="n">
        <v>17206.134285888</v>
      </c>
      <c r="W31" t="n">
        <v>2079127.71453827</v>
      </c>
      <c r="X31" t="n">
        <v>261309752.244536</v>
      </c>
      <c r="Y31" t="n">
        <v>0</v>
      </c>
      <c r="Z31" t="n">
        <v>0</v>
      </c>
      <c r="AA31" t="n">
        <v>410342.424105715</v>
      </c>
      <c r="AB31" t="n">
        <v>2967772.00973607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814850.696314817</v>
      </c>
      <c r="BB31" t="n">
        <v>71153620.5397849</v>
      </c>
      <c r="BC31" t="n">
        <v>0</v>
      </c>
      <c r="BD31" t="n">
        <v>1200832.60509552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681901.372179242</v>
      </c>
      <c r="BV31" t="n">
        <v>0</v>
      </c>
    </row>
    <row r="32">
      <c r="A32" t="s">
        <v>159</v>
      </c>
      <c r="B32" t="n">
        <v>0</v>
      </c>
      <c r="C32" t="n">
        <v>0</v>
      </c>
      <c r="D32" t="n">
        <v>4021.09173031648</v>
      </c>
      <c r="E32" t="n">
        <v>536786.681493539</v>
      </c>
      <c r="F32" t="n">
        <v>0</v>
      </c>
      <c r="G32" t="n">
        <v>0</v>
      </c>
      <c r="H32" t="n">
        <v>4415483.99531766</v>
      </c>
      <c r="I32" t="n">
        <v>0</v>
      </c>
      <c r="J32" t="n">
        <v>2608584.19181091</v>
      </c>
      <c r="K32" t="n">
        <v>1793335.85976023</v>
      </c>
      <c r="L32" t="n">
        <v>0</v>
      </c>
      <c r="M32" t="n">
        <v>0</v>
      </c>
      <c r="N32" t="n">
        <v>0</v>
      </c>
      <c r="O32" t="n">
        <v>120602.682918144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8331467821.7972</v>
      </c>
      <c r="Z32" t="n">
        <v>752383157.951182</v>
      </c>
      <c r="AA32" t="n">
        <v>0</v>
      </c>
      <c r="AB32" t="n">
        <v>197003386.285714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712174.837954461</v>
      </c>
      <c r="BB32" t="n">
        <v>11173231.90213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</row>
    <row r="33">
      <c r="A33" t="s">
        <v>160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240688.380110605</v>
      </c>
      <c r="I33" t="n">
        <v>4535.23685843065</v>
      </c>
      <c r="J33" t="n">
        <v>118507.439917243</v>
      </c>
      <c r="K33" t="n">
        <v>6477.65377191402</v>
      </c>
      <c r="L33" t="n">
        <v>52611.7407603036</v>
      </c>
      <c r="M33" t="n">
        <v>126721.659333907</v>
      </c>
      <c r="N33" t="n">
        <v>2794153.2904853</v>
      </c>
      <c r="O33" t="n">
        <v>56777.7634072446</v>
      </c>
      <c r="P33" t="n">
        <v>560.844118523601</v>
      </c>
      <c r="Q33" t="n">
        <v>0</v>
      </c>
      <c r="R33" t="n">
        <v>0</v>
      </c>
      <c r="S33" t="n">
        <v>8441223.24499531</v>
      </c>
      <c r="T33" t="n">
        <v>10649487.7758218</v>
      </c>
      <c r="U33" t="n">
        <v>3248.63112838849</v>
      </c>
      <c r="V33" t="n">
        <v>108216.247754074</v>
      </c>
      <c r="W33" t="n">
        <v>173410.530538395</v>
      </c>
      <c r="X33" t="n">
        <v>0</v>
      </c>
      <c r="Y33" t="n">
        <v>3502757.5484374</v>
      </c>
      <c r="Z33" t="n">
        <v>2113616459.31689</v>
      </c>
      <c r="AA33" t="n">
        <v>1091609.57903563</v>
      </c>
      <c r="AB33" t="n">
        <v>17882087.0078401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637294.390104181</v>
      </c>
      <c r="BB33" t="n">
        <v>89298416.5478283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</row>
    <row r="34">
      <c r="A34" t="s">
        <v>161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3854686.25614543</v>
      </c>
      <c r="I34" t="n">
        <v>7762547.94234293</v>
      </c>
      <c r="J34" t="n">
        <v>822676.903659458</v>
      </c>
      <c r="K34" t="n">
        <v>205759.123066824</v>
      </c>
      <c r="L34" t="n">
        <v>11806988.8278818</v>
      </c>
      <c r="M34" t="n">
        <v>4988595.9714845</v>
      </c>
      <c r="N34" t="n">
        <v>5979372.71315331</v>
      </c>
      <c r="O34" t="n">
        <v>10122329.3940272</v>
      </c>
      <c r="P34" t="n">
        <v>18803282.7863095</v>
      </c>
      <c r="Q34" t="n">
        <v>737863.530970164</v>
      </c>
      <c r="R34" t="n">
        <v>7579091.54395983</v>
      </c>
      <c r="S34" t="n">
        <v>79605870.8883723</v>
      </c>
      <c r="T34" t="n">
        <v>0</v>
      </c>
      <c r="U34" t="n">
        <v>36560085.336407</v>
      </c>
      <c r="V34" t="n">
        <v>0</v>
      </c>
      <c r="W34" t="n">
        <v>15181423.9983242</v>
      </c>
      <c r="X34" t="n">
        <v>1464183.15155912</v>
      </c>
      <c r="Y34" t="n">
        <v>51171.2426539536</v>
      </c>
      <c r="Z34" t="n">
        <v>56830167.3675177</v>
      </c>
      <c r="AA34" t="n">
        <v>3848467674.85211</v>
      </c>
      <c r="AB34" t="n">
        <v>62272605.8744734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5378631.9853192</v>
      </c>
      <c r="BB34" t="n">
        <v>50887834.8388811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6155545.49430975</v>
      </c>
      <c r="BV34" t="n">
        <v>0</v>
      </c>
    </row>
    <row r="35">
      <c r="A35" t="s">
        <v>162</v>
      </c>
      <c r="B35" t="n">
        <v>0</v>
      </c>
      <c r="C35" t="n">
        <v>583673.614894143</v>
      </c>
      <c r="D35" t="n">
        <v>0</v>
      </c>
      <c r="E35" t="n">
        <v>0</v>
      </c>
      <c r="F35" t="n">
        <v>0</v>
      </c>
      <c r="G35" t="n">
        <v>0</v>
      </c>
      <c r="H35" t="n">
        <v>50517815.8024116</v>
      </c>
      <c r="I35" t="n">
        <v>0</v>
      </c>
      <c r="J35" t="n">
        <v>0</v>
      </c>
      <c r="K35" t="n">
        <v>0</v>
      </c>
      <c r="L35" t="n">
        <v>0</v>
      </c>
      <c r="M35" t="n">
        <v>4469.51832631271</v>
      </c>
      <c r="N35" t="n">
        <v>0</v>
      </c>
      <c r="O35" t="n">
        <v>0</v>
      </c>
      <c r="P35" t="n">
        <v>153889.169788717</v>
      </c>
      <c r="Q35" t="n">
        <v>0</v>
      </c>
      <c r="R35" t="n">
        <v>0</v>
      </c>
      <c r="S35" t="n">
        <v>73738.8412287237</v>
      </c>
      <c r="T35" t="n">
        <v>7526587.50991021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17202766359.1414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583271.766801417</v>
      </c>
      <c r="AM35" t="n">
        <v>4552760.17975551</v>
      </c>
      <c r="AN35" t="n">
        <v>2859651.85667917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104219323.331948</v>
      </c>
      <c r="AZ35" t="n">
        <v>0</v>
      </c>
      <c r="BA35" t="n">
        <v>58440590.6347975</v>
      </c>
      <c r="BB35" t="n">
        <v>6934453.22752796</v>
      </c>
      <c r="BC35" t="n">
        <v>0</v>
      </c>
      <c r="BD35" t="n">
        <v>210625.915789401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645665643.855646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</row>
    <row r="36">
      <c r="A36" t="s">
        <v>163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72552.2261580847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3752461597.08461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44970288.1803195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2224934.9355146</v>
      </c>
      <c r="AZ36" t="n">
        <v>0</v>
      </c>
      <c r="BA36" t="n">
        <v>979455.053134144</v>
      </c>
      <c r="BB36" t="n">
        <v>48368.1507720565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1209203.76930141</v>
      </c>
      <c r="BM36" t="n">
        <v>0</v>
      </c>
      <c r="BN36" t="n">
        <v>0</v>
      </c>
      <c r="BO36" t="n">
        <v>687516987.111704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</row>
    <row r="37">
      <c r="A37" t="s">
        <v>164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48914370.518474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1787861774.40172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271915.905132271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36745.3925854421</v>
      </c>
      <c r="AZ37" t="n">
        <v>0</v>
      </c>
      <c r="BA37" t="n">
        <v>73490.7851708842</v>
      </c>
      <c r="BB37" t="n">
        <v>7349.07851708842</v>
      </c>
      <c r="BC37" t="n">
        <v>0</v>
      </c>
      <c r="BD37" t="n">
        <v>14698.1570341768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7349.07851708842</v>
      </c>
      <c r="BM37" t="n">
        <v>0</v>
      </c>
      <c r="BN37" t="n">
        <v>82566897.1394884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</row>
    <row r="38">
      <c r="A38" t="s">
        <v>165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25420871.2303807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26058481.8967985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3532013872.73019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15332.2504405191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128131616.931418</v>
      </c>
      <c r="BO38" t="n">
        <v>30066543.113858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</row>
    <row r="39">
      <c r="A39" t="s">
        <v>166</v>
      </c>
      <c r="B39" t="n">
        <v>1745638.79751329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36964445.0868878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32377677.3382611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8941122120.19149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4265128.27925629</v>
      </c>
      <c r="AQ39" t="n">
        <v>0</v>
      </c>
      <c r="AR39" t="n">
        <v>0</v>
      </c>
      <c r="AS39" t="n">
        <v>2657242.61842554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10620507.9175925</v>
      </c>
      <c r="AZ39" t="n">
        <v>0</v>
      </c>
      <c r="BA39" t="n">
        <v>15317226.5584402</v>
      </c>
      <c r="BB39" t="n">
        <v>64890880.2486849</v>
      </c>
      <c r="BC39" t="n">
        <v>0</v>
      </c>
      <c r="BD39" t="n">
        <v>913956.059840633</v>
      </c>
      <c r="BE39" t="n">
        <v>0</v>
      </c>
      <c r="BF39" t="n">
        <v>939343.728169539</v>
      </c>
      <c r="BG39" t="n">
        <v>42312.7805481775</v>
      </c>
      <c r="BH39" t="n">
        <v>0</v>
      </c>
      <c r="BI39" t="n">
        <v>0</v>
      </c>
      <c r="BJ39" t="n">
        <v>0</v>
      </c>
      <c r="BK39" t="n">
        <v>0</v>
      </c>
      <c r="BL39" t="n">
        <v>3029595.08724951</v>
      </c>
      <c r="BM39" t="n">
        <v>0</v>
      </c>
      <c r="BN39" t="n">
        <v>168184840.122896</v>
      </c>
      <c r="BO39" t="n">
        <v>117341803.016206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</row>
    <row r="40">
      <c r="A40" t="s">
        <v>167</v>
      </c>
      <c r="B40" t="n">
        <v>0</v>
      </c>
      <c r="C40" t="n">
        <v>3774693.53343234</v>
      </c>
      <c r="D40" t="n">
        <v>0</v>
      </c>
      <c r="E40" t="n">
        <v>0</v>
      </c>
      <c r="F40" t="n">
        <v>0</v>
      </c>
      <c r="G40" t="n">
        <v>0</v>
      </c>
      <c r="H40" t="n">
        <v>253589.97402337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2054770398.60936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10950476.1510092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4234184.11172355</v>
      </c>
      <c r="AZ40" t="n">
        <v>0</v>
      </c>
      <c r="BA40" t="n">
        <v>1875028.89883947</v>
      </c>
      <c r="BB40" t="n">
        <v>14170300.3666392</v>
      </c>
      <c r="BC40" t="n">
        <v>0</v>
      </c>
      <c r="BD40" t="n">
        <v>0</v>
      </c>
      <c r="BE40" t="n">
        <v>0</v>
      </c>
      <c r="BF40" t="n">
        <v>0</v>
      </c>
      <c r="BG40" t="n">
        <v>576340.850053115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</row>
    <row r="41">
      <c r="A41" t="s">
        <v>168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3275360.49885247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1644013928.46317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10792904.7763392</v>
      </c>
      <c r="AZ41" t="n">
        <v>0</v>
      </c>
      <c r="BA41" t="n">
        <v>2052033.08361841</v>
      </c>
      <c r="BB41" t="n">
        <v>14009072.0131642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</row>
    <row r="42">
      <c r="A42" t="s">
        <v>169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12.88742831368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744390.746826471</v>
      </c>
      <c r="AJ42" t="n">
        <v>0</v>
      </c>
      <c r="AK42" t="n">
        <v>0</v>
      </c>
      <c r="AL42" t="n">
        <v>0</v>
      </c>
      <c r="AM42" t="n">
        <v>34808.9438752497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206.19885301888</v>
      </c>
      <c r="BB42" t="n">
        <v>992.33198015336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4214.18905857336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</row>
    <row r="43">
      <c r="A43" t="s">
        <v>170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601917.217903608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4926980301.99308</v>
      </c>
      <c r="AK43" t="n">
        <v>0</v>
      </c>
      <c r="AL43" t="n">
        <v>0</v>
      </c>
      <c r="AM43" t="n">
        <v>270666470.70296</v>
      </c>
      <c r="AN43" t="n">
        <v>85079690.234984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4462038.50663327</v>
      </c>
      <c r="AZ43" t="n">
        <v>0</v>
      </c>
      <c r="BA43" t="n">
        <v>1465537.57402618</v>
      </c>
      <c r="BB43" t="n">
        <v>7510880.06688416</v>
      </c>
      <c r="BC43" t="n">
        <v>0</v>
      </c>
      <c r="BD43" t="n">
        <v>0</v>
      </c>
      <c r="BE43" t="n">
        <v>68005199.0579049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</row>
    <row r="44">
      <c r="A44" t="s">
        <v>171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111150750.883392</v>
      </c>
      <c r="AL44" t="n">
        <v>0</v>
      </c>
      <c r="AM44" t="n">
        <v>12190.8127208481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2031.80212014134</v>
      </c>
      <c r="BB44" t="n">
        <v>128003.533568905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</row>
    <row r="45">
      <c r="A45" t="s">
        <v>172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25225605.9009484</v>
      </c>
      <c r="H45" t="n">
        <v>16440569.0200211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7630306533.19283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4267017.91359326</v>
      </c>
      <c r="BB45" t="n">
        <v>53714225.5005269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</row>
    <row r="46">
      <c r="A46" t="s">
        <v>173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818326.123336088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98502.2185497143</v>
      </c>
      <c r="AE46" t="n">
        <v>0</v>
      </c>
      <c r="AF46" t="n">
        <v>0</v>
      </c>
      <c r="AG46" t="n">
        <v>242466.999506989</v>
      </c>
      <c r="AH46" t="n">
        <v>0</v>
      </c>
      <c r="AI46" t="n">
        <v>2811101.77553415</v>
      </c>
      <c r="AJ46" t="n">
        <v>4515947.86581767</v>
      </c>
      <c r="AK46" t="n">
        <v>3993128.39813072</v>
      </c>
      <c r="AL46" t="n">
        <v>0</v>
      </c>
      <c r="AM46" t="n">
        <v>1922498107.80971</v>
      </c>
      <c r="AN46" t="n">
        <v>9933569.88605195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22731.2812037802</v>
      </c>
      <c r="AZ46" t="n">
        <v>0</v>
      </c>
      <c r="BA46" t="n">
        <v>2576211.86976176</v>
      </c>
      <c r="BB46" t="n">
        <v>48887408.7755966</v>
      </c>
      <c r="BC46" t="n">
        <v>0</v>
      </c>
      <c r="BD46" t="n">
        <v>37885.468672967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310660.84311833</v>
      </c>
      <c r="BO46" t="n">
        <v>7486168.60977828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</row>
    <row r="47">
      <c r="A47" t="s">
        <v>174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675479.078642497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3468131.38885103</v>
      </c>
      <c r="AK47" t="n">
        <v>0</v>
      </c>
      <c r="AL47" t="n">
        <v>0</v>
      </c>
      <c r="AM47" t="n">
        <v>17068448.9573395</v>
      </c>
      <c r="AN47" t="n">
        <v>1325995676.7071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1986110.1267548</v>
      </c>
      <c r="BB47" t="n">
        <v>11160527.463541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</row>
    <row r="48">
      <c r="A48" t="s">
        <v>175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94825.9914028555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6810979.90423988</v>
      </c>
      <c r="Y48" t="n">
        <v>0</v>
      </c>
      <c r="Z48" t="n">
        <v>0</v>
      </c>
      <c r="AA48" t="n">
        <v>0</v>
      </c>
      <c r="AB48" t="n">
        <v>6584222.09871131</v>
      </c>
      <c r="AC48" t="n">
        <v>0</v>
      </c>
      <c r="AD48" t="n">
        <v>0</v>
      </c>
      <c r="AE48" t="n">
        <v>0</v>
      </c>
      <c r="AF48" t="n">
        <v>10208224.117977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2476266608.04111</v>
      </c>
      <c r="AP48" t="n">
        <v>0</v>
      </c>
      <c r="AQ48" t="n">
        <v>0</v>
      </c>
      <c r="AR48" t="n">
        <v>160746546.904606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57683062.8572761</v>
      </c>
      <c r="BB48" t="n">
        <v>189103641.203251</v>
      </c>
      <c r="BC48" t="n">
        <v>0</v>
      </c>
      <c r="BD48" t="n">
        <v>721502.108499987</v>
      </c>
      <c r="BE48" t="n">
        <v>8448.45560655943</v>
      </c>
      <c r="BF48" t="n">
        <v>1447127.0861914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4122.8691914285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</row>
    <row r="49">
      <c r="A49" t="s">
        <v>176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97334.1401407894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19323.4950306918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6160.38861650566</v>
      </c>
      <c r="AC49" t="n">
        <v>0</v>
      </c>
      <c r="AD49" t="n">
        <v>0</v>
      </c>
      <c r="AE49" t="n">
        <v>0</v>
      </c>
      <c r="AF49" t="n">
        <v>449708.369004913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201602413.708317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178651.269878664</v>
      </c>
      <c r="AY49" t="n">
        <v>78852.9742912724</v>
      </c>
      <c r="AZ49" t="n">
        <v>0</v>
      </c>
      <c r="BA49" t="n">
        <v>574148.219058327</v>
      </c>
      <c r="BB49" t="n">
        <v>2499885.70057799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68996.3525048633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</row>
    <row r="50">
      <c r="A50" t="s">
        <v>177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8863200.8756522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1076190.91291527</v>
      </c>
      <c r="AC50" t="n">
        <v>0</v>
      </c>
      <c r="AD50" t="n">
        <v>0</v>
      </c>
      <c r="AE50" t="n">
        <v>0</v>
      </c>
      <c r="AF50" t="n">
        <v>74918261.6948017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9531976.65724955</v>
      </c>
      <c r="AQ50" t="n">
        <v>5815320591.18486</v>
      </c>
      <c r="AR50" t="n">
        <v>53809.5456457636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85142075.3674968</v>
      </c>
      <c r="AZ50" t="n">
        <v>0</v>
      </c>
      <c r="BA50" t="n">
        <v>21985042.9352691</v>
      </c>
      <c r="BB50" t="n">
        <v>849468235.875822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5796056.77384368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</row>
    <row r="51">
      <c r="A51" t="s">
        <v>178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1145948.20346723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1992949.38126441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5026446.24951572</v>
      </c>
      <c r="AC51" t="n">
        <v>0</v>
      </c>
      <c r="AD51" t="n">
        <v>0</v>
      </c>
      <c r="AE51" t="n">
        <v>0</v>
      </c>
      <c r="AF51" t="n">
        <v>238799.87975683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14606265.6832667</v>
      </c>
      <c r="AP51" t="n">
        <v>0</v>
      </c>
      <c r="AQ51" t="n">
        <v>3536859.1946911</v>
      </c>
      <c r="AR51" t="n">
        <v>380649920.526043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33490.2270390676</v>
      </c>
      <c r="AZ51" t="n">
        <v>0</v>
      </c>
      <c r="BA51" t="n">
        <v>24217802.4397293</v>
      </c>
      <c r="BB51" t="n">
        <v>263766115.966041</v>
      </c>
      <c r="BC51" t="n">
        <v>0</v>
      </c>
      <c r="BD51" t="n">
        <v>88821.9064949185</v>
      </c>
      <c r="BE51" t="n">
        <v>0</v>
      </c>
      <c r="BF51" t="n">
        <v>163082.844711982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136873.101811842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</row>
    <row r="52">
      <c r="A52" t="s">
        <v>179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20156.4946918546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5110936224.42706</v>
      </c>
      <c r="AT52" t="n">
        <v>146149703.886965</v>
      </c>
      <c r="AU52" t="n">
        <v>0</v>
      </c>
      <c r="AV52" t="n">
        <v>0</v>
      </c>
      <c r="AW52" t="n">
        <v>0</v>
      </c>
      <c r="AX52" t="n">
        <v>0</v>
      </c>
      <c r="AY52" t="n">
        <v>360841567.973582</v>
      </c>
      <c r="AZ52" t="n">
        <v>0</v>
      </c>
      <c r="BA52" t="n">
        <v>12703630.7795414</v>
      </c>
      <c r="BB52" t="n">
        <v>12673396.0375036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</row>
    <row r="53">
      <c r="A53" t="s">
        <v>180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2453.85800809949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62077699.8889008</v>
      </c>
      <c r="AT53" t="n">
        <v>1415350945.05967</v>
      </c>
      <c r="AU53" t="n">
        <v>9295214.13468086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2569189.33448016</v>
      </c>
      <c r="BB53" t="n">
        <v>2632989.64269075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</row>
    <row r="54">
      <c r="A54" t="s">
        <v>181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27241.1810635781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8063389.59481911</v>
      </c>
      <c r="AU54" t="n">
        <v>6134572321.37625</v>
      </c>
      <c r="AV54" t="n">
        <v>0</v>
      </c>
      <c r="AW54" t="n">
        <v>0</v>
      </c>
      <c r="AX54" t="n">
        <v>0</v>
      </c>
      <c r="AY54" t="n">
        <v>0</v>
      </c>
      <c r="AZ54" t="n">
        <v>463100.078080827</v>
      </c>
      <c r="BA54" t="n">
        <v>13037629.2570285</v>
      </c>
      <c r="BB54" t="n">
        <v>14715686.0105449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</row>
    <row r="55">
      <c r="A55" t="s">
        <v>182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83975498.5754986</v>
      </c>
      <c r="AW55" t="n">
        <v>0</v>
      </c>
      <c r="AX55" t="n">
        <v>0</v>
      </c>
      <c r="AY55" t="n">
        <v>0</v>
      </c>
      <c r="AZ55" t="n">
        <v>0</v>
      </c>
      <c r="BA55" t="n">
        <v>2849.00284900285</v>
      </c>
      <c r="BB55" t="n">
        <v>2849.00284900285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</row>
    <row r="56">
      <c r="A56" t="s">
        <v>183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178528501.057437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20532868622.0882</v>
      </c>
      <c r="AX56" t="n">
        <v>0</v>
      </c>
      <c r="AY56" t="n">
        <v>0</v>
      </c>
      <c r="AZ56" t="n">
        <v>0</v>
      </c>
      <c r="BA56" t="n">
        <v>933482.358470259</v>
      </c>
      <c r="BB56" t="n">
        <v>1157518.12450312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</row>
    <row r="57">
      <c r="A57" t="s">
        <v>184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1387003.13676767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6700958.9045088</v>
      </c>
      <c r="AT57" t="n">
        <v>0</v>
      </c>
      <c r="AU57" t="n">
        <v>1694744.457738</v>
      </c>
      <c r="AV57" t="n">
        <v>0</v>
      </c>
      <c r="AW57" t="n">
        <v>0</v>
      </c>
      <c r="AX57" t="n">
        <v>6208486103.26023</v>
      </c>
      <c r="AY57" t="n">
        <v>0</v>
      </c>
      <c r="AZ57" t="n">
        <v>0</v>
      </c>
      <c r="BA57" t="n">
        <v>1317652.97992929</v>
      </c>
      <c r="BB57" t="n">
        <v>2513943.1853914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294738.16656313</v>
      </c>
      <c r="BN57" t="n">
        <v>0</v>
      </c>
      <c r="BO57" t="n">
        <v>970902.195737368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</row>
    <row r="58">
      <c r="A58" t="s">
        <v>185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652936.512197439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4487905.39396467</v>
      </c>
      <c r="AD58" t="n">
        <v>0</v>
      </c>
      <c r="AE58" t="n">
        <v>25464523.9757001</v>
      </c>
      <c r="AF58" t="n">
        <v>2305940.34054538</v>
      </c>
      <c r="AG58" t="n">
        <v>0</v>
      </c>
      <c r="AH58" t="n">
        <v>0</v>
      </c>
      <c r="AI58" t="n">
        <v>0</v>
      </c>
      <c r="AJ58" t="n">
        <v>10595754.5397103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636406.473913959</v>
      </c>
      <c r="AT58" t="n">
        <v>694261.607906137</v>
      </c>
      <c r="AU58" t="n">
        <v>5645008.07380824</v>
      </c>
      <c r="AV58" t="n">
        <v>0</v>
      </c>
      <c r="AW58" t="n">
        <v>0</v>
      </c>
      <c r="AX58" t="n">
        <v>9579157.18527635</v>
      </c>
      <c r="AY58" t="n">
        <v>3258020955.55895</v>
      </c>
      <c r="AZ58" t="n">
        <v>0</v>
      </c>
      <c r="BA58" t="n">
        <v>1396788.23495401</v>
      </c>
      <c r="BB58" t="n">
        <v>1752184.05804882</v>
      </c>
      <c r="BC58" t="n">
        <v>0</v>
      </c>
      <c r="BD58" t="n">
        <v>0</v>
      </c>
      <c r="BE58" t="n">
        <v>0</v>
      </c>
      <c r="BF58" t="n">
        <v>24795.0574252192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10174238.5634816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</row>
    <row r="59">
      <c r="A59" t="s">
        <v>186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12515.9836079699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2317609716.65501</v>
      </c>
      <c r="BA59" t="n">
        <v>2259135.04123857</v>
      </c>
      <c r="BB59" t="n">
        <v>1695915.77887992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</row>
    <row r="60">
      <c r="A60" t="s">
        <v>187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27751.173233559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431684.916966474</v>
      </c>
      <c r="AC60" t="n">
        <v>0</v>
      </c>
      <c r="AD60" t="n">
        <v>0</v>
      </c>
      <c r="AE60" t="n">
        <v>0</v>
      </c>
      <c r="AF60" t="n">
        <v>4603611.29307818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18726477.9013226</v>
      </c>
      <c r="AP60" t="n">
        <v>0</v>
      </c>
      <c r="AQ60" t="n">
        <v>508771.509281916</v>
      </c>
      <c r="AR60" t="n">
        <v>62662149.1613763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403933.743732915</v>
      </c>
      <c r="AZ60" t="n">
        <v>0</v>
      </c>
      <c r="BA60" t="n">
        <v>1457198689.17572</v>
      </c>
      <c r="BB60" t="n">
        <v>41916605.4374446</v>
      </c>
      <c r="BC60" t="n">
        <v>0</v>
      </c>
      <c r="BD60" t="n">
        <v>17375317.9079006</v>
      </c>
      <c r="BE60" t="n">
        <v>0</v>
      </c>
      <c r="BF60" t="n">
        <v>1174799.66688733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12888878.2351419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</row>
    <row r="61">
      <c r="A61" t="s">
        <v>188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3902790.41180086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48481.8684695759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3920971.11247695</v>
      </c>
      <c r="AF61" t="n">
        <v>12453779.9631223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370855992.624462</v>
      </c>
      <c r="AS61" t="n">
        <v>0</v>
      </c>
      <c r="AT61" t="n">
        <v>2987695.14443761</v>
      </c>
      <c r="AU61" t="n">
        <v>0</v>
      </c>
      <c r="AV61" t="n">
        <v>0</v>
      </c>
      <c r="AW61" t="n">
        <v>0</v>
      </c>
      <c r="AX61" t="n">
        <v>0</v>
      </c>
      <c r="AY61" t="n">
        <v>236349.108789183</v>
      </c>
      <c r="AZ61" t="n">
        <v>0</v>
      </c>
      <c r="BA61" t="n">
        <v>78249735.7098955</v>
      </c>
      <c r="BB61" t="n">
        <v>9039468617.08666</v>
      </c>
      <c r="BC61" t="n">
        <v>0</v>
      </c>
      <c r="BD61" t="n">
        <v>8811579.59434542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11975021.5119852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</row>
    <row r="62">
      <c r="A62" t="s">
        <v>189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570496.225177646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82781655.7440912</v>
      </c>
      <c r="BB62" t="n">
        <v>41964640.9357417</v>
      </c>
      <c r="BC62" t="n">
        <v>4065289763.84554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</row>
    <row r="63">
      <c r="A63" t="s">
        <v>190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13704471.0395156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15977169.7955349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12504720.1940634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1385078.21182293</v>
      </c>
      <c r="AV63" t="n">
        <v>0</v>
      </c>
      <c r="AW63" t="n">
        <v>0</v>
      </c>
      <c r="AX63" t="n">
        <v>2614091.27301792</v>
      </c>
      <c r="AY63" t="n">
        <v>2331223.18750479</v>
      </c>
      <c r="AZ63" t="n">
        <v>0</v>
      </c>
      <c r="BA63" t="n">
        <v>120833442.873679</v>
      </c>
      <c r="BB63" t="n">
        <v>448736078.414886</v>
      </c>
      <c r="BC63" t="n">
        <v>0</v>
      </c>
      <c r="BD63" t="n">
        <v>9961950694.8824</v>
      </c>
      <c r="BE63" t="n">
        <v>5035919.30011946</v>
      </c>
      <c r="BF63" t="n">
        <v>253605.869770396</v>
      </c>
      <c r="BG63" t="n">
        <v>0</v>
      </c>
      <c r="BH63" t="n">
        <v>0</v>
      </c>
      <c r="BI63" t="n">
        <v>0</v>
      </c>
      <c r="BJ63" t="n">
        <v>370654.732741347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</row>
    <row r="64">
      <c r="A64" t="s">
        <v>191</v>
      </c>
      <c r="B64" t="n">
        <v>0</v>
      </c>
      <c r="C64" t="n">
        <v>0</v>
      </c>
      <c r="D64" t="n">
        <v>325614.058782106</v>
      </c>
      <c r="E64" t="n">
        <v>0</v>
      </c>
      <c r="F64" t="n">
        <v>0</v>
      </c>
      <c r="G64" t="n">
        <v>0</v>
      </c>
      <c r="H64" t="n">
        <v>8031.92487093832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453803.755208015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1967821.59337989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630506.102368658</v>
      </c>
      <c r="AZ64" t="n">
        <v>0</v>
      </c>
      <c r="BA64" t="n">
        <v>88351.1735803215</v>
      </c>
      <c r="BB64" t="n">
        <v>626490.139933189</v>
      </c>
      <c r="BC64" t="n">
        <v>0</v>
      </c>
      <c r="BD64" t="n">
        <v>0</v>
      </c>
      <c r="BE64" t="n">
        <v>912409103.0792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3823196.23856664</v>
      </c>
      <c r="BV64" t="n">
        <v>0</v>
      </c>
    </row>
    <row r="65">
      <c r="A65" t="s">
        <v>192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3310874.3187595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3689801.27941868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554180.679964037</v>
      </c>
      <c r="AV65" t="n">
        <v>0</v>
      </c>
      <c r="AW65" t="n">
        <v>0</v>
      </c>
      <c r="AX65" t="n">
        <v>312614.742543816</v>
      </c>
      <c r="AY65" t="n">
        <v>0</v>
      </c>
      <c r="AZ65" t="n">
        <v>0</v>
      </c>
      <c r="BA65" t="n">
        <v>23569256.9530004</v>
      </c>
      <c r="BB65" t="n">
        <v>156899444.647938</v>
      </c>
      <c r="BC65" t="n">
        <v>0</v>
      </c>
      <c r="BD65" t="n">
        <v>0</v>
      </c>
      <c r="BE65" t="n">
        <v>0</v>
      </c>
      <c r="BF65" t="n">
        <v>1421610805.13099</v>
      </c>
      <c r="BG65" t="n">
        <v>0</v>
      </c>
      <c r="BH65" t="n">
        <v>0</v>
      </c>
      <c r="BI65" t="n">
        <v>0</v>
      </c>
      <c r="BJ65" t="n">
        <v>0</v>
      </c>
      <c r="BK65" t="n">
        <v>8170612.58921337</v>
      </c>
      <c r="BL65" t="n">
        <v>0</v>
      </c>
      <c r="BM65" t="n">
        <v>134869578.472615</v>
      </c>
      <c r="BN65" t="n">
        <v>61660889.6732636</v>
      </c>
      <c r="BO65" t="n">
        <v>222619.589387263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</row>
    <row r="66">
      <c r="A66" t="s">
        <v>193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4662321.09556589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90985056.5895164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4466894.46281762</v>
      </c>
      <c r="AZ66" t="n">
        <v>0</v>
      </c>
      <c r="BA66" t="n">
        <v>7919431.6413704</v>
      </c>
      <c r="BB66" t="n">
        <v>3824778.38378758</v>
      </c>
      <c r="BC66" t="n">
        <v>0</v>
      </c>
      <c r="BD66" t="n">
        <v>0</v>
      </c>
      <c r="BE66" t="n">
        <v>0</v>
      </c>
      <c r="BF66" t="n">
        <v>0</v>
      </c>
      <c r="BG66" t="n">
        <v>10703991283.1595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502525.627066982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</row>
    <row r="67">
      <c r="A67" t="s">
        <v>194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12099722.2709021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17165827.5108006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1501772.28499806</v>
      </c>
      <c r="AZ67" t="n">
        <v>0</v>
      </c>
      <c r="BA67" t="n">
        <v>26537646.9602188</v>
      </c>
      <c r="BB67" t="n">
        <v>75868015.0560411</v>
      </c>
      <c r="BC67" t="n">
        <v>0</v>
      </c>
      <c r="BD67" t="n">
        <v>0</v>
      </c>
      <c r="BE67" t="n">
        <v>0</v>
      </c>
      <c r="BF67" t="n">
        <v>0</v>
      </c>
      <c r="BG67" t="n">
        <v>36698372.1036551</v>
      </c>
      <c r="BH67" t="n">
        <v>8663211048.20829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17783645.2229833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</row>
    <row r="68">
      <c r="A68" t="s">
        <v>195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371961.061232725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224906.688187229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1435942.70150308</v>
      </c>
      <c r="AY68" t="n">
        <v>0</v>
      </c>
      <c r="AZ68" t="n">
        <v>0</v>
      </c>
      <c r="BA68" t="n">
        <v>276808.231615051</v>
      </c>
      <c r="BB68" t="n">
        <v>181655.401997377</v>
      </c>
      <c r="BC68" t="n">
        <v>0</v>
      </c>
      <c r="BD68" t="n">
        <v>0</v>
      </c>
      <c r="BE68" t="n">
        <v>0</v>
      </c>
      <c r="BF68" t="n">
        <v>0</v>
      </c>
      <c r="BG68" t="n">
        <v>1280238.07121961</v>
      </c>
      <c r="BH68" t="n">
        <v>0</v>
      </c>
      <c r="BI68" t="n">
        <v>2244983960.45597</v>
      </c>
      <c r="BJ68" t="n">
        <v>5614016.94744275</v>
      </c>
      <c r="BK68" t="n">
        <v>0</v>
      </c>
      <c r="BL68" t="n">
        <v>0</v>
      </c>
      <c r="BM68" t="n">
        <v>0</v>
      </c>
      <c r="BN68" t="n">
        <v>5536164.63230102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</row>
    <row r="69">
      <c r="A69" t="s">
        <v>196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1224010.9186952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1621619.5610739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966734.738332517</v>
      </c>
      <c r="BB69" t="n">
        <v>171517.453575124</v>
      </c>
      <c r="BC69" t="n">
        <v>0</v>
      </c>
      <c r="BD69" t="n">
        <v>0</v>
      </c>
      <c r="BE69" t="n">
        <v>0</v>
      </c>
      <c r="BF69" t="n">
        <v>0</v>
      </c>
      <c r="BG69" t="n">
        <v>1785340.76675924</v>
      </c>
      <c r="BH69" t="n">
        <v>0</v>
      </c>
      <c r="BI69" t="n">
        <v>14812870.9905789</v>
      </c>
      <c r="BJ69" t="n">
        <v>1911725741.30044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</row>
    <row r="70">
      <c r="A70" t="s">
        <v>197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2793803.24392032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6328077.91671708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4906191.06249422</v>
      </c>
      <c r="AY70" t="n">
        <v>7354743.82423902</v>
      </c>
      <c r="AZ70" t="n">
        <v>0</v>
      </c>
      <c r="BA70" t="n">
        <v>645073.269327943</v>
      </c>
      <c r="BB70" t="n">
        <v>39403982.6630323</v>
      </c>
      <c r="BC70" t="n">
        <v>0</v>
      </c>
      <c r="BD70" t="n">
        <v>0</v>
      </c>
      <c r="BE70" t="n">
        <v>0</v>
      </c>
      <c r="BF70" t="n">
        <v>1421886.85422286</v>
      </c>
      <c r="BG70" t="n">
        <v>0</v>
      </c>
      <c r="BH70" t="n">
        <v>0</v>
      </c>
      <c r="BI70" t="n">
        <v>0</v>
      </c>
      <c r="BJ70" t="n">
        <v>0</v>
      </c>
      <c r="BK70" t="n">
        <v>924489935.875994</v>
      </c>
      <c r="BL70" t="n">
        <v>9803296.58598382</v>
      </c>
      <c r="BM70" t="n">
        <v>36342.1560184757</v>
      </c>
      <c r="BN70" t="n">
        <v>20456091.0688995</v>
      </c>
      <c r="BO70" t="n">
        <v>1680824.7158545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</row>
    <row r="71">
      <c r="A71" t="s">
        <v>198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4065233.36818243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641878.95287091</v>
      </c>
      <c r="AD71" t="n">
        <v>0</v>
      </c>
      <c r="AE71" t="n">
        <v>0</v>
      </c>
      <c r="AF71" t="n">
        <v>19555912.0974671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456447.255374869</v>
      </c>
      <c r="AY71" t="n">
        <v>1754469.13784715</v>
      </c>
      <c r="AZ71" t="n">
        <v>0</v>
      </c>
      <c r="BA71" t="n">
        <v>456447.255374869</v>
      </c>
      <c r="BB71" t="n">
        <v>591955.034314284</v>
      </c>
      <c r="BC71" t="n">
        <v>0</v>
      </c>
      <c r="BD71" t="n">
        <v>0</v>
      </c>
      <c r="BE71" t="n">
        <v>0</v>
      </c>
      <c r="BF71" t="n">
        <v>21531472.8746364</v>
      </c>
      <c r="BG71" t="n">
        <v>0</v>
      </c>
      <c r="BH71" t="n">
        <v>0</v>
      </c>
      <c r="BI71" t="n">
        <v>0</v>
      </c>
      <c r="BJ71" t="n">
        <v>4471756.70500067</v>
      </c>
      <c r="BK71" t="n">
        <v>99847.8371132527</v>
      </c>
      <c r="BL71" t="n">
        <v>1072002039.18971</v>
      </c>
      <c r="BM71" t="n">
        <v>1454925.6265074</v>
      </c>
      <c r="BN71" t="n">
        <v>76084051.8802985</v>
      </c>
      <c r="BO71" t="n">
        <v>25839193.8472367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</row>
    <row r="72">
      <c r="A72" t="s">
        <v>199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8221630.80349583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45273.2973760783</v>
      </c>
      <c r="AD72" t="n">
        <v>1281234.31574302</v>
      </c>
      <c r="AE72" t="n">
        <v>1887896.50058247</v>
      </c>
      <c r="AF72" t="n">
        <v>3286841.38950329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715318.098542038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5088718.62507121</v>
      </c>
      <c r="AY72" t="n">
        <v>4789914.86238909</v>
      </c>
      <c r="AZ72" t="n">
        <v>0</v>
      </c>
      <c r="BA72" t="n">
        <v>244475.805830823</v>
      </c>
      <c r="BB72" t="n">
        <v>18109.3189504313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4789914.86238909</v>
      </c>
      <c r="BL72" t="n">
        <v>150298292.629105</v>
      </c>
      <c r="BM72" t="n">
        <v>980651312.47402</v>
      </c>
      <c r="BN72" t="n">
        <v>216931531.707217</v>
      </c>
      <c r="BO72" t="n">
        <v>9271971.30262084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</row>
    <row r="73">
      <c r="A73" t="s">
        <v>200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8886329.15937346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358830.393608904</v>
      </c>
      <c r="AC73" t="n">
        <v>0</v>
      </c>
      <c r="AD73" t="n">
        <v>6279531.88815583</v>
      </c>
      <c r="AE73" t="n">
        <v>0</v>
      </c>
      <c r="AF73" t="n">
        <v>16886136.1698308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31661.5053184327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14099923.7018087</v>
      </c>
      <c r="BM73" t="n">
        <v>189969.031910596</v>
      </c>
      <c r="BN73" t="n">
        <v>9546809267.98618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84430.680849154</v>
      </c>
      <c r="BV73" t="n">
        <v>0</v>
      </c>
    </row>
    <row r="74">
      <c r="A74" t="s">
        <v>201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4728388.20250113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4833463.49589004</v>
      </c>
      <c r="AC74" t="n">
        <v>18216234.9538781</v>
      </c>
      <c r="AD74" t="n">
        <v>0</v>
      </c>
      <c r="AE74" t="n">
        <v>1394635.71225286</v>
      </c>
      <c r="AF74" t="n">
        <v>44217593.9179348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7221538.34563809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13678892.7393568</v>
      </c>
      <c r="AY74" t="n">
        <v>3792262.8613999</v>
      </c>
      <c r="AZ74" t="n">
        <v>0</v>
      </c>
      <c r="BA74" t="n">
        <v>10755889.1232652</v>
      </c>
      <c r="BB74" t="n">
        <v>10774993.7220632</v>
      </c>
      <c r="BC74" t="n">
        <v>0</v>
      </c>
      <c r="BD74" t="n">
        <v>0</v>
      </c>
      <c r="BE74" t="n">
        <v>0</v>
      </c>
      <c r="BF74" t="n">
        <v>95522.9939899218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31828261.5974419</v>
      </c>
      <c r="BO74" t="n">
        <v>7268287298.89676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</row>
    <row r="75">
      <c r="A75" t="s">
        <v>202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26165.8118044298</v>
      </c>
      <c r="I75" t="n">
        <v>0</v>
      </c>
      <c r="J75" t="n">
        <v>0</v>
      </c>
      <c r="K75" t="n">
        <v>0</v>
      </c>
      <c r="L75" t="n">
        <v>0</v>
      </c>
      <c r="M75" t="n">
        <v>7928.83203080603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38613.5861473107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383765.239798304</v>
      </c>
      <c r="AQ75" t="n">
        <v>0</v>
      </c>
      <c r="AR75" t="n">
        <v>130829.059022149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16135583.946065</v>
      </c>
      <c r="BB75" t="n">
        <v>203665957.148413</v>
      </c>
      <c r="BC75" t="n">
        <v>0</v>
      </c>
      <c r="BD75" t="n">
        <v>0</v>
      </c>
      <c r="BE75" t="n">
        <v>0</v>
      </c>
      <c r="BF75" t="n">
        <v>2128152.69342696</v>
      </c>
      <c r="BG75" t="n">
        <v>0</v>
      </c>
      <c r="BH75" t="n">
        <v>13553890.5146946</v>
      </c>
      <c r="BI75" t="n">
        <v>0</v>
      </c>
      <c r="BJ75" t="n">
        <v>0</v>
      </c>
      <c r="BK75" t="n">
        <v>191882.619899152</v>
      </c>
      <c r="BL75" t="n">
        <v>0</v>
      </c>
      <c r="BM75" t="n">
        <v>0</v>
      </c>
      <c r="BN75" t="n">
        <v>0</v>
      </c>
      <c r="BO75" t="n">
        <v>0</v>
      </c>
      <c r="BP75" t="n">
        <v>5889540471.93735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</row>
    <row r="76">
      <c r="A76" t="s">
        <v>203</v>
      </c>
      <c r="B76" t="n">
        <v>0</v>
      </c>
      <c r="C76" t="n">
        <v>646835.240881208</v>
      </c>
      <c r="D76" t="n">
        <v>0</v>
      </c>
      <c r="E76" t="n">
        <v>0</v>
      </c>
      <c r="F76" t="n">
        <v>0</v>
      </c>
      <c r="G76" t="n">
        <v>527475.660740964</v>
      </c>
      <c r="H76" t="n">
        <v>4936631.18385774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1162959.87982294</v>
      </c>
      <c r="T76" t="n">
        <v>0</v>
      </c>
      <c r="U76" t="n">
        <v>0</v>
      </c>
      <c r="V76" t="n">
        <v>0</v>
      </c>
      <c r="W76" t="n">
        <v>0</v>
      </c>
      <c r="X76" t="n">
        <v>81150.101652456</v>
      </c>
      <c r="Y76" t="n">
        <v>0</v>
      </c>
      <c r="Z76" t="n">
        <v>89809.7936163019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701061.247563929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811501.01652456</v>
      </c>
      <c r="AW76" t="n">
        <v>0</v>
      </c>
      <c r="AX76" t="n">
        <v>0</v>
      </c>
      <c r="AY76" t="n">
        <v>0</v>
      </c>
      <c r="AZ76" t="n">
        <v>0</v>
      </c>
      <c r="BA76" t="n">
        <v>27523409.4771247</v>
      </c>
      <c r="BB76" t="n">
        <v>277303422.363385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13538541.9590181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5572117629.89812</v>
      </c>
      <c r="BR76" t="n">
        <v>4530880.67559546</v>
      </c>
      <c r="BS76" t="n">
        <v>0</v>
      </c>
      <c r="BT76" t="n">
        <v>0</v>
      </c>
      <c r="BU76" t="n">
        <v>0</v>
      </c>
      <c r="BV76" t="n">
        <v>58901448.782741</v>
      </c>
    </row>
    <row r="77">
      <c r="A77" t="s">
        <v>204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229687305.609671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36864924.0370176</v>
      </c>
      <c r="AF77" t="n">
        <v>792794.065312207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222973.330869058</v>
      </c>
      <c r="AQ77" t="n">
        <v>0</v>
      </c>
      <c r="AR77" t="n">
        <v>0</v>
      </c>
      <c r="AS77" t="n">
        <v>0</v>
      </c>
      <c r="AT77" t="n">
        <v>0</v>
      </c>
      <c r="AU77" t="n">
        <v>33656585.5539573</v>
      </c>
      <c r="AV77" t="n">
        <v>0</v>
      </c>
      <c r="AW77" t="n">
        <v>0</v>
      </c>
      <c r="AX77" t="n">
        <v>10417809.5144932</v>
      </c>
      <c r="AY77" t="n">
        <v>0</v>
      </c>
      <c r="AZ77" t="n">
        <v>0</v>
      </c>
      <c r="BA77" t="n">
        <v>7246633.25324439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18903183.4947879</v>
      </c>
      <c r="BO77" t="n">
        <v>0</v>
      </c>
      <c r="BP77" t="n">
        <v>0</v>
      </c>
      <c r="BQ77" t="n">
        <v>0</v>
      </c>
      <c r="BR77" t="n">
        <v>887359532.415228</v>
      </c>
      <c r="BS77" t="n">
        <v>0</v>
      </c>
      <c r="BT77" t="n">
        <v>0</v>
      </c>
      <c r="BU77" t="n">
        <v>0</v>
      </c>
      <c r="BV77" t="n">
        <v>0</v>
      </c>
    </row>
    <row r="78">
      <c r="A78" t="s">
        <v>205</v>
      </c>
      <c r="B78" t="n">
        <v>8670274.05115372</v>
      </c>
      <c r="C78" t="n">
        <v>35149588.5926572</v>
      </c>
      <c r="D78" t="n">
        <v>0</v>
      </c>
      <c r="E78" t="n">
        <v>7072547.44875751</v>
      </c>
      <c r="F78" t="n">
        <v>0</v>
      </c>
      <c r="G78" t="n">
        <v>17525593.3361481</v>
      </c>
      <c r="H78" t="n">
        <v>301142473.294183</v>
      </c>
      <c r="I78" t="n">
        <v>3075378.80000099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36279475.2717345</v>
      </c>
      <c r="T78" t="n">
        <v>34907766.8714392</v>
      </c>
      <c r="U78" t="n">
        <v>0</v>
      </c>
      <c r="V78" t="n">
        <v>11173503.9322555</v>
      </c>
      <c r="W78" t="n">
        <v>6231305.74389211</v>
      </c>
      <c r="X78" t="n">
        <v>25144828.1224426</v>
      </c>
      <c r="Y78" t="n">
        <v>0</v>
      </c>
      <c r="Z78" t="n">
        <v>1984978.95062577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2781494.09370021</v>
      </c>
      <c r="AP78" t="n">
        <v>13533.2767074503</v>
      </c>
      <c r="AQ78" t="n">
        <v>0</v>
      </c>
      <c r="AR78" t="n">
        <v>34469255.7738758</v>
      </c>
      <c r="AS78" t="n">
        <v>0</v>
      </c>
      <c r="AT78" t="n">
        <v>0</v>
      </c>
      <c r="AU78" t="n">
        <v>0</v>
      </c>
      <c r="AV78" t="n">
        <v>450522781.591019</v>
      </c>
      <c r="AW78" t="n">
        <v>0</v>
      </c>
      <c r="AX78" t="n">
        <v>0</v>
      </c>
      <c r="AY78" t="n">
        <v>0</v>
      </c>
      <c r="AZ78" t="n">
        <v>0</v>
      </c>
      <c r="BA78" t="n">
        <v>66827320.3813894</v>
      </c>
      <c r="BB78" t="n">
        <v>802699241.348998</v>
      </c>
      <c r="BC78" t="n">
        <v>0</v>
      </c>
      <c r="BD78" t="n">
        <v>131462249.936172</v>
      </c>
      <c r="BE78" t="n">
        <v>253025927.683284</v>
      </c>
      <c r="BF78" t="n">
        <v>1372653189.88327</v>
      </c>
      <c r="BG78" t="n">
        <v>497483251.765872</v>
      </c>
      <c r="BH78" t="n">
        <v>3119934545.58217</v>
      </c>
      <c r="BI78" t="n">
        <v>0</v>
      </c>
      <c r="BJ78" t="n">
        <v>54106040.2763862</v>
      </c>
      <c r="BK78" t="n">
        <v>46202606.6792352</v>
      </c>
      <c r="BL78" t="n">
        <v>38353306.1889141</v>
      </c>
      <c r="BM78" t="n">
        <v>153034293.007848</v>
      </c>
      <c r="BN78" t="n">
        <v>274671384.054411</v>
      </c>
      <c r="BO78" t="n">
        <v>16672996.9035787</v>
      </c>
      <c r="BP78" t="n">
        <v>0</v>
      </c>
      <c r="BQ78" t="n">
        <v>0</v>
      </c>
      <c r="BR78" t="n">
        <v>0</v>
      </c>
      <c r="BS78" t="n">
        <v>26049040472.3742</v>
      </c>
      <c r="BT78" t="n">
        <v>0</v>
      </c>
      <c r="BU78" t="n">
        <v>60209548.0714462</v>
      </c>
      <c r="BV78" t="n">
        <v>0</v>
      </c>
    </row>
    <row r="79">
      <c r="A79" t="s">
        <v>206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1190262660.85469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46534014.1959086</v>
      </c>
      <c r="AE79" t="n">
        <v>0</v>
      </c>
      <c r="AF79" t="n">
        <v>0</v>
      </c>
      <c r="AG79" t="n">
        <v>0</v>
      </c>
      <c r="AH79" t="n">
        <v>1064556.30396186</v>
      </c>
      <c r="AI79" t="n">
        <v>3709817.42289739</v>
      </c>
      <c r="AJ79" t="n">
        <v>0</v>
      </c>
      <c r="AK79" t="n">
        <v>140150450.380676</v>
      </c>
      <c r="AL79" t="n">
        <v>0</v>
      </c>
      <c r="AM79" t="n">
        <v>128069349.294806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169361.23017575</v>
      </c>
      <c r="AT79" t="n">
        <v>0</v>
      </c>
      <c r="AU79" t="n">
        <v>3516261.73126796</v>
      </c>
      <c r="AV79" t="n">
        <v>0</v>
      </c>
      <c r="AW79" t="n">
        <v>68800983.5537775</v>
      </c>
      <c r="AX79" t="n">
        <v>233323321.438792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798417.227971395</v>
      </c>
      <c r="BL79" t="n">
        <v>352037478.971509</v>
      </c>
      <c r="BM79" t="n">
        <v>0</v>
      </c>
      <c r="BN79" t="n">
        <v>0</v>
      </c>
      <c r="BO79" t="n">
        <v>26742944.7267994</v>
      </c>
      <c r="BP79" t="n">
        <v>0</v>
      </c>
      <c r="BQ79" t="n">
        <v>0</v>
      </c>
      <c r="BR79" t="n">
        <v>0</v>
      </c>
      <c r="BS79" t="n">
        <v>0</v>
      </c>
      <c r="BT79" t="n">
        <v>888799671.141853</v>
      </c>
      <c r="BU79" t="n">
        <v>0</v>
      </c>
      <c r="BV7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9" topLeftCell="A10" activePane="bottomLeft" state="frozen"/>
      <selection pane="bottomLeft"/>
    </sheetView>
  </sheetViews>
  <sheetFormatPr defaultRowHeight="15.0" baseColWidth="10"/>
  <cols>
    <col min="1" max="1" width="8.71" hidden="0" customWidth="1"/>
    <col min="2" max="2" width="14.71" hidden="0" customWidth="1"/>
    <col min="3" max="3" width="18.71" hidden="0" customWidth="1"/>
    <col min="4" max="4" width="18.71" hidden="0" customWidth="1"/>
    <col min="5" max="5" width="70.71" hidden="0" customWidth="1"/>
  </cols>
  <sheetData>
    <row r="1">
      <c r="A1" t="s">
        <v>215</v>
      </c>
    </row>
    <row r="2">
      <c r="A2" t="s">
        <v>216</v>
      </c>
    </row>
    <row r="3">
      <c r="A3" t="s">
        <v>217</v>
      </c>
    </row>
    <row r="4">
      <c r="A4" t="s">
        <v>91</v>
      </c>
    </row>
    <row r="5">
      <c r="A5" t="s">
        <v>1</v>
      </c>
    </row>
    <row r="6">
      <c r="A6" t="s">
        <v>218</v>
      </c>
    </row>
    <row r="7">
      <c r="A7" t="s">
        <v>1</v>
      </c>
    </row>
    <row r="9">
      <c r="A9" t="s">
        <v>219</v>
      </c>
      <c r="B9" t="s">
        <v>220</v>
      </c>
      <c r="C9" t="s">
        <v>221</v>
      </c>
      <c r="D9" t="s">
        <v>222</v>
      </c>
      <c r="E9" t="s">
        <v>223</v>
      </c>
    </row>
    <row r="10">
      <c r="A10" t="s">
        <v>224</v>
      </c>
      <c r="B10" t="n">
        <v>12031000</v>
      </c>
      <c r="C10" t="s">
        <v>225</v>
      </c>
      <c r="D10" t="n">
        <v>600000000</v>
      </c>
      <c r="E10" t="s">
        <v>226</v>
      </c>
    </row>
    <row r="11">
      <c r="A11" t="s">
        <v>227</v>
      </c>
      <c r="B11" t="n">
        <v>1000000</v>
      </c>
      <c r="C11" t="s">
        <v>225</v>
      </c>
      <c r="D11" t="n">
        <v>40000000</v>
      </c>
      <c r="E11" t="s">
        <v>228</v>
      </c>
    </row>
    <row r="12">
      <c r="A12" t="s">
        <v>229</v>
      </c>
      <c r="B12" t="n">
        <v>4220000</v>
      </c>
      <c r="C12" t="s">
        <v>225</v>
      </c>
      <c r="D12" t="n">
        <v>125000000</v>
      </c>
      <c r="E12" t="s">
        <v>230</v>
      </c>
    </row>
    <row r="13">
      <c r="A13" t="s">
        <v>231</v>
      </c>
      <c r="B13" t="n">
        <v>0</v>
      </c>
      <c r="C13" t="s">
        <v>225</v>
      </c>
      <c r="D13" t="n">
        <v>0</v>
      </c>
      <c r="E13"/>
    </row>
    <row r="14">
      <c r="A14" t="s">
        <v>232</v>
      </c>
      <c r="B14" t="n">
        <v>0</v>
      </c>
      <c r="C14" t="s">
        <v>225</v>
      </c>
      <c r="D14" t="n">
        <v>0</v>
      </c>
      <c r="E14"/>
    </row>
    <row r="15">
      <c r="A15" t="s">
        <v>233</v>
      </c>
      <c r="B15" t="n">
        <v>10710000</v>
      </c>
      <c r="C15" t="s">
        <v>225</v>
      </c>
      <c r="D15" t="n">
        <v>330000000</v>
      </c>
      <c r="E15" t="s">
        <v>234</v>
      </c>
    </row>
    <row r="16">
      <c r="A16" t="s">
        <v>235</v>
      </c>
      <c r="B16" t="n">
        <v>0</v>
      </c>
      <c r="C16" t="s">
        <v>225</v>
      </c>
      <c r="D16" t="n">
        <v>0</v>
      </c>
      <c r="E16"/>
    </row>
    <row r="17">
      <c r="A17" t="s">
        <v>236</v>
      </c>
      <c r="B17" t="n">
        <v>0</v>
      </c>
      <c r="C17" t="s">
        <v>225</v>
      </c>
      <c r="D17" t="n">
        <v>0</v>
      </c>
      <c r="E17"/>
    </row>
    <row r="18">
      <c r="A18" t="s">
        <v>237</v>
      </c>
      <c r="B18" t="n">
        <v>0</v>
      </c>
      <c r="C18" t="s">
        <v>225</v>
      </c>
      <c r="D18" t="n">
        <v>0</v>
      </c>
      <c r="E18"/>
    </row>
    <row r="19">
      <c r="A19" t="s">
        <v>238</v>
      </c>
      <c r="B19" t="n">
        <v>0</v>
      </c>
      <c r="C19" t="s">
        <v>225</v>
      </c>
      <c r="D19" t="n">
        <v>0</v>
      </c>
      <c r="E19"/>
    </row>
    <row r="20">
      <c r="A20" t="s">
        <v>239</v>
      </c>
      <c r="B20" t="n">
        <v>0</v>
      </c>
      <c r="C20" t="s">
        <v>225</v>
      </c>
      <c r="D20" t="n">
        <v>0</v>
      </c>
      <c r="E20"/>
    </row>
    <row r="21">
      <c r="A21" t="s">
        <v>240</v>
      </c>
      <c r="B21" t="n">
        <v>0</v>
      </c>
      <c r="C21" t="s">
        <v>225</v>
      </c>
      <c r="D21" t="n">
        <v>0</v>
      </c>
      <c r="E21"/>
    </row>
    <row r="22">
      <c r="A22" t="s">
        <v>241</v>
      </c>
      <c r="B22" t="n">
        <v>0</v>
      </c>
      <c r="C22" t="s">
        <v>225</v>
      </c>
      <c r="D22" t="n">
        <v>0</v>
      </c>
      <c r="E22"/>
    </row>
    <row r="23">
      <c r="A23" t="s">
        <v>242</v>
      </c>
      <c r="B23" t="n">
        <v>45919000</v>
      </c>
      <c r="C23" t="s">
        <v>225</v>
      </c>
      <c r="D23" t="n">
        <v>1950000000</v>
      </c>
      <c r="E23" t="s">
        <v>243</v>
      </c>
    </row>
    <row r="24">
      <c r="A24" t="s">
        <v>244</v>
      </c>
      <c r="B24" t="n">
        <v>28820000</v>
      </c>
      <c r="C24" t="s">
        <v>225</v>
      </c>
      <c r="D24" t="n">
        <v>1210000000</v>
      </c>
      <c r="E24" t="s">
        <v>243</v>
      </c>
    </row>
    <row r="25">
      <c r="A25" t="s">
        <v>245</v>
      </c>
      <c r="B25" t="n">
        <v>0</v>
      </c>
      <c r="C25" t="s">
        <v>225</v>
      </c>
      <c r="D25" t="n">
        <v>0</v>
      </c>
      <c r="E25"/>
    </row>
    <row r="26">
      <c r="A26" t="s">
        <v>246</v>
      </c>
      <c r="B26" t="n">
        <v>0</v>
      </c>
      <c r="C26" t="s">
        <v>225</v>
      </c>
      <c r="D26" t="n">
        <v>0</v>
      </c>
      <c r="E26"/>
    </row>
    <row r="27">
      <c r="A27" t="s">
        <v>247</v>
      </c>
      <c r="B27" t="n">
        <v>36140000</v>
      </c>
      <c r="C27" t="s">
        <v>225</v>
      </c>
      <c r="D27" t="n">
        <v>1730000000</v>
      </c>
      <c r="E27" t="s">
        <v>248</v>
      </c>
    </row>
    <row r="28">
      <c r="A28" t="s">
        <v>249</v>
      </c>
      <c r="B28" t="n">
        <v>2720000</v>
      </c>
      <c r="C28" t="s">
        <v>225</v>
      </c>
      <c r="D28" t="n">
        <v>60000000</v>
      </c>
      <c r="E28" t="s">
        <v>250</v>
      </c>
    </row>
    <row r="29">
      <c r="A29" t="s">
        <v>251</v>
      </c>
      <c r="B29" t="n">
        <v>0</v>
      </c>
      <c r="C29" t="s">
        <v>225</v>
      </c>
      <c r="D29" t="n">
        <v>0</v>
      </c>
      <c r="E29"/>
    </row>
    <row r="30">
      <c r="A30" t="s">
        <v>252</v>
      </c>
      <c r="B30" t="n">
        <v>1320000</v>
      </c>
      <c r="C30" t="s">
        <v>225</v>
      </c>
      <c r="D30" t="n">
        <v>70000000</v>
      </c>
      <c r="E30" t="s">
        <v>253</v>
      </c>
    </row>
    <row r="31">
      <c r="A31" t="s">
        <v>254</v>
      </c>
      <c r="B31" t="n">
        <v>0</v>
      </c>
      <c r="C31" t="s">
        <v>225</v>
      </c>
      <c r="D31" t="n">
        <v>0</v>
      </c>
      <c r="E31"/>
    </row>
    <row r="32">
      <c r="A32" t="s">
        <v>255</v>
      </c>
      <c r="B32" t="n">
        <v>0</v>
      </c>
      <c r="C32" t="s">
        <v>225</v>
      </c>
      <c r="D32" t="n">
        <v>0</v>
      </c>
      <c r="E32"/>
    </row>
    <row r="33">
      <c r="A33" t="s">
        <v>256</v>
      </c>
      <c r="B33" t="n">
        <v>0</v>
      </c>
      <c r="C33" t="s">
        <v>225</v>
      </c>
      <c r="D33" t="n">
        <v>0</v>
      </c>
      <c r="E33"/>
    </row>
    <row r="34">
      <c r="A34" t="s">
        <v>257</v>
      </c>
      <c r="B34" t="n">
        <v>2800000</v>
      </c>
      <c r="C34" t="s">
        <v>225</v>
      </c>
      <c r="D34" t="n">
        <v>65000000</v>
      </c>
      <c r="E34" t="s">
        <v>258</v>
      </c>
    </row>
    <row r="35">
      <c r="A35" t="s">
        <v>259</v>
      </c>
      <c r="B35" t="n">
        <v>264000</v>
      </c>
      <c r="C35" t="s">
        <v>225</v>
      </c>
      <c r="D35" t="n">
        <v>12000000</v>
      </c>
      <c r="E35"/>
    </row>
    <row r="36">
      <c r="A36" t="s">
        <v>260</v>
      </c>
      <c r="B36" t="n">
        <v>38660000</v>
      </c>
      <c r="C36" t="s">
        <v>225</v>
      </c>
      <c r="D36" t="n">
        <v>590000000</v>
      </c>
      <c r="E36" t="s">
        <v>261</v>
      </c>
    </row>
    <row r="37">
      <c r="A37" t="s">
        <v>262</v>
      </c>
      <c r="B37" t="n">
        <v>0</v>
      </c>
      <c r="C37" t="s">
        <v>225</v>
      </c>
      <c r="D37" t="n">
        <v>0</v>
      </c>
      <c r="E37"/>
    </row>
    <row r="38">
      <c r="A38" t="s">
        <v>263</v>
      </c>
      <c r="B38" t="n">
        <v>0</v>
      </c>
      <c r="C38" t="s">
        <v>225</v>
      </c>
      <c r="D38" t="n">
        <v>0</v>
      </c>
      <c r="E38"/>
    </row>
    <row r="39">
      <c r="A39" t="s">
        <v>264</v>
      </c>
      <c r="B39" t="n">
        <v>0</v>
      </c>
      <c r="C39" t="s">
        <v>225</v>
      </c>
      <c r="D39" t="n">
        <v>0</v>
      </c>
      <c r="E39"/>
    </row>
    <row r="40">
      <c r="A40" t="s">
        <v>265</v>
      </c>
      <c r="B40" t="n">
        <v>0</v>
      </c>
      <c r="C40" t="s">
        <v>225</v>
      </c>
      <c r="D40" t="n">
        <v>0</v>
      </c>
      <c r="E40"/>
    </row>
    <row r="41">
      <c r="A41" t="s">
        <v>266</v>
      </c>
      <c r="B41" t="n">
        <v>10720000</v>
      </c>
      <c r="C41" t="s">
        <v>225</v>
      </c>
      <c r="D41" t="n">
        <v>260000000</v>
      </c>
      <c r="E41" t="s">
        <v>267</v>
      </c>
    </row>
    <row r="42">
      <c r="A42" t="s">
        <v>268</v>
      </c>
      <c r="B42" t="n">
        <v>0</v>
      </c>
      <c r="C42" t="s">
        <v>225</v>
      </c>
      <c r="D42" t="n">
        <v>0</v>
      </c>
      <c r="E42"/>
    </row>
    <row r="43">
      <c r="A43" t="s">
        <v>269</v>
      </c>
      <c r="B43" t="n">
        <v>0</v>
      </c>
      <c r="C43" t="s">
        <v>225</v>
      </c>
      <c r="D43" t="n">
        <v>0</v>
      </c>
      <c r="E43"/>
    </row>
    <row r="44">
      <c r="A44" t="s">
        <v>270</v>
      </c>
      <c r="B44" t="n">
        <v>27870000</v>
      </c>
      <c r="C44" t="s">
        <v>225</v>
      </c>
      <c r="D44" t="n">
        <v>560000000</v>
      </c>
      <c r="E44" t="s">
        <v>271</v>
      </c>
    </row>
    <row r="45">
      <c r="A45" t="s">
        <v>272</v>
      </c>
      <c r="B45" t="n">
        <v>8220000</v>
      </c>
      <c r="C45" t="s">
        <v>225</v>
      </c>
      <c r="D45" t="n">
        <v>430000000</v>
      </c>
      <c r="E45" t="s">
        <v>273</v>
      </c>
    </row>
    <row r="46">
      <c r="A46" t="s">
        <v>274</v>
      </c>
      <c r="B46" t="n">
        <v>930000</v>
      </c>
      <c r="C46" t="s">
        <v>225</v>
      </c>
      <c r="D46" t="n">
        <v>40000000</v>
      </c>
      <c r="E46"/>
    </row>
    <row r="47">
      <c r="A47" t="s">
        <v>275</v>
      </c>
      <c r="B47" t="n">
        <v>0</v>
      </c>
      <c r="C47" t="s">
        <v>225</v>
      </c>
      <c r="D47" t="n">
        <v>0</v>
      </c>
      <c r="E47"/>
    </row>
    <row r="48">
      <c r="A48" t="s">
        <v>276</v>
      </c>
      <c r="B48" t="n">
        <v>50110000</v>
      </c>
      <c r="C48" t="s">
        <v>225</v>
      </c>
      <c r="D48" t="n">
        <v>3000000000</v>
      </c>
      <c r="E48" t="s">
        <v>277</v>
      </c>
    </row>
    <row r="49">
      <c r="A49" t="s">
        <v>278</v>
      </c>
      <c r="B49" t="n">
        <v>0</v>
      </c>
      <c r="C49" t="s">
        <v>225</v>
      </c>
      <c r="D49" t="n">
        <v>0</v>
      </c>
      <c r="E49"/>
    </row>
    <row r="50">
      <c r="A50" t="s">
        <v>279</v>
      </c>
      <c r="B50" t="n">
        <v>0</v>
      </c>
      <c r="C50" t="s">
        <v>225</v>
      </c>
      <c r="D50" t="n">
        <v>0</v>
      </c>
      <c r="E50"/>
    </row>
    <row r="51">
      <c r="A51" t="s">
        <v>280</v>
      </c>
      <c r="B51" t="n">
        <v>0</v>
      </c>
      <c r="C51" t="s">
        <v>225</v>
      </c>
      <c r="D51" t="n">
        <v>0</v>
      </c>
      <c r="E51"/>
    </row>
    <row r="52">
      <c r="A52" t="s">
        <v>281</v>
      </c>
      <c r="B52" t="n">
        <v>400000</v>
      </c>
      <c r="C52" t="s">
        <v>225</v>
      </c>
      <c r="D52" t="n">
        <v>22000000</v>
      </c>
      <c r="E52" t="s">
        <v>282</v>
      </c>
    </row>
    <row r="53">
      <c r="A53" t="s">
        <v>283</v>
      </c>
      <c r="B53" t="n">
        <v>22820000</v>
      </c>
      <c r="C53" t="s">
        <v>225</v>
      </c>
      <c r="D53" t="n">
        <v>500000000</v>
      </c>
      <c r="E53" t="s">
        <v>250</v>
      </c>
    </row>
    <row r="54">
      <c r="A54" t="s">
        <v>284</v>
      </c>
      <c r="B54" t="n">
        <v>12810000</v>
      </c>
      <c r="C54" t="s">
        <v>225</v>
      </c>
      <c r="D54" t="n">
        <v>380000000</v>
      </c>
      <c r="E54" t="s">
        <v>285</v>
      </c>
    </row>
    <row r="55">
      <c r="A55" t="s">
        <v>286</v>
      </c>
      <c r="B55" t="n">
        <v>0</v>
      </c>
      <c r="C55" t="s">
        <v>225</v>
      </c>
      <c r="D55" t="n">
        <v>0</v>
      </c>
      <c r="E55"/>
    </row>
    <row r="56">
      <c r="A56" t="s">
        <v>287</v>
      </c>
      <c r="B56" t="n">
        <v>11480000</v>
      </c>
      <c r="C56" t="s">
        <v>225</v>
      </c>
      <c r="D56" t="n">
        <v>620000000</v>
      </c>
      <c r="E56" t="s">
        <v>288</v>
      </c>
    </row>
    <row r="57">
      <c r="A57" t="s">
        <v>289</v>
      </c>
      <c r="B57" t="n">
        <v>3050000</v>
      </c>
      <c r="C57" t="s">
        <v>225</v>
      </c>
      <c r="D57" t="n">
        <v>90000000</v>
      </c>
      <c r="E57" t="s">
        <v>290</v>
      </c>
    </row>
    <row r="58">
      <c r="A58" t="s">
        <v>291</v>
      </c>
      <c r="B58" t="n">
        <v>93320000</v>
      </c>
      <c r="C58" t="s">
        <v>225</v>
      </c>
      <c r="D58" t="n">
        <v>5050000000</v>
      </c>
      <c r="E58" t="s">
        <v>292</v>
      </c>
    </row>
    <row r="59">
      <c r="A59" t="s">
        <v>293</v>
      </c>
      <c r="B59" t="n">
        <v>0</v>
      </c>
      <c r="C59" t="s">
        <v>225</v>
      </c>
      <c r="D59" t="n">
        <v>0</v>
      </c>
      <c r="E59"/>
    </row>
    <row r="60">
      <c r="A60" t="s">
        <v>294</v>
      </c>
      <c r="B60" t="n">
        <v>276040000</v>
      </c>
      <c r="C60" t="s">
        <v>225</v>
      </c>
      <c r="D60" t="n">
        <v>3690000000</v>
      </c>
      <c r="E60" t="s">
        <v>295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5" topLeftCell="A26" activePane="bottomLeft" state="frozen"/>
      <selection pane="bottomLeft"/>
    </sheetView>
  </sheetViews>
  <sheetFormatPr defaultRowHeight="15.0" baseColWidth="10"/>
  <cols>
    <col min="1" max="1" width="8.71" hidden="0" customWidth="1"/>
    <col min="2" max="2" width="28.71" hidden="0" customWidth="1"/>
    <col min="3" max="3" width="28.71" hidden="0" customWidth="1"/>
    <col min="4" max="4" width="28.71" hidden="0" customWidth="1"/>
    <col min="5" max="5" width="28.71" hidden="0" customWidth="1"/>
  </cols>
  <sheetData>
    <row r="1">
      <c r="A1" t="s">
        <v>296</v>
      </c>
    </row>
    <row r="2">
      <c r="A2" t="s">
        <v>297</v>
      </c>
    </row>
    <row r="3">
      <c r="A3" t="s">
        <v>298</v>
      </c>
    </row>
    <row r="4">
      <c r="A4" t="s">
        <v>1</v>
      </c>
    </row>
    <row r="5">
      <c r="A5" t="s">
        <v>299</v>
      </c>
    </row>
    <row r="6">
      <c r="A6" t="s">
        <v>300</v>
      </c>
    </row>
    <row r="7">
      <c r="A7" t="s">
        <v>301</v>
      </c>
    </row>
    <row r="8">
      <c r="A8" t="s">
        <v>302</v>
      </c>
    </row>
    <row r="9">
      <c r="A9" t="s">
        <v>303</v>
      </c>
    </row>
    <row r="10">
      <c r="A10" t="s">
        <v>304</v>
      </c>
    </row>
    <row r="11">
      <c r="A11" t="s">
        <v>305</v>
      </c>
    </row>
    <row r="12">
      <c r="A12" t="s">
        <v>306</v>
      </c>
    </row>
    <row r="13">
      <c r="A13" t="s">
        <v>1</v>
      </c>
    </row>
    <row r="14">
      <c r="A14" t="s">
        <v>307</v>
      </c>
    </row>
    <row r="15">
      <c r="A15" t="s">
        <v>1</v>
      </c>
    </row>
    <row r="17">
      <c r="A17" t="s">
        <v>308</v>
      </c>
    </row>
    <row r="18">
      <c r="A18" t="s">
        <v>309</v>
      </c>
    </row>
    <row r="20">
      <c r="A20" t="s">
        <v>310</v>
      </c>
    </row>
    <row r="21">
      <c r="A21" t="s">
        <v>311</v>
      </c>
    </row>
    <row r="23">
      <c r="A23" t="s">
        <v>312</v>
      </c>
    </row>
    <row r="25">
      <c r="A25" t="s">
        <v>219</v>
      </c>
      <c r="B25" t="s">
        <v>313</v>
      </c>
      <c r="C25" t="s">
        <v>314</v>
      </c>
      <c r="D25" t="s">
        <v>315</v>
      </c>
      <c r="E25" t="s">
        <v>316</v>
      </c>
    </row>
    <row r="26">
      <c r="A26" t="s">
        <v>227</v>
      </c>
      <c r="B26" t="n">
        <v>0.4</v>
      </c>
      <c r="C26" t="n">
        <v>0.6</v>
      </c>
      <c r="D26" t="n">
        <v>0.3</v>
      </c>
      <c r="E26" t="n">
        <v>0.7</v>
      </c>
    </row>
    <row r="27">
      <c r="A27" t="s">
        <v>224</v>
      </c>
      <c r="B27" t="n">
        <v>0.7</v>
      </c>
      <c r="C27" t="n">
        <v>0.3</v>
      </c>
      <c r="D27" t="n">
        <v>0.15</v>
      </c>
      <c r="E27" t="n">
        <v>0.85</v>
      </c>
    </row>
    <row r="28">
      <c r="A28" t="s">
        <v>231</v>
      </c>
      <c r="B28" t="n">
        <v>0.5</v>
      </c>
      <c r="C28" t="n">
        <v>0.5</v>
      </c>
      <c r="D28" t="n">
        <v>0.1</v>
      </c>
      <c r="E28" t="n">
        <v>0.9</v>
      </c>
    </row>
    <row r="29">
      <c r="A29" t="s">
        <v>229</v>
      </c>
      <c r="B29" t="n">
        <v>0.3</v>
      </c>
      <c r="C29" t="n">
        <v>0.7</v>
      </c>
      <c r="D29" t="n">
        <v>0.2</v>
      </c>
      <c r="E29" t="n">
        <v>0.8</v>
      </c>
    </row>
    <row r="30">
      <c r="A30" t="s">
        <v>232</v>
      </c>
      <c r="B30" t="n">
        <v>0.35</v>
      </c>
      <c r="C30" t="n">
        <v>0.65</v>
      </c>
      <c r="D30" t="n">
        <v>0.55</v>
      </c>
      <c r="E30" t="n">
        <v>0.45</v>
      </c>
    </row>
    <row r="31">
      <c r="A31" t="s">
        <v>233</v>
      </c>
      <c r="B31" t="n">
        <v>0.5</v>
      </c>
      <c r="C31" t="n">
        <v>0.5</v>
      </c>
      <c r="D31" t="n">
        <v>0.3</v>
      </c>
      <c r="E31" t="n">
        <v>0.7</v>
      </c>
    </row>
    <row r="32">
      <c r="A32" t="s">
        <v>235</v>
      </c>
      <c r="B32" t="n">
        <v>0.4</v>
      </c>
      <c r="C32" t="n">
        <v>0.6</v>
      </c>
      <c r="D32" t="n">
        <v>0.5</v>
      </c>
      <c r="E32" t="n">
        <v>0.5</v>
      </c>
    </row>
    <row r="33">
      <c r="A33" t="s">
        <v>237</v>
      </c>
      <c r="B33" t="n">
        <v>0.4</v>
      </c>
      <c r="C33" t="n">
        <v>0.6</v>
      </c>
      <c r="D33" t="n">
        <v>0.3</v>
      </c>
      <c r="E33" t="n">
        <v>0.7</v>
      </c>
    </row>
    <row r="34">
      <c r="A34" t="s">
        <v>236</v>
      </c>
      <c r="B34" t="n">
        <v>0.5</v>
      </c>
      <c r="C34" t="n">
        <v>0.5</v>
      </c>
      <c r="D34" t="n">
        <v>0.4</v>
      </c>
      <c r="E34" t="n">
        <v>0.6</v>
      </c>
    </row>
    <row r="35">
      <c r="A35" t="s">
        <v>238</v>
      </c>
      <c r="B35" t="n">
        <v>0.35</v>
      </c>
      <c r="C35" t="n">
        <v>0.65</v>
      </c>
      <c r="D35" t="n">
        <v>0.4</v>
      </c>
      <c r="E35" t="n">
        <v>0.6</v>
      </c>
    </row>
    <row r="36">
      <c r="A36" t="s">
        <v>239</v>
      </c>
      <c r="B36" t="n">
        <v>0.5</v>
      </c>
      <c r="C36" t="n">
        <v>0.5</v>
      </c>
      <c r="D36" t="n">
        <v>0.3</v>
      </c>
      <c r="E36" t="n">
        <v>0.7</v>
      </c>
    </row>
    <row r="37">
      <c r="A37" t="s">
        <v>240</v>
      </c>
      <c r="B37" t="n">
        <v>0.4</v>
      </c>
      <c r="C37" t="n">
        <v>0.6</v>
      </c>
      <c r="D37" t="n">
        <v>0.3</v>
      </c>
      <c r="E37" t="n">
        <v>0.7</v>
      </c>
    </row>
    <row r="38">
      <c r="A38" t="s">
        <v>245</v>
      </c>
      <c r="B38" t="n">
        <v>0.55</v>
      </c>
      <c r="C38" t="n">
        <v>0.45</v>
      </c>
      <c r="D38" t="n">
        <v>0.15</v>
      </c>
      <c r="E38" t="n">
        <v>0.85</v>
      </c>
    </row>
    <row r="39">
      <c r="A39" t="s">
        <v>241</v>
      </c>
      <c r="B39" t="n">
        <v>0.25</v>
      </c>
      <c r="C39" t="n">
        <v>0.75</v>
      </c>
      <c r="D39" t="n">
        <v>0.2</v>
      </c>
      <c r="E39" t="n">
        <v>0.8</v>
      </c>
    </row>
    <row r="40">
      <c r="A40" t="s">
        <v>242</v>
      </c>
      <c r="B40" t="n">
        <v>0.55</v>
      </c>
      <c r="C40" t="n">
        <v>0.45</v>
      </c>
      <c r="D40" t="n">
        <v>0.45</v>
      </c>
      <c r="E40" t="n">
        <v>0.55</v>
      </c>
    </row>
    <row r="41">
      <c r="A41" t="s">
        <v>244</v>
      </c>
      <c r="B41" t="n">
        <v>0.85</v>
      </c>
      <c r="C41" t="n">
        <v>0.15</v>
      </c>
      <c r="D41" t="n">
        <v>0.65</v>
      </c>
      <c r="E41" t="n">
        <v>0.35</v>
      </c>
    </row>
    <row r="42">
      <c r="A42" t="s">
        <v>246</v>
      </c>
      <c r="B42" t="n">
        <v>0.55</v>
      </c>
      <c r="C42" t="n">
        <v>0.45</v>
      </c>
      <c r="D42" t="n">
        <v>0.2</v>
      </c>
      <c r="E42" t="n">
        <v>0.8</v>
      </c>
    </row>
    <row r="43">
      <c r="A43" t="s">
        <v>247</v>
      </c>
      <c r="B43" t="n">
        <v>0.15</v>
      </c>
      <c r="C43" t="n">
        <v>0.85</v>
      </c>
      <c r="D43" t="n">
        <v>0.25</v>
      </c>
      <c r="E43" t="n">
        <v>0.75</v>
      </c>
    </row>
    <row r="44">
      <c r="A44" t="s">
        <v>249</v>
      </c>
      <c r="B44" t="n">
        <v>0.3</v>
      </c>
      <c r="C44" t="n">
        <v>0.7</v>
      </c>
      <c r="D44" t="n">
        <v>0.05</v>
      </c>
      <c r="E44" t="n">
        <v>0.95</v>
      </c>
    </row>
    <row r="45">
      <c r="A45" t="s">
        <v>254</v>
      </c>
      <c r="B45" t="n">
        <v>0.35</v>
      </c>
      <c r="C45" t="n">
        <v>0.65</v>
      </c>
      <c r="D45" t="n">
        <v>0.75</v>
      </c>
      <c r="E45" t="n">
        <v>0.25</v>
      </c>
    </row>
    <row r="46">
      <c r="A46" t="s">
        <v>252</v>
      </c>
      <c r="B46" t="n">
        <v>0.55</v>
      </c>
      <c r="C46" t="n">
        <v>0.45</v>
      </c>
      <c r="D46" t="n">
        <v>0.6</v>
      </c>
      <c r="E46" t="n">
        <v>0.4</v>
      </c>
    </row>
    <row r="47">
      <c r="A47" t="s">
        <v>251</v>
      </c>
      <c r="B47" t="n">
        <v>0.4</v>
      </c>
      <c r="C47" t="n">
        <v>0.6</v>
      </c>
      <c r="D47" t="n">
        <v>0.25</v>
      </c>
      <c r="E47" t="n">
        <v>0.75</v>
      </c>
    </row>
    <row r="48">
      <c r="A48" t="s">
        <v>255</v>
      </c>
      <c r="B48" t="n">
        <v>0.55</v>
      </c>
      <c r="C48" t="n">
        <v>0.45</v>
      </c>
      <c r="D48" t="n">
        <v>0.5</v>
      </c>
      <c r="E48" t="n">
        <v>0.5</v>
      </c>
    </row>
    <row r="49">
      <c r="A49" t="s">
        <v>256</v>
      </c>
      <c r="B49" t="n">
        <v>0.6</v>
      </c>
      <c r="C49" t="n">
        <v>0.4</v>
      </c>
      <c r="D49" t="n">
        <v>0.4</v>
      </c>
      <c r="E49" t="n">
        <v>0.6</v>
      </c>
    </row>
    <row r="50">
      <c r="A50" t="s">
        <v>259</v>
      </c>
      <c r="B50" t="n">
        <v>0.55</v>
      </c>
      <c r="C50" t="n">
        <v>0.45</v>
      </c>
      <c r="D50" t="n">
        <v>0.4</v>
      </c>
      <c r="E50" t="n">
        <v>0.6</v>
      </c>
    </row>
    <row r="51">
      <c r="A51" t="s">
        <v>257</v>
      </c>
      <c r="B51" t="n">
        <v>0.75</v>
      </c>
      <c r="C51" t="n">
        <v>0.25</v>
      </c>
      <c r="D51" t="n">
        <v>0.1</v>
      </c>
      <c r="E51" t="n">
        <v>0.9</v>
      </c>
    </row>
    <row r="52">
      <c r="A52" t="s">
        <v>260</v>
      </c>
      <c r="B52" t="n">
        <v>0.15</v>
      </c>
      <c r="C52" t="n">
        <v>0.85</v>
      </c>
      <c r="D52" t="n">
        <v>0.15</v>
      </c>
      <c r="E52" t="n">
        <v>0.85</v>
      </c>
    </row>
    <row r="53">
      <c r="A53" t="s">
        <v>269</v>
      </c>
      <c r="B53" t="n">
        <v>0.55</v>
      </c>
      <c r="C53" t="n">
        <v>0.45</v>
      </c>
      <c r="D53" t="n">
        <v>0.7</v>
      </c>
      <c r="E53" t="n">
        <v>0.3</v>
      </c>
    </row>
    <row r="54">
      <c r="A54" t="s">
        <v>270</v>
      </c>
      <c r="B54" t="n">
        <v>0.3</v>
      </c>
      <c r="C54" t="n">
        <v>0.7</v>
      </c>
      <c r="D54" t="n">
        <v>0.15</v>
      </c>
      <c r="E54" t="n">
        <v>0.85</v>
      </c>
    </row>
    <row r="55">
      <c r="A55" t="s">
        <v>262</v>
      </c>
      <c r="B55" t="n">
        <v>0.55</v>
      </c>
      <c r="C55" t="n">
        <v>0.45</v>
      </c>
      <c r="D55" t="n">
        <v>0.25</v>
      </c>
      <c r="E55" t="n">
        <v>0.75</v>
      </c>
    </row>
    <row r="56">
      <c r="A56" t="s">
        <v>264</v>
      </c>
      <c r="B56" t="n">
        <v>0.3</v>
      </c>
      <c r="C56" t="n">
        <v>0.7</v>
      </c>
      <c r="D56" t="n">
        <v>0.55</v>
      </c>
      <c r="E56" t="n">
        <v>0.45</v>
      </c>
    </row>
    <row r="57">
      <c r="A57" t="s">
        <v>265</v>
      </c>
      <c r="B57" t="n">
        <v>0.35</v>
      </c>
      <c r="C57" t="n">
        <v>0.65</v>
      </c>
      <c r="D57" t="n">
        <v>0.75</v>
      </c>
      <c r="E57" t="n">
        <v>0.25</v>
      </c>
    </row>
    <row r="58">
      <c r="A58" t="s">
        <v>266</v>
      </c>
      <c r="B58" t="n">
        <v>0.2</v>
      </c>
      <c r="C58" t="n">
        <v>0.8</v>
      </c>
      <c r="D58" t="n">
        <v>0.2</v>
      </c>
      <c r="E58" t="n">
        <v>0.8</v>
      </c>
    </row>
    <row r="59">
      <c r="A59" t="s">
        <v>263</v>
      </c>
      <c r="B59" t="n">
        <v>0.25</v>
      </c>
      <c r="C59" t="n">
        <v>0.75</v>
      </c>
      <c r="D59" t="n">
        <v>0.3</v>
      </c>
      <c r="E59" t="n">
        <v>0.7</v>
      </c>
    </row>
    <row r="60">
      <c r="A60" t="s">
        <v>268</v>
      </c>
      <c r="B60" t="n">
        <v>0.35</v>
      </c>
      <c r="C60" t="n">
        <v>0.65</v>
      </c>
      <c r="D60" t="n">
        <v>0.65</v>
      </c>
      <c r="E60" t="n">
        <v>0.35</v>
      </c>
    </row>
    <row r="61">
      <c r="A61" t="s">
        <v>272</v>
      </c>
      <c r="B61" t="n">
        <v>0.65</v>
      </c>
      <c r="C61" t="n">
        <v>0.35</v>
      </c>
      <c r="D61" t="n">
        <v>0.35</v>
      </c>
      <c r="E61" t="n">
        <v>0.65</v>
      </c>
    </row>
    <row r="62">
      <c r="A62" t="s">
        <v>274</v>
      </c>
      <c r="B62" t="n">
        <v>0.45</v>
      </c>
      <c r="C62" t="n">
        <v>0.55</v>
      </c>
      <c r="D62" t="n">
        <v>0.15</v>
      </c>
      <c r="E62" t="n">
        <v>0.85</v>
      </c>
    </row>
    <row r="63">
      <c r="A63" t="s">
        <v>275</v>
      </c>
      <c r="B63" t="n">
        <v>0.2</v>
      </c>
      <c r="C63" t="n">
        <v>0.8</v>
      </c>
      <c r="D63" t="n">
        <v>0.35</v>
      </c>
      <c r="E63" t="n">
        <v>0.65</v>
      </c>
    </row>
    <row r="64">
      <c r="A64" t="s">
        <v>276</v>
      </c>
      <c r="B64" t="n">
        <v>0.75</v>
      </c>
      <c r="C64" t="n">
        <v>0.25</v>
      </c>
      <c r="D64" t="n">
        <v>0.55</v>
      </c>
      <c r="E64" t="n">
        <v>0.45</v>
      </c>
    </row>
    <row r="65">
      <c r="A65" t="s">
        <v>278</v>
      </c>
      <c r="B65" t="n">
        <v>0.4</v>
      </c>
      <c r="C65" t="n">
        <v>0.6</v>
      </c>
      <c r="D65" t="n">
        <v>0.55</v>
      </c>
      <c r="E65" t="n">
        <v>0.45</v>
      </c>
    </row>
    <row r="66">
      <c r="A66" t="s">
        <v>279</v>
      </c>
      <c r="B66" t="n">
        <v>0.55</v>
      </c>
      <c r="C66" t="n">
        <v>0.45</v>
      </c>
      <c r="D66" t="n">
        <v>0.25</v>
      </c>
      <c r="E66" t="n">
        <v>0.75</v>
      </c>
    </row>
    <row r="67">
      <c r="A67" t="s">
        <v>280</v>
      </c>
      <c r="B67" t="n">
        <v>0.4</v>
      </c>
      <c r="C67" t="n">
        <v>0.6</v>
      </c>
      <c r="D67" t="n">
        <v>0.25</v>
      </c>
      <c r="E67" t="n">
        <v>0.75</v>
      </c>
    </row>
    <row r="68">
      <c r="A68" t="s">
        <v>281</v>
      </c>
      <c r="B68" t="n">
        <v>0.25</v>
      </c>
      <c r="C68" t="n">
        <v>0.75</v>
      </c>
      <c r="D68" t="n">
        <v>0.45</v>
      </c>
      <c r="E68" t="n">
        <v>0.55</v>
      </c>
    </row>
    <row r="69">
      <c r="A69" t="s">
        <v>283</v>
      </c>
      <c r="B69" t="n">
        <v>0.5</v>
      </c>
      <c r="C69" t="n">
        <v>0.5</v>
      </c>
      <c r="D69" t="n">
        <v>0.15</v>
      </c>
      <c r="E69" t="n">
        <v>0.85</v>
      </c>
    </row>
    <row r="70">
      <c r="A70" t="s">
        <v>284</v>
      </c>
      <c r="B70" t="n">
        <v>0.55</v>
      </c>
      <c r="C70" t="n">
        <v>0.45</v>
      </c>
      <c r="D70" t="n">
        <v>0.55</v>
      </c>
      <c r="E70" t="n">
        <v>0.45</v>
      </c>
    </row>
    <row r="71">
      <c r="A71" t="s">
        <v>287</v>
      </c>
      <c r="B71" t="n">
        <v>0.55</v>
      </c>
      <c r="C71" t="n">
        <v>0.45</v>
      </c>
      <c r="D71" t="n">
        <v>0.35</v>
      </c>
      <c r="E71" t="n">
        <v>0.65</v>
      </c>
    </row>
    <row r="72">
      <c r="A72" t="s">
        <v>286</v>
      </c>
      <c r="B72" t="n">
        <v>0.3</v>
      </c>
      <c r="C72" t="n">
        <v>0.7</v>
      </c>
      <c r="D72" t="n">
        <v>0.4</v>
      </c>
      <c r="E72" t="n">
        <v>0.6</v>
      </c>
    </row>
    <row r="73">
      <c r="A73" t="s">
        <v>289</v>
      </c>
      <c r="B73" t="n">
        <v>0.2</v>
      </c>
      <c r="C73" t="n">
        <v>0.8</v>
      </c>
      <c r="D73" t="n">
        <v>0.45</v>
      </c>
      <c r="E73" t="n">
        <v>0.55</v>
      </c>
    </row>
    <row r="74">
      <c r="A74" t="s">
        <v>293</v>
      </c>
      <c r="B74" t="n">
        <v>0.55</v>
      </c>
      <c r="C74" t="n">
        <v>0.45</v>
      </c>
      <c r="D74" t="n">
        <v>0.4</v>
      </c>
      <c r="E74" t="n">
        <v>0.6</v>
      </c>
    </row>
    <row r="75">
      <c r="A75" t="s">
        <v>291</v>
      </c>
      <c r="B75" t="n">
        <v>0.75</v>
      </c>
      <c r="C75" t="n">
        <v>0.25</v>
      </c>
      <c r="D75" t="n">
        <v>0.15</v>
      </c>
      <c r="E75" t="n">
        <v>0.85</v>
      </c>
    </row>
    <row r="76">
      <c r="A76" t="s">
        <v>294</v>
      </c>
      <c r="B76" t="n">
        <v>0.3</v>
      </c>
      <c r="C76" t="n">
        <v>0.7</v>
      </c>
      <c r="D76" t="n">
        <v>0.1</v>
      </c>
      <c r="E76" t="n">
        <v>0.9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8" topLeftCell="A9" activePane="bottomLeft" state="frozen"/>
      <selection pane="bottomLeft"/>
    </sheetView>
  </sheetViews>
  <sheetFormatPr defaultRowHeight="15.0" baseColWidth="10"/>
  <cols>
    <col min="1" max="1" width="90.71" hidden="0" customWidth="1"/>
    <col min="2" max="2" width="49.71" hidden="0" customWidth="1"/>
    <col min="3" max="3" width="9.71" hidden="0" customWidth="1"/>
    <col min="4" max="4" width="63.71" hidden="0" customWidth="1"/>
    <col min="5" max="5" width="17.71" hidden="0" customWidth="1"/>
    <col min="6" max="6" width="250.71" hidden="0" customWidth="1"/>
    <col min="7" max="7" width="151.71" hidden="0" customWidth="1"/>
  </cols>
  <sheetData>
    <row r="1">
      <c r="A1" t="s">
        <v>317</v>
      </c>
    </row>
    <row r="2">
      <c r="A2" t="s">
        <v>1</v>
      </c>
    </row>
    <row r="3">
      <c r="A3" t="s">
        <v>318</v>
      </c>
    </row>
    <row r="4">
      <c r="A4" t="s">
        <v>319</v>
      </c>
    </row>
    <row r="5">
      <c r="A5" t="s">
        <v>320</v>
      </c>
    </row>
    <row r="6">
      <c r="A6" t="s">
        <v>1</v>
      </c>
    </row>
    <row r="8">
      <c r="A8" t="s">
        <v>321</v>
      </c>
      <c r="B8" t="s">
        <v>322</v>
      </c>
      <c r="C8" t="s">
        <v>323</v>
      </c>
      <c r="D8" t="s">
        <v>324</v>
      </c>
      <c r="E8" t="s">
        <v>325</v>
      </c>
      <c r="F8" t="s">
        <v>326</v>
      </c>
      <c r="G8" t="s">
        <v>327</v>
      </c>
    </row>
    <row r="9">
      <c r="A9" t="s">
        <v>136</v>
      </c>
      <c r="B9" t="s">
        <v>328</v>
      </c>
      <c r="C9" t="s">
        <v>329</v>
      </c>
      <c r="D9" t="s">
        <v>330</v>
      </c>
      <c r="E9" t="n">
        <v>1</v>
      </c>
      <c r="F9"/>
      <c r="G9"/>
    </row>
    <row r="10">
      <c r="A10" t="s">
        <v>137</v>
      </c>
      <c r="B10" t="s">
        <v>331</v>
      </c>
      <c r="C10" t="s">
        <v>329</v>
      </c>
      <c r="D10" t="s">
        <v>330</v>
      </c>
      <c r="E10" t="n">
        <v>1</v>
      </c>
      <c r="F10"/>
      <c r="G10"/>
    </row>
    <row r="11">
      <c r="A11" t="s">
        <v>138</v>
      </c>
      <c r="B11" t="s">
        <v>332</v>
      </c>
      <c r="C11" t="s">
        <v>333</v>
      </c>
      <c r="D11" t="s">
        <v>334</v>
      </c>
      <c r="E11" t="n">
        <v>1</v>
      </c>
      <c r="F11"/>
      <c r="G11"/>
    </row>
    <row r="12">
      <c r="A12" t="s">
        <v>140</v>
      </c>
      <c r="B12" t="s">
        <v>335</v>
      </c>
      <c r="C12" t="s">
        <v>336</v>
      </c>
      <c r="D12" t="s">
        <v>337</v>
      </c>
      <c r="E12" t="n">
        <v>1</v>
      </c>
      <c r="F12"/>
      <c r="G12"/>
    </row>
    <row r="13">
      <c r="A13" t="s">
        <v>141</v>
      </c>
      <c r="B13" t="s">
        <v>338</v>
      </c>
      <c r="C13" t="s">
        <v>339</v>
      </c>
      <c r="D13" t="s">
        <v>340</v>
      </c>
      <c r="E13" t="n">
        <v>0.72</v>
      </c>
      <c r="F13" t="s">
        <v>341</v>
      </c>
      <c r="G13"/>
    </row>
    <row r="14">
      <c r="A14" t="s">
        <v>141</v>
      </c>
      <c r="B14" t="s">
        <v>338</v>
      </c>
      <c r="C14" t="s">
        <v>342</v>
      </c>
      <c r="D14" t="s">
        <v>343</v>
      </c>
      <c r="E14" t="n">
        <v>0.2</v>
      </c>
      <c r="F14" t="s">
        <v>344</v>
      </c>
      <c r="G14"/>
    </row>
    <row r="15">
      <c r="A15" t="s">
        <v>141</v>
      </c>
      <c r="B15" t="s">
        <v>338</v>
      </c>
      <c r="C15" t="s">
        <v>345</v>
      </c>
      <c r="D15" t="s">
        <v>346</v>
      </c>
      <c r="E15" t="n">
        <v>0.08</v>
      </c>
      <c r="F15" t="s">
        <v>347</v>
      </c>
      <c r="G15"/>
    </row>
    <row r="16">
      <c r="A16" t="s">
        <v>142</v>
      </c>
      <c r="B16" t="s">
        <v>348</v>
      </c>
      <c r="C16" t="s">
        <v>349</v>
      </c>
      <c r="D16" t="s">
        <v>348</v>
      </c>
      <c r="E16" t="n">
        <v>1</v>
      </c>
      <c r="F16"/>
      <c r="G16"/>
    </row>
    <row r="17">
      <c r="A17" t="s">
        <v>154</v>
      </c>
      <c r="B17" t="s">
        <v>350</v>
      </c>
      <c r="C17" t="s">
        <v>351</v>
      </c>
      <c r="D17" t="s">
        <v>352</v>
      </c>
      <c r="E17" t="n">
        <v>1</v>
      </c>
      <c r="F17"/>
      <c r="G17"/>
    </row>
    <row r="18">
      <c r="A18" t="s">
        <v>155</v>
      </c>
      <c r="B18" t="s">
        <v>353</v>
      </c>
      <c r="C18" t="s">
        <v>354</v>
      </c>
      <c r="D18" t="s">
        <v>355</v>
      </c>
      <c r="E18" t="n">
        <v>1</v>
      </c>
      <c r="F18"/>
      <c r="G18"/>
    </row>
    <row r="19">
      <c r="A19" t="s">
        <v>156</v>
      </c>
      <c r="B19" t="s">
        <v>356</v>
      </c>
      <c r="C19" t="s">
        <v>354</v>
      </c>
      <c r="D19" t="s">
        <v>355</v>
      </c>
      <c r="E19" t="n">
        <v>1</v>
      </c>
      <c r="F19"/>
      <c r="G19"/>
    </row>
    <row r="20">
      <c r="A20" t="s">
        <v>143</v>
      </c>
      <c r="B20" t="s">
        <v>357</v>
      </c>
      <c r="C20" t="s">
        <v>358</v>
      </c>
      <c r="D20" t="s">
        <v>359</v>
      </c>
      <c r="E20" t="n">
        <v>1</v>
      </c>
      <c r="F20"/>
      <c r="G20"/>
    </row>
    <row r="21">
      <c r="A21" t="s">
        <v>157</v>
      </c>
      <c r="B21" t="s">
        <v>360</v>
      </c>
      <c r="C21" t="s">
        <v>361</v>
      </c>
      <c r="D21" t="s">
        <v>362</v>
      </c>
      <c r="E21" t="n">
        <v>1</v>
      </c>
      <c r="F21"/>
      <c r="G21"/>
    </row>
    <row r="22">
      <c r="A22" t="s">
        <v>158</v>
      </c>
      <c r="B22" t="s">
        <v>363</v>
      </c>
      <c r="C22" t="s">
        <v>361</v>
      </c>
      <c r="D22" t="s">
        <v>362</v>
      </c>
      <c r="E22" t="n">
        <v>1</v>
      </c>
      <c r="F22"/>
      <c r="G22"/>
    </row>
    <row r="23">
      <c r="A23" t="s">
        <v>159</v>
      </c>
      <c r="B23" t="s">
        <v>364</v>
      </c>
      <c r="C23" t="s">
        <v>365</v>
      </c>
      <c r="D23" t="s">
        <v>366</v>
      </c>
      <c r="E23" t="n">
        <v>0.961</v>
      </c>
      <c r="F23" t="s">
        <v>367</v>
      </c>
      <c r="G23"/>
    </row>
    <row r="24">
      <c r="A24" t="s">
        <v>159</v>
      </c>
      <c r="B24" t="s">
        <v>364</v>
      </c>
      <c r="C24" t="s">
        <v>368</v>
      </c>
      <c r="D24" t="s">
        <v>369</v>
      </c>
      <c r="E24" t="n">
        <v>0.039</v>
      </c>
      <c r="F24" t="s">
        <v>370</v>
      </c>
      <c r="G24"/>
    </row>
    <row r="25">
      <c r="A25" t="s">
        <v>161</v>
      </c>
      <c r="B25" t="s">
        <v>371</v>
      </c>
      <c r="C25" t="s">
        <v>141</v>
      </c>
      <c r="D25" t="s">
        <v>372</v>
      </c>
      <c r="E25" t="n">
        <v>1</v>
      </c>
      <c r="F25"/>
      <c r="G25"/>
    </row>
    <row r="26">
      <c r="A26" t="s">
        <v>146</v>
      </c>
      <c r="B26" t="s">
        <v>373</v>
      </c>
      <c r="C26" t="s">
        <v>374</v>
      </c>
      <c r="D26" t="s">
        <v>373</v>
      </c>
      <c r="E26" t="n">
        <v>1</v>
      </c>
      <c r="F26"/>
      <c r="G26"/>
    </row>
    <row r="27">
      <c r="A27" t="s">
        <v>147</v>
      </c>
      <c r="B27" t="s">
        <v>375</v>
      </c>
      <c r="C27" t="s">
        <v>376</v>
      </c>
      <c r="D27" t="s">
        <v>377</v>
      </c>
      <c r="E27" t="n">
        <v>1</v>
      </c>
      <c r="F27"/>
      <c r="G27"/>
    </row>
    <row r="28">
      <c r="A28" t="s">
        <v>148</v>
      </c>
      <c r="B28" t="s">
        <v>378</v>
      </c>
      <c r="C28" t="s">
        <v>379</v>
      </c>
      <c r="D28" t="s">
        <v>380</v>
      </c>
      <c r="E28" t="n">
        <v>1</v>
      </c>
      <c r="F28"/>
      <c r="G28"/>
    </row>
    <row r="29">
      <c r="A29" t="s">
        <v>149</v>
      </c>
      <c r="B29" t="s">
        <v>381</v>
      </c>
      <c r="C29" t="s">
        <v>382</v>
      </c>
      <c r="D29" t="s">
        <v>383</v>
      </c>
      <c r="E29" t="n">
        <v>1</v>
      </c>
      <c r="F29"/>
      <c r="G29"/>
    </row>
    <row r="30">
      <c r="A30" t="s">
        <v>150</v>
      </c>
      <c r="B30" t="s">
        <v>384</v>
      </c>
      <c r="C30" t="s">
        <v>385</v>
      </c>
      <c r="D30" t="s">
        <v>386</v>
      </c>
      <c r="E30" t="n">
        <v>1</v>
      </c>
      <c r="F30"/>
      <c r="G30"/>
    </row>
    <row r="31">
      <c r="A31" t="s">
        <v>151</v>
      </c>
      <c r="B31" t="s">
        <v>387</v>
      </c>
      <c r="C31" t="s">
        <v>388</v>
      </c>
      <c r="D31" t="s">
        <v>389</v>
      </c>
      <c r="E31" t="n">
        <v>1</v>
      </c>
      <c r="F31"/>
      <c r="G31"/>
    </row>
    <row r="32">
      <c r="A32" t="s">
        <v>152</v>
      </c>
      <c r="B32" t="s">
        <v>390</v>
      </c>
      <c r="C32" t="s">
        <v>391</v>
      </c>
      <c r="D32" t="s">
        <v>392</v>
      </c>
      <c r="E32" t="n">
        <v>1</v>
      </c>
      <c r="F32"/>
      <c r="G32"/>
    </row>
    <row r="33">
      <c r="A33" t="s">
        <v>153</v>
      </c>
      <c r="B33" t="s">
        <v>393</v>
      </c>
      <c r="C33" t="s">
        <v>391</v>
      </c>
      <c r="D33" t="s">
        <v>392</v>
      </c>
      <c r="E33" t="n">
        <v>1</v>
      </c>
      <c r="F33"/>
      <c r="G33"/>
    </row>
    <row r="34">
      <c r="A34" t="s">
        <v>162</v>
      </c>
      <c r="B34" t="s">
        <v>394</v>
      </c>
      <c r="C34" t="s">
        <v>395</v>
      </c>
      <c r="D34" t="s">
        <v>396</v>
      </c>
      <c r="E34" t="n">
        <v>1</v>
      </c>
      <c r="F34"/>
      <c r="G34"/>
    </row>
    <row r="35">
      <c r="A35" t="s">
        <v>163</v>
      </c>
      <c r="B35" t="s">
        <v>397</v>
      </c>
      <c r="C35" t="s">
        <v>395</v>
      </c>
      <c r="D35" t="s">
        <v>396</v>
      </c>
      <c r="E35" t="n">
        <v>1</v>
      </c>
      <c r="F35"/>
      <c r="G35"/>
    </row>
    <row r="36">
      <c r="A36" t="s">
        <v>164</v>
      </c>
      <c r="B36" t="s">
        <v>398</v>
      </c>
      <c r="C36" t="s">
        <v>395</v>
      </c>
      <c r="D36" t="s">
        <v>396</v>
      </c>
      <c r="E36" t="n">
        <v>1</v>
      </c>
      <c r="F36"/>
      <c r="G36"/>
    </row>
    <row r="37">
      <c r="A37" t="s">
        <v>165</v>
      </c>
      <c r="B37" t="s">
        <v>399</v>
      </c>
      <c r="C37" t="s">
        <v>395</v>
      </c>
      <c r="D37" t="s">
        <v>396</v>
      </c>
      <c r="E37" t="n">
        <v>1</v>
      </c>
      <c r="F37"/>
      <c r="G37"/>
    </row>
    <row r="38">
      <c r="A38" t="s">
        <v>166</v>
      </c>
      <c r="B38" t="s">
        <v>400</v>
      </c>
      <c r="C38" t="s">
        <v>395</v>
      </c>
      <c r="D38" t="s">
        <v>396</v>
      </c>
      <c r="E38" t="n">
        <v>1</v>
      </c>
      <c r="F38"/>
      <c r="G38"/>
    </row>
    <row r="39">
      <c r="A39" t="s">
        <v>167</v>
      </c>
      <c r="B39" t="s">
        <v>401</v>
      </c>
      <c r="C39" t="s">
        <v>402</v>
      </c>
      <c r="D39" t="s">
        <v>403</v>
      </c>
      <c r="E39" t="n">
        <v>1</v>
      </c>
      <c r="F39"/>
      <c r="G39"/>
    </row>
    <row r="40">
      <c r="A40" t="s">
        <v>168</v>
      </c>
      <c r="B40" t="s">
        <v>404</v>
      </c>
      <c r="C40" t="s">
        <v>402</v>
      </c>
      <c r="D40" t="s">
        <v>403</v>
      </c>
      <c r="E40" t="n">
        <v>1</v>
      </c>
      <c r="F40"/>
      <c r="G40"/>
    </row>
    <row r="41">
      <c r="A41" t="s">
        <v>169</v>
      </c>
      <c r="B41" t="s">
        <v>405</v>
      </c>
      <c r="C41" t="s">
        <v>402</v>
      </c>
      <c r="D41" t="s">
        <v>403</v>
      </c>
      <c r="E41" t="n">
        <v>1</v>
      </c>
      <c r="F41"/>
      <c r="G41"/>
    </row>
    <row r="42">
      <c r="A42" t="s">
        <v>170</v>
      </c>
      <c r="B42" t="s">
        <v>406</v>
      </c>
      <c r="C42" t="s">
        <v>402</v>
      </c>
      <c r="D42" t="s">
        <v>403</v>
      </c>
      <c r="E42" t="n">
        <v>1</v>
      </c>
      <c r="F42"/>
      <c r="G42"/>
    </row>
    <row r="43">
      <c r="A43" t="s">
        <v>171</v>
      </c>
      <c r="B43" t="s">
        <v>407</v>
      </c>
      <c r="C43" t="s">
        <v>402</v>
      </c>
      <c r="D43" t="s">
        <v>403</v>
      </c>
      <c r="E43" t="n">
        <v>1</v>
      </c>
      <c r="F43"/>
      <c r="G43"/>
    </row>
    <row r="44">
      <c r="A44" t="s">
        <v>172</v>
      </c>
      <c r="B44" t="s">
        <v>408</v>
      </c>
      <c r="C44" t="s">
        <v>342</v>
      </c>
      <c r="D44" t="s">
        <v>409</v>
      </c>
      <c r="E44" t="n">
        <v>1</v>
      </c>
      <c r="F44" t="s">
        <v>410</v>
      </c>
      <c r="G44"/>
    </row>
    <row r="45">
      <c r="A45" t="s">
        <v>173</v>
      </c>
      <c r="B45" t="s">
        <v>411</v>
      </c>
      <c r="C45" t="s">
        <v>402</v>
      </c>
      <c r="D45" t="s">
        <v>403</v>
      </c>
      <c r="E45" t="n">
        <v>1</v>
      </c>
      <c r="F45"/>
      <c r="G45"/>
    </row>
    <row r="46">
      <c r="A46" t="s">
        <v>174</v>
      </c>
      <c r="B46" t="s">
        <v>412</v>
      </c>
      <c r="C46" t="s">
        <v>402</v>
      </c>
      <c r="D46" t="s">
        <v>403</v>
      </c>
      <c r="E46" t="n">
        <v>1</v>
      </c>
      <c r="F46"/>
      <c r="G46"/>
    </row>
    <row r="47">
      <c r="A47" t="s">
        <v>175</v>
      </c>
      <c r="B47" t="s">
        <v>413</v>
      </c>
      <c r="C47" t="s">
        <v>414</v>
      </c>
      <c r="D47" t="s">
        <v>415</v>
      </c>
      <c r="E47" t="n">
        <v>1</v>
      </c>
      <c r="F47"/>
      <c r="G47"/>
    </row>
    <row r="48">
      <c r="A48" t="s">
        <v>176</v>
      </c>
      <c r="B48" t="s">
        <v>416</v>
      </c>
      <c r="C48" t="s">
        <v>414</v>
      </c>
      <c r="D48" t="s">
        <v>415</v>
      </c>
      <c r="E48" t="n">
        <v>1</v>
      </c>
      <c r="F48"/>
      <c r="G48"/>
    </row>
    <row r="49">
      <c r="A49" t="s">
        <v>177</v>
      </c>
      <c r="B49" t="s">
        <v>417</v>
      </c>
      <c r="C49" t="s">
        <v>414</v>
      </c>
      <c r="D49" t="s">
        <v>415</v>
      </c>
      <c r="E49" t="n">
        <v>0.25</v>
      </c>
      <c r="F49" t="s">
        <v>418</v>
      </c>
      <c r="G49"/>
    </row>
    <row r="50">
      <c r="A50" t="s">
        <v>177</v>
      </c>
      <c r="B50" t="s">
        <v>417</v>
      </c>
      <c r="C50" t="s">
        <v>192</v>
      </c>
      <c r="D50" t="s">
        <v>419</v>
      </c>
      <c r="E50" t="n">
        <v>0.75</v>
      </c>
      <c r="F50"/>
      <c r="G50"/>
    </row>
    <row r="51">
      <c r="A51" t="s">
        <v>178</v>
      </c>
      <c r="B51" t="s">
        <v>420</v>
      </c>
      <c r="C51" t="s">
        <v>421</v>
      </c>
      <c r="D51" t="s">
        <v>422</v>
      </c>
      <c r="E51" t="n">
        <v>1</v>
      </c>
      <c r="F51"/>
      <c r="G51"/>
    </row>
    <row r="52">
      <c r="A52" t="s">
        <v>179</v>
      </c>
      <c r="B52" t="s">
        <v>423</v>
      </c>
      <c r="C52" t="s">
        <v>424</v>
      </c>
      <c r="D52" t="s">
        <v>425</v>
      </c>
      <c r="E52" t="n">
        <v>1</v>
      </c>
      <c r="F52"/>
      <c r="G52"/>
    </row>
    <row r="53">
      <c r="A53" t="s">
        <v>180</v>
      </c>
      <c r="B53" t="s">
        <v>426</v>
      </c>
      <c r="C53" t="s">
        <v>424</v>
      </c>
      <c r="D53" t="s">
        <v>425</v>
      </c>
      <c r="E53" t="n">
        <v>1</v>
      </c>
      <c r="F53"/>
      <c r="G53"/>
    </row>
    <row r="54">
      <c r="A54" t="s">
        <v>181</v>
      </c>
      <c r="B54" t="s">
        <v>427</v>
      </c>
      <c r="C54" t="s">
        <v>424</v>
      </c>
      <c r="D54" t="s">
        <v>425</v>
      </c>
      <c r="E54" t="n">
        <v>1</v>
      </c>
      <c r="F54"/>
      <c r="G54"/>
    </row>
    <row r="55">
      <c r="A55" t="s">
        <v>182</v>
      </c>
      <c r="B55" t="s">
        <v>428</v>
      </c>
      <c r="C55" t="s">
        <v>424</v>
      </c>
      <c r="D55" t="s">
        <v>425</v>
      </c>
      <c r="E55" t="n">
        <v>1</v>
      </c>
      <c r="F55"/>
      <c r="G55"/>
    </row>
    <row r="56">
      <c r="A56" t="s">
        <v>183</v>
      </c>
      <c r="B56" t="s">
        <v>429</v>
      </c>
      <c r="C56" t="s">
        <v>430</v>
      </c>
      <c r="D56" t="s">
        <v>431</v>
      </c>
      <c r="E56" t="n">
        <v>1</v>
      </c>
      <c r="F56"/>
      <c r="G56"/>
    </row>
    <row r="57">
      <c r="A57" t="s">
        <v>184</v>
      </c>
      <c r="B57" t="s">
        <v>432</v>
      </c>
      <c r="C57" t="s">
        <v>430</v>
      </c>
      <c r="D57" t="s">
        <v>431</v>
      </c>
      <c r="E57" t="n">
        <v>1</v>
      </c>
      <c r="F57"/>
      <c r="G57"/>
    </row>
    <row r="58">
      <c r="A58" t="s">
        <v>185</v>
      </c>
      <c r="B58" t="s">
        <v>433</v>
      </c>
      <c r="C58" t="s">
        <v>434</v>
      </c>
      <c r="D58" t="s">
        <v>435</v>
      </c>
      <c r="E58" t="n">
        <v>1</v>
      </c>
      <c r="F58" t="s">
        <v>436</v>
      </c>
      <c r="G58"/>
    </row>
    <row r="59">
      <c r="A59" t="s">
        <v>186</v>
      </c>
      <c r="B59" t="s">
        <v>437</v>
      </c>
      <c r="C59" t="s">
        <v>434</v>
      </c>
      <c r="D59" t="s">
        <v>435</v>
      </c>
      <c r="E59" t="n">
        <v>1</v>
      </c>
      <c r="F59"/>
      <c r="G59"/>
    </row>
    <row r="60">
      <c r="A60" t="s">
        <v>188</v>
      </c>
      <c r="B60" t="s">
        <v>438</v>
      </c>
      <c r="C60" t="s">
        <v>434</v>
      </c>
      <c r="D60" t="s">
        <v>435</v>
      </c>
      <c r="E60" t="n">
        <v>1</v>
      </c>
      <c r="F60"/>
      <c r="G60"/>
    </row>
    <row r="61">
      <c r="A61" t="s">
        <v>187</v>
      </c>
      <c r="B61" t="s">
        <v>439</v>
      </c>
      <c r="C61" t="s">
        <v>421</v>
      </c>
      <c r="D61" t="s">
        <v>422</v>
      </c>
      <c r="E61" t="n">
        <v>1</v>
      </c>
      <c r="F61" t="s">
        <v>440</v>
      </c>
      <c r="G61"/>
    </row>
    <row r="62">
      <c r="A62" t="s">
        <v>189</v>
      </c>
      <c r="B62" t="s">
        <v>441</v>
      </c>
      <c r="C62" t="s">
        <v>434</v>
      </c>
      <c r="D62" t="s">
        <v>435</v>
      </c>
      <c r="E62" t="n">
        <v>1</v>
      </c>
      <c r="F62"/>
      <c r="G62"/>
    </row>
    <row r="63">
      <c r="A63" t="s">
        <v>190</v>
      </c>
      <c r="B63" t="s">
        <v>442</v>
      </c>
      <c r="C63" t="s">
        <v>434</v>
      </c>
      <c r="D63" t="s">
        <v>435</v>
      </c>
      <c r="E63" t="n">
        <v>1</v>
      </c>
      <c r="F63"/>
      <c r="G63"/>
    </row>
    <row r="64">
      <c r="A64" t="s">
        <v>191</v>
      </c>
      <c r="B64" t="s">
        <v>443</v>
      </c>
      <c r="C64" t="s">
        <v>345</v>
      </c>
      <c r="D64" t="s">
        <v>444</v>
      </c>
      <c r="E64" t="n">
        <v>1</v>
      </c>
      <c r="F64"/>
      <c r="G64"/>
    </row>
    <row r="65">
      <c r="A65" t="s">
        <v>192</v>
      </c>
      <c r="B65" t="s">
        <v>445</v>
      </c>
      <c r="C65" t="s">
        <v>446</v>
      </c>
      <c r="D65" t="s">
        <v>447</v>
      </c>
      <c r="E65" t="n">
        <v>1</v>
      </c>
      <c r="F65"/>
      <c r="G65"/>
    </row>
    <row r="66">
      <c r="A66" t="s">
        <v>193</v>
      </c>
      <c r="B66" t="s">
        <v>448</v>
      </c>
      <c r="C66" t="s">
        <v>449</v>
      </c>
      <c r="D66" t="s">
        <v>450</v>
      </c>
      <c r="E66" t="n">
        <v>1</v>
      </c>
      <c r="F66"/>
      <c r="G66"/>
    </row>
    <row r="67">
      <c r="A67" t="s">
        <v>194</v>
      </c>
      <c r="B67" t="s">
        <v>451</v>
      </c>
      <c r="C67" t="s">
        <v>449</v>
      </c>
      <c r="D67" t="s">
        <v>450</v>
      </c>
      <c r="E67" t="n">
        <v>1</v>
      </c>
      <c r="F67"/>
      <c r="G67"/>
    </row>
    <row r="68">
      <c r="A68" t="s">
        <v>195</v>
      </c>
      <c r="B68" t="s">
        <v>452</v>
      </c>
      <c r="C68" t="s">
        <v>449</v>
      </c>
      <c r="D68" t="s">
        <v>450</v>
      </c>
      <c r="E68" t="n">
        <v>1</v>
      </c>
      <c r="F68"/>
      <c r="G68"/>
    </row>
    <row r="69">
      <c r="A69" t="s">
        <v>196</v>
      </c>
      <c r="B69" t="s">
        <v>453</v>
      </c>
      <c r="C69" t="s">
        <v>449</v>
      </c>
      <c r="D69" t="s">
        <v>450</v>
      </c>
      <c r="E69" t="n">
        <v>1</v>
      </c>
      <c r="F69"/>
      <c r="G69"/>
    </row>
    <row r="70">
      <c r="A70" t="s">
        <v>197</v>
      </c>
      <c r="B70" t="s">
        <v>454</v>
      </c>
      <c r="C70" t="s">
        <v>455</v>
      </c>
      <c r="D70" t="s">
        <v>456</v>
      </c>
      <c r="E70" t="n">
        <v>1</v>
      </c>
      <c r="F70"/>
      <c r="G70"/>
    </row>
    <row r="71">
      <c r="A71" t="s">
        <v>198</v>
      </c>
      <c r="B71" t="s">
        <v>457</v>
      </c>
      <c r="C71" t="s">
        <v>455</v>
      </c>
      <c r="D71" t="s">
        <v>456</v>
      </c>
      <c r="E71" t="n">
        <v>1</v>
      </c>
      <c r="F71"/>
      <c r="G71"/>
    </row>
    <row r="72">
      <c r="A72" t="s">
        <v>199</v>
      </c>
      <c r="B72" t="s">
        <v>458</v>
      </c>
      <c r="C72" t="s">
        <v>459</v>
      </c>
      <c r="D72" t="s">
        <v>460</v>
      </c>
      <c r="E72" t="n">
        <v>1</v>
      </c>
      <c r="F72"/>
      <c r="G72"/>
    </row>
    <row r="73">
      <c r="A73" t="s">
        <v>200</v>
      </c>
      <c r="B73" t="s">
        <v>461</v>
      </c>
      <c r="C73" t="s">
        <v>459</v>
      </c>
      <c r="D73" t="s">
        <v>460</v>
      </c>
      <c r="E73" t="n">
        <v>1</v>
      </c>
      <c r="F73"/>
      <c r="G73"/>
    </row>
    <row r="74">
      <c r="A74" t="s">
        <v>201</v>
      </c>
      <c r="B74" t="s">
        <v>462</v>
      </c>
      <c r="C74" t="s">
        <v>455</v>
      </c>
      <c r="D74" t="s">
        <v>456</v>
      </c>
      <c r="E74" t="n">
        <v>1</v>
      </c>
      <c r="F74"/>
      <c r="G74"/>
    </row>
    <row r="75">
      <c r="A75" t="s">
        <v>202</v>
      </c>
      <c r="B75" t="s">
        <v>463</v>
      </c>
      <c r="C75" t="s">
        <v>464</v>
      </c>
      <c r="D75" t="s">
        <v>465</v>
      </c>
      <c r="E75" t="n">
        <v>1</v>
      </c>
      <c r="F75"/>
      <c r="G75"/>
    </row>
    <row r="76">
      <c r="A76" t="s">
        <v>203</v>
      </c>
      <c r="B76" t="s">
        <v>466</v>
      </c>
      <c r="C76" t="s">
        <v>464</v>
      </c>
      <c r="D76" t="s">
        <v>465</v>
      </c>
      <c r="E76" t="n">
        <v>1</v>
      </c>
      <c r="F76"/>
      <c r="G76"/>
    </row>
    <row r="77">
      <c r="A77" t="s">
        <v>204</v>
      </c>
      <c r="B77" t="s">
        <v>467</v>
      </c>
      <c r="C77" t="s">
        <v>464</v>
      </c>
      <c r="D77" t="s">
        <v>465</v>
      </c>
      <c r="E77" t="n">
        <v>1</v>
      </c>
      <c r="F77"/>
      <c r="G77"/>
    </row>
    <row r="78">
      <c r="A78" t="s">
        <v>205</v>
      </c>
      <c r="B78" t="s">
        <v>468</v>
      </c>
      <c r="C78" t="s">
        <v>464</v>
      </c>
      <c r="D78" t="s">
        <v>465</v>
      </c>
      <c r="E78" t="n">
        <v>1</v>
      </c>
      <c r="F78"/>
      <c r="G78"/>
    </row>
    <row r="79">
      <c r="A79" t="s">
        <v>206</v>
      </c>
      <c r="B79" t="s">
        <v>469</v>
      </c>
      <c r="C79" t="s">
        <v>464</v>
      </c>
      <c r="D79" t="s">
        <v>465</v>
      </c>
      <c r="E79" t="n">
        <v>1</v>
      </c>
      <c r="F79"/>
      <c r="G79"/>
    </row>
    <row r="80">
      <c r="A80" t="s">
        <v>139</v>
      </c>
      <c r="B80" t="s">
        <v>470</v>
      </c>
      <c r="C80" t="s">
        <v>471</v>
      </c>
      <c r="D80" t="s">
        <v>472</v>
      </c>
      <c r="E80" t="n">
        <v>0.0429721918821437</v>
      </c>
      <c r="F80"/>
      <c r="G80" t="s">
        <v>473</v>
      </c>
    </row>
    <row r="81">
      <c r="A81" t="s">
        <v>139</v>
      </c>
      <c r="B81" t="s">
        <v>470</v>
      </c>
      <c r="C81" t="s">
        <v>474</v>
      </c>
      <c r="D81" t="s">
        <v>475</v>
      </c>
      <c r="E81" t="n">
        <v>0.957027808117856</v>
      </c>
      <c r="F81"/>
      <c r="G81" t="s">
        <v>473</v>
      </c>
    </row>
    <row r="82">
      <c r="A82" t="s">
        <v>144</v>
      </c>
      <c r="B82" t="s">
        <v>476</v>
      </c>
      <c r="C82" t="s">
        <v>477</v>
      </c>
      <c r="D82" t="s">
        <v>478</v>
      </c>
      <c r="E82" t="n">
        <v>0.1</v>
      </c>
      <c r="F82"/>
      <c r="G82" t="s">
        <v>479</v>
      </c>
    </row>
    <row r="83">
      <c r="A83" t="s">
        <v>144</v>
      </c>
      <c r="B83" t="s">
        <v>476</v>
      </c>
      <c r="C83" t="s">
        <v>480</v>
      </c>
      <c r="D83" t="s">
        <v>481</v>
      </c>
      <c r="E83" t="n">
        <v>0.9</v>
      </c>
      <c r="F83"/>
      <c r="G83" t="s">
        <v>479</v>
      </c>
    </row>
    <row r="84">
      <c r="A84" t="s">
        <v>145</v>
      </c>
      <c r="B84" t="s">
        <v>482</v>
      </c>
      <c r="C84" t="s">
        <v>368</v>
      </c>
      <c r="D84" t="s">
        <v>369</v>
      </c>
      <c r="E84" t="n">
        <v>0.45</v>
      </c>
      <c r="F84"/>
      <c r="G84" t="s">
        <v>483</v>
      </c>
    </row>
    <row r="85">
      <c r="A85" t="s">
        <v>145</v>
      </c>
      <c r="B85" t="s">
        <v>482</v>
      </c>
      <c r="C85" t="s">
        <v>484</v>
      </c>
      <c r="D85" t="s">
        <v>485</v>
      </c>
      <c r="E85" t="n">
        <v>0.55</v>
      </c>
      <c r="F85"/>
      <c r="G85" t="s">
        <v>483</v>
      </c>
    </row>
    <row r="86">
      <c r="A86" t="s">
        <v>160</v>
      </c>
      <c r="B86" t="s">
        <v>486</v>
      </c>
      <c r="C86" t="s">
        <v>487</v>
      </c>
      <c r="D86" t="s">
        <v>488</v>
      </c>
      <c r="E86" t="n">
        <v>0.85</v>
      </c>
      <c r="F86"/>
      <c r="G86" t="s">
        <v>489</v>
      </c>
    </row>
    <row r="87">
      <c r="A87" t="s">
        <v>160</v>
      </c>
      <c r="B87" t="s">
        <v>486</v>
      </c>
      <c r="C87" t="s">
        <v>490</v>
      </c>
      <c r="D87" t="s">
        <v>491</v>
      </c>
      <c r="E87" t="n">
        <v>0.15</v>
      </c>
      <c r="F87"/>
      <c r="G87" t="s">
        <v>489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1" topLeftCell="A1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8.71" hidden="0" customWidth="1"/>
    <col min="4" max="4" width="70.71" hidden="0" customWidth="1"/>
    <col min="5" max="5" width="10.71" hidden="0" customWidth="1"/>
    <col min="6" max="6" width="10.71" hidden="0" customWidth="1"/>
  </cols>
  <sheetData>
    <row r="1">
      <c r="A1" t="s">
        <v>492</v>
      </c>
    </row>
    <row r="2">
      <c r="A2" t="s">
        <v>1</v>
      </c>
    </row>
    <row r="3">
      <c r="A3" t="s">
        <v>493</v>
      </c>
    </row>
    <row r="4">
      <c r="A4" t="s">
        <v>494</v>
      </c>
    </row>
    <row r="5">
      <c r="A5" t="s">
        <v>495</v>
      </c>
    </row>
    <row r="6">
      <c r="A6" t="s">
        <v>496</v>
      </c>
    </row>
    <row r="7">
      <c r="A7" t="s">
        <v>497</v>
      </c>
    </row>
    <row r="8">
      <c r="A8" t="s">
        <v>498</v>
      </c>
    </row>
    <row r="9">
      <c r="A9" t="s">
        <v>1</v>
      </c>
    </row>
    <row r="11">
      <c r="A11" t="s">
        <v>321</v>
      </c>
      <c r="B11" t="s">
        <v>323</v>
      </c>
      <c r="C11" t="s">
        <v>325</v>
      </c>
      <c r="D11" t="s">
        <v>327</v>
      </c>
    </row>
    <row r="12">
      <c r="A12" t="n">
        <v>212</v>
      </c>
      <c r="B12" t="s">
        <v>471</v>
      </c>
      <c r="C12" t="n">
        <v>0.0429721918821437</v>
      </c>
      <c r="D12" t="s">
        <v>473</v>
      </c>
    </row>
    <row r="13">
      <c r="A13" t="n">
        <v>212</v>
      </c>
      <c r="B13" t="s">
        <v>474</v>
      </c>
      <c r="C13" t="n">
        <v>0.957027808117856</v>
      </c>
      <c r="D13" t="s">
        <v>473</v>
      </c>
    </row>
    <row r="14">
      <c r="A14" t="n">
        <v>327</v>
      </c>
      <c r="B14" t="s">
        <v>477</v>
      </c>
      <c r="C14" t="n">
        <v>0.1</v>
      </c>
      <c r="D14" t="s">
        <v>479</v>
      </c>
    </row>
    <row r="15">
      <c r="A15" t="n">
        <v>327</v>
      </c>
      <c r="B15" t="s">
        <v>480</v>
      </c>
      <c r="C15" t="n">
        <v>0.9</v>
      </c>
      <c r="D15" t="s">
        <v>479</v>
      </c>
    </row>
    <row r="16">
      <c r="A16" t="n">
        <v>331</v>
      </c>
      <c r="B16" t="s">
        <v>368</v>
      </c>
      <c r="C16" t="n">
        <v>0.45</v>
      </c>
      <c r="D16" t="s">
        <v>483</v>
      </c>
    </row>
    <row r="17">
      <c r="A17" t="n">
        <v>331</v>
      </c>
      <c r="B17" t="s">
        <v>484</v>
      </c>
      <c r="C17" t="n">
        <v>0.55</v>
      </c>
      <c r="D17" t="s">
        <v>483</v>
      </c>
    </row>
    <row r="18">
      <c r="A18" t="n">
        <v>325</v>
      </c>
      <c r="B18" t="s">
        <v>487</v>
      </c>
      <c r="C18" t="n">
        <v>0.85</v>
      </c>
      <c r="D18" t="s">
        <v>489</v>
      </c>
    </row>
    <row r="19">
      <c r="A19" t="n">
        <v>325</v>
      </c>
      <c r="B19" t="s">
        <v>490</v>
      </c>
      <c r="C19" t="n">
        <v>0.15</v>
      </c>
      <c r="D19" t="s">
        <v>489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7" topLeftCell="A8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65.71" hidden="0" customWidth="1"/>
    <col min="3" max="3" width="85.71" hidden="0" customWidth="1"/>
  </cols>
  <sheetData>
    <row r="1">
      <c r="A1" t="s">
        <v>499</v>
      </c>
    </row>
    <row r="2">
      <c r="A2" t="s">
        <v>500</v>
      </c>
    </row>
    <row r="3">
      <c r="A3" t="s">
        <v>501</v>
      </c>
    </row>
    <row r="4">
      <c r="A4" t="s">
        <v>502</v>
      </c>
    </row>
    <row r="5">
      <c r="A5" t="s">
        <v>1</v>
      </c>
    </row>
    <row r="7">
      <c r="A7" t="s">
        <v>503</v>
      </c>
      <c r="B7" t="s">
        <v>504</v>
      </c>
      <c r="C7" t="s">
        <v>505</v>
      </c>
    </row>
    <row r="8">
      <c r="A8" t="s">
        <v>329</v>
      </c>
      <c r="B8" t="s">
        <v>506</v>
      </c>
      <c r="C8" t="s">
        <v>507</v>
      </c>
    </row>
    <row r="9">
      <c r="A9" t="s">
        <v>471</v>
      </c>
      <c r="B9" t="s">
        <v>472</v>
      </c>
      <c r="C9" t="s">
        <v>508</v>
      </c>
    </row>
    <row r="10">
      <c r="A10" t="s">
        <v>333</v>
      </c>
      <c r="B10" t="s">
        <v>334</v>
      </c>
      <c r="C10" t="s">
        <v>509</v>
      </c>
    </row>
    <row r="11">
      <c r="A11" t="s">
        <v>474</v>
      </c>
      <c r="B11" t="s">
        <v>510</v>
      </c>
      <c r="C11" t="s">
        <v>511</v>
      </c>
    </row>
    <row r="12">
      <c r="A12" t="s">
        <v>336</v>
      </c>
      <c r="B12" t="s">
        <v>337</v>
      </c>
      <c r="C12" t="s">
        <v>512</v>
      </c>
    </row>
    <row r="13">
      <c r="A13" t="s">
        <v>351</v>
      </c>
      <c r="B13" t="s">
        <v>513</v>
      </c>
      <c r="C13" t="s">
        <v>514</v>
      </c>
    </row>
    <row r="14">
      <c r="A14" t="s">
        <v>354</v>
      </c>
      <c r="B14" t="s">
        <v>515</v>
      </c>
      <c r="C14" t="s">
        <v>516</v>
      </c>
    </row>
    <row r="15">
      <c r="A15" t="s">
        <v>358</v>
      </c>
      <c r="B15" t="s">
        <v>517</v>
      </c>
      <c r="C15" t="s">
        <v>518</v>
      </c>
    </row>
    <row r="16">
      <c r="A16" t="s">
        <v>361</v>
      </c>
      <c r="B16" t="s">
        <v>362</v>
      </c>
      <c r="C16" t="s">
        <v>519</v>
      </c>
    </row>
    <row r="17">
      <c r="A17" t="s">
        <v>365</v>
      </c>
      <c r="B17" t="s">
        <v>366</v>
      </c>
      <c r="C17" t="s">
        <v>520</v>
      </c>
    </row>
    <row r="18">
      <c r="A18" t="s">
        <v>487</v>
      </c>
      <c r="B18" t="s">
        <v>521</v>
      </c>
      <c r="C18" t="s">
        <v>522</v>
      </c>
    </row>
    <row r="19">
      <c r="A19" t="s">
        <v>490</v>
      </c>
      <c r="B19" t="s">
        <v>523</v>
      </c>
      <c r="C19" t="s">
        <v>524</v>
      </c>
    </row>
    <row r="20">
      <c r="A20" t="s">
        <v>141</v>
      </c>
      <c r="B20" t="s">
        <v>372</v>
      </c>
      <c r="C20" t="s">
        <v>525</v>
      </c>
    </row>
    <row r="21">
      <c r="A21" t="s">
        <v>477</v>
      </c>
      <c r="B21" t="s">
        <v>526</v>
      </c>
      <c r="C21" t="s">
        <v>527</v>
      </c>
    </row>
    <row r="22">
      <c r="A22" t="s">
        <v>480</v>
      </c>
      <c r="B22" t="s">
        <v>528</v>
      </c>
      <c r="C22" t="s">
        <v>529</v>
      </c>
    </row>
    <row r="23">
      <c r="A23" t="s">
        <v>368</v>
      </c>
      <c r="B23" t="s">
        <v>530</v>
      </c>
      <c r="C23" t="s">
        <v>531</v>
      </c>
    </row>
    <row r="24">
      <c r="A24" t="s">
        <v>484</v>
      </c>
      <c r="B24" t="s">
        <v>532</v>
      </c>
      <c r="C24" t="s">
        <v>533</v>
      </c>
    </row>
    <row r="25">
      <c r="A25" t="s">
        <v>374</v>
      </c>
      <c r="B25" t="s">
        <v>534</v>
      </c>
      <c r="C25" t="s">
        <v>535</v>
      </c>
    </row>
    <row r="26">
      <c r="A26" t="s">
        <v>379</v>
      </c>
      <c r="B26" t="s">
        <v>380</v>
      </c>
      <c r="C26" t="s">
        <v>536</v>
      </c>
    </row>
    <row r="27">
      <c r="A27" t="s">
        <v>382</v>
      </c>
      <c r="B27" t="s">
        <v>383</v>
      </c>
      <c r="C27" t="s">
        <v>537</v>
      </c>
    </row>
    <row r="28">
      <c r="A28" t="s">
        <v>376</v>
      </c>
      <c r="B28" t="s">
        <v>377</v>
      </c>
      <c r="C28" t="s">
        <v>538</v>
      </c>
    </row>
    <row r="29">
      <c r="A29" t="s">
        <v>385</v>
      </c>
      <c r="B29" t="s">
        <v>539</v>
      </c>
      <c r="C29" t="s">
        <v>540</v>
      </c>
    </row>
    <row r="30">
      <c r="A30" t="s">
        <v>388</v>
      </c>
      <c r="B30" t="s">
        <v>389</v>
      </c>
      <c r="C30" t="s">
        <v>541</v>
      </c>
    </row>
    <row r="31">
      <c r="A31" t="s">
        <v>391</v>
      </c>
      <c r="B31" t="s">
        <v>542</v>
      </c>
      <c r="C31" t="s">
        <v>543</v>
      </c>
    </row>
    <row r="32">
      <c r="A32" t="s">
        <v>339</v>
      </c>
      <c r="B32" t="s">
        <v>544</v>
      </c>
      <c r="C32" t="s">
        <v>545</v>
      </c>
    </row>
    <row r="33">
      <c r="A33" t="s">
        <v>342</v>
      </c>
      <c r="B33" t="s">
        <v>546</v>
      </c>
      <c r="C33" t="s">
        <v>547</v>
      </c>
    </row>
    <row r="34">
      <c r="A34" t="s">
        <v>345</v>
      </c>
      <c r="B34" t="s">
        <v>548</v>
      </c>
      <c r="C34" t="s">
        <v>549</v>
      </c>
    </row>
    <row r="35">
      <c r="A35" t="s">
        <v>349</v>
      </c>
      <c r="B35" t="s">
        <v>348</v>
      </c>
      <c r="C35" t="s">
        <v>550</v>
      </c>
    </row>
    <row r="36">
      <c r="A36" t="s">
        <v>395</v>
      </c>
      <c r="B36" t="s">
        <v>551</v>
      </c>
      <c r="C36" t="s">
        <v>552</v>
      </c>
    </row>
    <row r="37">
      <c r="A37" t="s">
        <v>402</v>
      </c>
      <c r="B37" t="s">
        <v>403</v>
      </c>
      <c r="C37" t="s">
        <v>553</v>
      </c>
    </row>
    <row r="38">
      <c r="A38" t="s">
        <v>459</v>
      </c>
      <c r="B38" t="s">
        <v>554</v>
      </c>
      <c r="C38" t="s">
        <v>555</v>
      </c>
    </row>
    <row r="39">
      <c r="A39" t="s">
        <v>414</v>
      </c>
      <c r="B39" t="s">
        <v>556</v>
      </c>
      <c r="C39" t="s">
        <v>557</v>
      </c>
    </row>
    <row r="40">
      <c r="A40" t="s">
        <v>192</v>
      </c>
      <c r="B40" t="s">
        <v>419</v>
      </c>
      <c r="C40" t="s">
        <v>558</v>
      </c>
    </row>
    <row r="41">
      <c r="A41" t="s">
        <v>421</v>
      </c>
      <c r="B41" t="s">
        <v>422</v>
      </c>
      <c r="C41" t="s">
        <v>559</v>
      </c>
    </row>
    <row r="42">
      <c r="A42" t="s">
        <v>424</v>
      </c>
      <c r="B42" t="s">
        <v>560</v>
      </c>
      <c r="C42" t="s">
        <v>561</v>
      </c>
    </row>
    <row r="43">
      <c r="A43" t="s">
        <v>430</v>
      </c>
      <c r="B43" t="s">
        <v>431</v>
      </c>
      <c r="C43" t="s">
        <v>562</v>
      </c>
    </row>
    <row r="44">
      <c r="A44" t="s">
        <v>434</v>
      </c>
      <c r="B44" t="s">
        <v>563</v>
      </c>
      <c r="C44" t="s">
        <v>564</v>
      </c>
    </row>
    <row r="45">
      <c r="A45" t="s">
        <v>464</v>
      </c>
      <c r="B45" t="s">
        <v>565</v>
      </c>
      <c r="C45" t="s">
        <v>566</v>
      </c>
    </row>
    <row r="46">
      <c r="A46" t="s">
        <v>446</v>
      </c>
      <c r="B46" t="s">
        <v>447</v>
      </c>
      <c r="C46" t="s">
        <v>567</v>
      </c>
    </row>
    <row r="47">
      <c r="A47" t="s">
        <v>449</v>
      </c>
      <c r="B47" t="s">
        <v>568</v>
      </c>
      <c r="C47" t="s">
        <v>569</v>
      </c>
    </row>
    <row r="48">
      <c r="A48" t="s">
        <v>455</v>
      </c>
      <c r="B48" t="s">
        <v>570</v>
      </c>
      <c r="C48" t="s">
        <v>571</v>
      </c>
    </row>
    <row r="49">
      <c r="A49" t="s">
        <v>572</v>
      </c>
      <c r="B49" t="s">
        <v>573</v>
      </c>
      <c r="C49" t="s">
        <v>574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topLeftCell="A3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16.71" hidden="0" customWidth="1"/>
    <col min="3" max="3" width="18.71" hidden="0" customWidth="1"/>
    <col min="4" max="4" width="20.71" hidden="0" customWidth="1"/>
    <col min="5" max="5" width="20.71" hidden="0" customWidth="1"/>
  </cols>
  <sheetData>
    <row r="1">
      <c r="A1" t="s">
        <v>575</v>
      </c>
    </row>
    <row r="2">
      <c r="A2" t="s">
        <v>321</v>
      </c>
      <c r="B2" t="s">
        <v>323</v>
      </c>
      <c r="C2" t="s">
        <v>325</v>
      </c>
      <c r="D2" t="s">
        <v>576</v>
      </c>
      <c r="E2" t="s">
        <v>577</v>
      </c>
    </row>
    <row r="3">
      <c r="A3" t="str">
        <f>'Crosswalk_BEA_to_ISIC'!A9</f>
      </c>
      <c r="B3" t="str">
        <f>'Crosswalk_BEA_to_ISIC'!C9</f>
      </c>
      <c r="C3" t="str">
        <f>'Crosswalk_BEA_to_ISIC'!E9</f>
      </c>
      <c r="D3" t="str">
        <f>IFERROR(INDEX('1_Source_IndustryOutput'!$B$2:$B$72, MATCH($A3, '1_Source_IndustryOutput'!$A$2:$A$72, 0)), 0)</f>
      </c>
      <c r="E3" t="str">
        <f>C3*D3</f>
      </c>
    </row>
    <row r="4">
      <c r="A4" t="str">
        <f>'Crosswalk_BEA_to_ISIC'!A10</f>
      </c>
      <c r="B4" t="str">
        <f>'Crosswalk_BEA_to_ISIC'!C10</f>
      </c>
      <c r="C4" t="str">
        <f>'Crosswalk_BEA_to_ISIC'!E10</f>
      </c>
      <c r="D4" t="str">
        <f>IFERROR(INDEX('1_Source_IndustryOutput'!$B$2:$B$72, MATCH($A4, '1_Source_IndustryOutput'!$A$2:$A$72, 0)), 0)</f>
      </c>
      <c r="E4" t="str">
        <f>C4*D4</f>
      </c>
    </row>
    <row r="5">
      <c r="A5" t="str">
        <f>'Crosswalk_BEA_to_ISIC'!A11</f>
      </c>
      <c r="B5" t="str">
        <f>'Crosswalk_BEA_to_ISIC'!C11</f>
      </c>
      <c r="C5" t="str">
        <f>'Crosswalk_BEA_to_ISIC'!E11</f>
      </c>
      <c r="D5" t="str">
        <f>IFERROR(INDEX('1_Source_IndustryOutput'!$B$2:$B$72, MATCH($A5, '1_Source_IndustryOutput'!$A$2:$A$72, 0)), 0)</f>
      </c>
      <c r="E5" t="str">
        <f>C5*D5</f>
      </c>
    </row>
    <row r="6">
      <c r="A6" t="str">
        <f>'Crosswalk_BEA_to_ISIC'!A12</f>
      </c>
      <c r="B6" t="str">
        <f>'Crosswalk_BEA_to_ISIC'!C12</f>
      </c>
      <c r="C6" t="str">
        <f>'Crosswalk_BEA_to_ISIC'!E12</f>
      </c>
      <c r="D6" t="str">
        <f>IFERROR(INDEX('1_Source_IndustryOutput'!$B$2:$B$72, MATCH($A6, '1_Source_IndustryOutput'!$A$2:$A$72, 0)), 0)</f>
      </c>
      <c r="E6" t="str">
        <f>C6*D6</f>
      </c>
    </row>
    <row r="7">
      <c r="A7" t="str">
        <f>'Crosswalk_BEA_to_ISIC'!A13</f>
      </c>
      <c r="B7" t="str">
        <f>'Crosswalk_BEA_to_ISIC'!C13</f>
      </c>
      <c r="C7" t="str">
        <f>'Crosswalk_BEA_to_ISIC'!E13</f>
      </c>
      <c r="D7" t="str">
        <f>IFERROR(INDEX('1_Source_IndustryOutput'!$B$2:$B$72, MATCH($A7, '1_Source_IndustryOutput'!$A$2:$A$72, 0)), 0)</f>
      </c>
      <c r="E7" t="str">
        <f>C7*D7</f>
      </c>
    </row>
    <row r="8">
      <c r="A8" t="str">
        <f>'Crosswalk_BEA_to_ISIC'!A14</f>
      </c>
      <c r="B8" t="str">
        <f>'Crosswalk_BEA_to_ISIC'!C14</f>
      </c>
      <c r="C8" t="str">
        <f>'Crosswalk_BEA_to_ISIC'!E14</f>
      </c>
      <c r="D8" t="str">
        <f>IFERROR(INDEX('1_Source_IndustryOutput'!$B$2:$B$72, MATCH($A8, '1_Source_IndustryOutput'!$A$2:$A$72, 0)), 0)</f>
      </c>
      <c r="E8" t="str">
        <f>C8*D8</f>
      </c>
    </row>
    <row r="9">
      <c r="A9" t="str">
        <f>'Crosswalk_BEA_to_ISIC'!A15</f>
      </c>
      <c r="B9" t="str">
        <f>'Crosswalk_BEA_to_ISIC'!C15</f>
      </c>
      <c r="C9" t="str">
        <f>'Crosswalk_BEA_to_ISIC'!E15</f>
      </c>
      <c r="D9" t="str">
        <f>IFERROR(INDEX('1_Source_IndustryOutput'!$B$2:$B$72, MATCH($A9, '1_Source_IndustryOutput'!$A$2:$A$72, 0)), 0)</f>
      </c>
      <c r="E9" t="str">
        <f>C9*D9</f>
      </c>
    </row>
    <row r="10">
      <c r="A10" t="str">
        <f>'Crosswalk_BEA_to_ISIC'!A16</f>
      </c>
      <c r="B10" t="str">
        <f>'Crosswalk_BEA_to_ISIC'!C16</f>
      </c>
      <c r="C10" t="str">
        <f>'Crosswalk_BEA_to_ISIC'!E16</f>
      </c>
      <c r="D10" t="str">
        <f>IFERROR(INDEX('1_Source_IndustryOutput'!$B$2:$B$72, MATCH($A10, '1_Source_IndustryOutput'!$A$2:$A$72, 0)), 0)</f>
      </c>
      <c r="E10" t="str">
        <f>C10*D10</f>
      </c>
    </row>
    <row r="11">
      <c r="A11" t="str">
        <f>'Crosswalk_BEA_to_ISIC'!A17</f>
      </c>
      <c r="B11" t="str">
        <f>'Crosswalk_BEA_to_ISIC'!C17</f>
      </c>
      <c r="C11" t="str">
        <f>'Crosswalk_BEA_to_ISIC'!E17</f>
      </c>
      <c r="D11" t="str">
        <f>IFERROR(INDEX('1_Source_IndustryOutput'!$B$2:$B$72, MATCH($A11, '1_Source_IndustryOutput'!$A$2:$A$72, 0)), 0)</f>
      </c>
      <c r="E11" t="str">
        <f>C11*D11</f>
      </c>
    </row>
    <row r="12">
      <c r="A12" t="str">
        <f>'Crosswalk_BEA_to_ISIC'!A18</f>
      </c>
      <c r="B12" t="str">
        <f>'Crosswalk_BEA_to_ISIC'!C18</f>
      </c>
      <c r="C12" t="str">
        <f>'Crosswalk_BEA_to_ISIC'!E18</f>
      </c>
      <c r="D12" t="str">
        <f>IFERROR(INDEX('1_Source_IndustryOutput'!$B$2:$B$72, MATCH($A12, '1_Source_IndustryOutput'!$A$2:$A$72, 0)), 0)</f>
      </c>
      <c r="E12" t="str">
        <f>C12*D12</f>
      </c>
    </row>
    <row r="13">
      <c r="A13" t="str">
        <f>'Crosswalk_BEA_to_ISIC'!A19</f>
      </c>
      <c r="B13" t="str">
        <f>'Crosswalk_BEA_to_ISIC'!C19</f>
      </c>
      <c r="C13" t="str">
        <f>'Crosswalk_BEA_to_ISIC'!E19</f>
      </c>
      <c r="D13" t="str">
        <f>IFERROR(INDEX('1_Source_IndustryOutput'!$B$2:$B$72, MATCH($A13, '1_Source_IndustryOutput'!$A$2:$A$72, 0)), 0)</f>
      </c>
      <c r="E13" t="str">
        <f>C13*D13</f>
      </c>
    </row>
    <row r="14">
      <c r="A14" t="str">
        <f>'Crosswalk_BEA_to_ISIC'!A20</f>
      </c>
      <c r="B14" t="str">
        <f>'Crosswalk_BEA_to_ISIC'!C20</f>
      </c>
      <c r="C14" t="str">
        <f>'Crosswalk_BEA_to_ISIC'!E20</f>
      </c>
      <c r="D14" t="str">
        <f>IFERROR(INDEX('1_Source_IndustryOutput'!$B$2:$B$72, MATCH($A14, '1_Source_IndustryOutput'!$A$2:$A$72, 0)), 0)</f>
      </c>
      <c r="E14" t="str">
        <f>C14*D14</f>
      </c>
    </row>
    <row r="15">
      <c r="A15" t="str">
        <f>'Crosswalk_BEA_to_ISIC'!A21</f>
      </c>
      <c r="B15" t="str">
        <f>'Crosswalk_BEA_to_ISIC'!C21</f>
      </c>
      <c r="C15" t="str">
        <f>'Crosswalk_BEA_to_ISIC'!E21</f>
      </c>
      <c r="D15" t="str">
        <f>IFERROR(INDEX('1_Source_IndustryOutput'!$B$2:$B$72, MATCH($A15, '1_Source_IndustryOutput'!$A$2:$A$72, 0)), 0)</f>
      </c>
      <c r="E15" t="str">
        <f>C15*D15</f>
      </c>
    </row>
    <row r="16">
      <c r="A16" t="str">
        <f>'Crosswalk_BEA_to_ISIC'!A22</f>
      </c>
      <c r="B16" t="str">
        <f>'Crosswalk_BEA_to_ISIC'!C22</f>
      </c>
      <c r="C16" t="str">
        <f>'Crosswalk_BEA_to_ISIC'!E22</f>
      </c>
      <c r="D16" t="str">
        <f>IFERROR(INDEX('1_Source_IndustryOutput'!$B$2:$B$72, MATCH($A16, '1_Source_IndustryOutput'!$A$2:$A$72, 0)), 0)</f>
      </c>
      <c r="E16" t="str">
        <f>C16*D16</f>
      </c>
    </row>
    <row r="17">
      <c r="A17" t="str">
        <f>'Crosswalk_BEA_to_ISIC'!A23</f>
      </c>
      <c r="B17" t="str">
        <f>'Crosswalk_BEA_to_ISIC'!C23</f>
      </c>
      <c r="C17" t="str">
        <f>'Crosswalk_BEA_to_ISIC'!E23</f>
      </c>
      <c r="D17" t="str">
        <f>IFERROR(INDEX('1_Source_IndustryOutput'!$B$2:$B$72, MATCH($A17, '1_Source_IndustryOutput'!$A$2:$A$72, 0)), 0)</f>
      </c>
      <c r="E17" t="str">
        <f>C17*D17</f>
      </c>
    </row>
    <row r="18">
      <c r="A18" t="str">
        <f>'Crosswalk_BEA_to_ISIC'!A24</f>
      </c>
      <c r="B18" t="str">
        <f>'Crosswalk_BEA_to_ISIC'!C24</f>
      </c>
      <c r="C18" t="str">
        <f>'Crosswalk_BEA_to_ISIC'!E24</f>
      </c>
      <c r="D18" t="str">
        <f>IFERROR(INDEX('1_Source_IndustryOutput'!$B$2:$B$72, MATCH($A18, '1_Source_IndustryOutput'!$A$2:$A$72, 0)), 0)</f>
      </c>
      <c r="E18" t="str">
        <f>C18*D18</f>
      </c>
    </row>
    <row r="19">
      <c r="A19" t="str">
        <f>'Crosswalk_BEA_to_ISIC'!A25</f>
      </c>
      <c r="B19" t="str">
        <f>'Crosswalk_BEA_to_ISIC'!C25</f>
      </c>
      <c r="C19" t="str">
        <f>'Crosswalk_BEA_to_ISIC'!E25</f>
      </c>
      <c r="D19" t="str">
        <f>IFERROR(INDEX('1_Source_IndustryOutput'!$B$2:$B$72, MATCH($A19, '1_Source_IndustryOutput'!$A$2:$A$72, 0)), 0)</f>
      </c>
      <c r="E19" t="str">
        <f>C19*D19</f>
      </c>
    </row>
    <row r="20">
      <c r="A20" t="str">
        <f>'Crosswalk_BEA_to_ISIC'!A26</f>
      </c>
      <c r="B20" t="str">
        <f>'Crosswalk_BEA_to_ISIC'!C26</f>
      </c>
      <c r="C20" t="str">
        <f>'Crosswalk_BEA_to_ISIC'!E26</f>
      </c>
      <c r="D20" t="str">
        <f>IFERROR(INDEX('1_Source_IndustryOutput'!$B$2:$B$72, MATCH($A20, '1_Source_IndustryOutput'!$A$2:$A$72, 0)), 0)</f>
      </c>
      <c r="E20" t="str">
        <f>C20*D20</f>
      </c>
    </row>
    <row r="21">
      <c r="A21" t="str">
        <f>'Crosswalk_BEA_to_ISIC'!A27</f>
      </c>
      <c r="B21" t="str">
        <f>'Crosswalk_BEA_to_ISIC'!C27</f>
      </c>
      <c r="C21" t="str">
        <f>'Crosswalk_BEA_to_ISIC'!E27</f>
      </c>
      <c r="D21" t="str">
        <f>IFERROR(INDEX('1_Source_IndustryOutput'!$B$2:$B$72, MATCH($A21, '1_Source_IndustryOutput'!$A$2:$A$72, 0)), 0)</f>
      </c>
      <c r="E21" t="str">
        <f>C21*D21</f>
      </c>
    </row>
    <row r="22">
      <c r="A22" t="str">
        <f>'Crosswalk_BEA_to_ISIC'!A28</f>
      </c>
      <c r="B22" t="str">
        <f>'Crosswalk_BEA_to_ISIC'!C28</f>
      </c>
      <c r="C22" t="str">
        <f>'Crosswalk_BEA_to_ISIC'!E28</f>
      </c>
      <c r="D22" t="str">
        <f>IFERROR(INDEX('1_Source_IndustryOutput'!$B$2:$B$72, MATCH($A22, '1_Source_IndustryOutput'!$A$2:$A$72, 0)), 0)</f>
      </c>
      <c r="E22" t="str">
        <f>C22*D22</f>
      </c>
    </row>
    <row r="23">
      <c r="A23" t="str">
        <f>'Crosswalk_BEA_to_ISIC'!A29</f>
      </c>
      <c r="B23" t="str">
        <f>'Crosswalk_BEA_to_ISIC'!C29</f>
      </c>
      <c r="C23" t="str">
        <f>'Crosswalk_BEA_to_ISIC'!E29</f>
      </c>
      <c r="D23" t="str">
        <f>IFERROR(INDEX('1_Source_IndustryOutput'!$B$2:$B$72, MATCH($A23, '1_Source_IndustryOutput'!$A$2:$A$72, 0)), 0)</f>
      </c>
      <c r="E23" t="str">
        <f>C23*D23</f>
      </c>
    </row>
    <row r="24">
      <c r="A24" t="str">
        <f>'Crosswalk_BEA_to_ISIC'!A30</f>
      </c>
      <c r="B24" t="str">
        <f>'Crosswalk_BEA_to_ISIC'!C30</f>
      </c>
      <c r="C24" t="str">
        <f>'Crosswalk_BEA_to_ISIC'!E30</f>
      </c>
      <c r="D24" t="str">
        <f>IFERROR(INDEX('1_Source_IndustryOutput'!$B$2:$B$72, MATCH($A24, '1_Source_IndustryOutput'!$A$2:$A$72, 0)), 0)</f>
      </c>
      <c r="E24" t="str">
        <f>C24*D24</f>
      </c>
    </row>
    <row r="25">
      <c r="A25" t="str">
        <f>'Crosswalk_BEA_to_ISIC'!A31</f>
      </c>
      <c r="B25" t="str">
        <f>'Crosswalk_BEA_to_ISIC'!C31</f>
      </c>
      <c r="C25" t="str">
        <f>'Crosswalk_BEA_to_ISIC'!E31</f>
      </c>
      <c r="D25" t="str">
        <f>IFERROR(INDEX('1_Source_IndustryOutput'!$B$2:$B$72, MATCH($A25, '1_Source_IndustryOutput'!$A$2:$A$72, 0)), 0)</f>
      </c>
      <c r="E25" t="str">
        <f>C25*D25</f>
      </c>
    </row>
    <row r="26">
      <c r="A26" t="str">
        <f>'Crosswalk_BEA_to_ISIC'!A32</f>
      </c>
      <c r="B26" t="str">
        <f>'Crosswalk_BEA_to_ISIC'!C32</f>
      </c>
      <c r="C26" t="str">
        <f>'Crosswalk_BEA_to_ISIC'!E32</f>
      </c>
      <c r="D26" t="str">
        <f>IFERROR(INDEX('1_Source_IndustryOutput'!$B$2:$B$72, MATCH($A26, '1_Source_IndustryOutput'!$A$2:$A$72, 0)), 0)</f>
      </c>
      <c r="E26" t="str">
        <f>C26*D26</f>
      </c>
    </row>
    <row r="27">
      <c r="A27" t="str">
        <f>'Crosswalk_BEA_to_ISIC'!A33</f>
      </c>
      <c r="B27" t="str">
        <f>'Crosswalk_BEA_to_ISIC'!C33</f>
      </c>
      <c r="C27" t="str">
        <f>'Crosswalk_BEA_to_ISIC'!E33</f>
      </c>
      <c r="D27" t="str">
        <f>IFERROR(INDEX('1_Source_IndustryOutput'!$B$2:$B$72, MATCH($A27, '1_Source_IndustryOutput'!$A$2:$A$72, 0)), 0)</f>
      </c>
      <c r="E27" t="str">
        <f>C27*D27</f>
      </c>
    </row>
    <row r="28">
      <c r="A28" t="str">
        <f>'Crosswalk_BEA_to_ISIC'!A34</f>
      </c>
      <c r="B28" t="str">
        <f>'Crosswalk_BEA_to_ISIC'!C34</f>
      </c>
      <c r="C28" t="str">
        <f>'Crosswalk_BEA_to_ISIC'!E34</f>
      </c>
      <c r="D28" t="str">
        <f>IFERROR(INDEX('1_Source_IndustryOutput'!$B$2:$B$72, MATCH($A28, '1_Source_IndustryOutput'!$A$2:$A$72, 0)), 0)</f>
      </c>
      <c r="E28" t="str">
        <f>C28*D28</f>
      </c>
    </row>
    <row r="29">
      <c r="A29" t="str">
        <f>'Crosswalk_BEA_to_ISIC'!A35</f>
      </c>
      <c r="B29" t="str">
        <f>'Crosswalk_BEA_to_ISIC'!C35</f>
      </c>
      <c r="C29" t="str">
        <f>'Crosswalk_BEA_to_ISIC'!E35</f>
      </c>
      <c r="D29" t="str">
        <f>IFERROR(INDEX('1_Source_IndustryOutput'!$B$2:$B$72, MATCH($A29, '1_Source_IndustryOutput'!$A$2:$A$72, 0)), 0)</f>
      </c>
      <c r="E29" t="str">
        <f>C29*D29</f>
      </c>
    </row>
    <row r="30">
      <c r="A30" t="str">
        <f>'Crosswalk_BEA_to_ISIC'!A36</f>
      </c>
      <c r="B30" t="str">
        <f>'Crosswalk_BEA_to_ISIC'!C36</f>
      </c>
      <c r="C30" t="str">
        <f>'Crosswalk_BEA_to_ISIC'!E36</f>
      </c>
      <c r="D30" t="str">
        <f>IFERROR(INDEX('1_Source_IndustryOutput'!$B$2:$B$72, MATCH($A30, '1_Source_IndustryOutput'!$A$2:$A$72, 0)), 0)</f>
      </c>
      <c r="E30" t="str">
        <f>C30*D30</f>
      </c>
    </row>
    <row r="31">
      <c r="A31" t="str">
        <f>'Crosswalk_BEA_to_ISIC'!A37</f>
      </c>
      <c r="B31" t="str">
        <f>'Crosswalk_BEA_to_ISIC'!C37</f>
      </c>
      <c r="C31" t="str">
        <f>'Crosswalk_BEA_to_ISIC'!E37</f>
      </c>
      <c r="D31" t="str">
        <f>IFERROR(INDEX('1_Source_IndustryOutput'!$B$2:$B$72, MATCH($A31, '1_Source_IndustryOutput'!$A$2:$A$72, 0)), 0)</f>
      </c>
      <c r="E31" t="str">
        <f>C31*D31</f>
      </c>
    </row>
    <row r="32">
      <c r="A32" t="str">
        <f>'Crosswalk_BEA_to_ISIC'!A38</f>
      </c>
      <c r="B32" t="str">
        <f>'Crosswalk_BEA_to_ISIC'!C38</f>
      </c>
      <c r="C32" t="str">
        <f>'Crosswalk_BEA_to_ISIC'!E38</f>
      </c>
      <c r="D32" t="str">
        <f>IFERROR(INDEX('1_Source_IndustryOutput'!$B$2:$B$72, MATCH($A32, '1_Source_IndustryOutput'!$A$2:$A$72, 0)), 0)</f>
      </c>
      <c r="E32" t="str">
        <f>C32*D32</f>
      </c>
    </row>
    <row r="33">
      <c r="A33" t="str">
        <f>'Crosswalk_BEA_to_ISIC'!A39</f>
      </c>
      <c r="B33" t="str">
        <f>'Crosswalk_BEA_to_ISIC'!C39</f>
      </c>
      <c r="C33" t="str">
        <f>'Crosswalk_BEA_to_ISIC'!E39</f>
      </c>
      <c r="D33" t="str">
        <f>IFERROR(INDEX('1_Source_IndustryOutput'!$B$2:$B$72, MATCH($A33, '1_Source_IndustryOutput'!$A$2:$A$72, 0)), 0)</f>
      </c>
      <c r="E33" t="str">
        <f>C33*D33</f>
      </c>
    </row>
    <row r="34">
      <c r="A34" t="str">
        <f>'Crosswalk_BEA_to_ISIC'!A40</f>
      </c>
      <c r="B34" t="str">
        <f>'Crosswalk_BEA_to_ISIC'!C40</f>
      </c>
      <c r="C34" t="str">
        <f>'Crosswalk_BEA_to_ISIC'!E40</f>
      </c>
      <c r="D34" t="str">
        <f>IFERROR(INDEX('1_Source_IndustryOutput'!$B$2:$B$72, MATCH($A34, '1_Source_IndustryOutput'!$A$2:$A$72, 0)), 0)</f>
      </c>
      <c r="E34" t="str">
        <f>C34*D34</f>
      </c>
    </row>
    <row r="35">
      <c r="A35" t="str">
        <f>'Crosswalk_BEA_to_ISIC'!A41</f>
      </c>
      <c r="B35" t="str">
        <f>'Crosswalk_BEA_to_ISIC'!C41</f>
      </c>
      <c r="C35" t="str">
        <f>'Crosswalk_BEA_to_ISIC'!E41</f>
      </c>
      <c r="D35" t="str">
        <f>IFERROR(INDEX('1_Source_IndustryOutput'!$B$2:$B$72, MATCH($A35, '1_Source_IndustryOutput'!$A$2:$A$72, 0)), 0)</f>
      </c>
      <c r="E35" t="str">
        <f>C35*D35</f>
      </c>
    </row>
    <row r="36">
      <c r="A36" t="str">
        <f>'Crosswalk_BEA_to_ISIC'!A42</f>
      </c>
      <c r="B36" t="str">
        <f>'Crosswalk_BEA_to_ISIC'!C42</f>
      </c>
      <c r="C36" t="str">
        <f>'Crosswalk_BEA_to_ISIC'!E42</f>
      </c>
      <c r="D36" t="str">
        <f>IFERROR(INDEX('1_Source_IndustryOutput'!$B$2:$B$72, MATCH($A36, '1_Source_IndustryOutput'!$A$2:$A$72, 0)), 0)</f>
      </c>
      <c r="E36" t="str">
        <f>C36*D36</f>
      </c>
    </row>
    <row r="37">
      <c r="A37" t="str">
        <f>'Crosswalk_BEA_to_ISIC'!A43</f>
      </c>
      <c r="B37" t="str">
        <f>'Crosswalk_BEA_to_ISIC'!C43</f>
      </c>
      <c r="C37" t="str">
        <f>'Crosswalk_BEA_to_ISIC'!E43</f>
      </c>
      <c r="D37" t="str">
        <f>IFERROR(INDEX('1_Source_IndustryOutput'!$B$2:$B$72, MATCH($A37, '1_Source_IndustryOutput'!$A$2:$A$72, 0)), 0)</f>
      </c>
      <c r="E37" t="str">
        <f>C37*D37</f>
      </c>
    </row>
    <row r="38">
      <c r="A38" t="str">
        <f>'Crosswalk_BEA_to_ISIC'!A44</f>
      </c>
      <c r="B38" t="str">
        <f>'Crosswalk_BEA_to_ISIC'!C44</f>
      </c>
      <c r="C38" t="str">
        <f>'Crosswalk_BEA_to_ISIC'!E44</f>
      </c>
      <c r="D38" t="str">
        <f>IFERROR(INDEX('1_Source_IndustryOutput'!$B$2:$B$72, MATCH($A38, '1_Source_IndustryOutput'!$A$2:$A$72, 0)), 0)</f>
      </c>
      <c r="E38" t="str">
        <f>C38*D38</f>
      </c>
    </row>
    <row r="39">
      <c r="A39" t="str">
        <f>'Crosswalk_BEA_to_ISIC'!A45</f>
      </c>
      <c r="B39" t="str">
        <f>'Crosswalk_BEA_to_ISIC'!C45</f>
      </c>
      <c r="C39" t="str">
        <f>'Crosswalk_BEA_to_ISIC'!E45</f>
      </c>
      <c r="D39" t="str">
        <f>IFERROR(INDEX('1_Source_IndustryOutput'!$B$2:$B$72, MATCH($A39, '1_Source_IndustryOutput'!$A$2:$A$72, 0)), 0)</f>
      </c>
      <c r="E39" t="str">
        <f>C39*D39</f>
      </c>
    </row>
    <row r="40">
      <c r="A40" t="str">
        <f>'Crosswalk_BEA_to_ISIC'!A46</f>
      </c>
      <c r="B40" t="str">
        <f>'Crosswalk_BEA_to_ISIC'!C46</f>
      </c>
      <c r="C40" t="str">
        <f>'Crosswalk_BEA_to_ISIC'!E46</f>
      </c>
      <c r="D40" t="str">
        <f>IFERROR(INDEX('1_Source_IndustryOutput'!$B$2:$B$72, MATCH($A40, '1_Source_IndustryOutput'!$A$2:$A$72, 0)), 0)</f>
      </c>
      <c r="E40" t="str">
        <f>C40*D40</f>
      </c>
    </row>
    <row r="41">
      <c r="A41" t="str">
        <f>'Crosswalk_BEA_to_ISIC'!A47</f>
      </c>
      <c r="B41" t="str">
        <f>'Crosswalk_BEA_to_ISIC'!C47</f>
      </c>
      <c r="C41" t="str">
        <f>'Crosswalk_BEA_to_ISIC'!E47</f>
      </c>
      <c r="D41" t="str">
        <f>IFERROR(INDEX('1_Source_IndustryOutput'!$B$2:$B$72, MATCH($A41, '1_Source_IndustryOutput'!$A$2:$A$72, 0)), 0)</f>
      </c>
      <c r="E41" t="str">
        <f>C41*D41</f>
      </c>
    </row>
    <row r="42">
      <c r="A42" t="str">
        <f>'Crosswalk_BEA_to_ISIC'!A48</f>
      </c>
      <c r="B42" t="str">
        <f>'Crosswalk_BEA_to_ISIC'!C48</f>
      </c>
      <c r="C42" t="str">
        <f>'Crosswalk_BEA_to_ISIC'!E48</f>
      </c>
      <c r="D42" t="str">
        <f>IFERROR(INDEX('1_Source_IndustryOutput'!$B$2:$B$72, MATCH($A42, '1_Source_IndustryOutput'!$A$2:$A$72, 0)), 0)</f>
      </c>
      <c r="E42" t="str">
        <f>C42*D42</f>
      </c>
    </row>
    <row r="43">
      <c r="A43" t="str">
        <f>'Crosswalk_BEA_to_ISIC'!A49</f>
      </c>
      <c r="B43" t="str">
        <f>'Crosswalk_BEA_to_ISIC'!C49</f>
      </c>
      <c r="C43" t="str">
        <f>'Crosswalk_BEA_to_ISIC'!E49</f>
      </c>
      <c r="D43" t="str">
        <f>IFERROR(INDEX('1_Source_IndustryOutput'!$B$2:$B$72, MATCH($A43, '1_Source_IndustryOutput'!$A$2:$A$72, 0)), 0)</f>
      </c>
      <c r="E43" t="str">
        <f>C43*D43</f>
      </c>
    </row>
    <row r="44">
      <c r="A44" t="str">
        <f>'Crosswalk_BEA_to_ISIC'!A50</f>
      </c>
      <c r="B44" t="str">
        <f>'Crosswalk_BEA_to_ISIC'!C50</f>
      </c>
      <c r="C44" t="str">
        <f>'Crosswalk_BEA_to_ISIC'!E50</f>
      </c>
      <c r="D44" t="str">
        <f>IFERROR(INDEX('1_Source_IndustryOutput'!$B$2:$B$72, MATCH($A44, '1_Source_IndustryOutput'!$A$2:$A$72, 0)), 0)</f>
      </c>
      <c r="E44" t="str">
        <f>C44*D44</f>
      </c>
    </row>
    <row r="45">
      <c r="A45" t="str">
        <f>'Crosswalk_BEA_to_ISIC'!A51</f>
      </c>
      <c r="B45" t="str">
        <f>'Crosswalk_BEA_to_ISIC'!C51</f>
      </c>
      <c r="C45" t="str">
        <f>'Crosswalk_BEA_to_ISIC'!E51</f>
      </c>
      <c r="D45" t="str">
        <f>IFERROR(INDEX('1_Source_IndustryOutput'!$B$2:$B$72, MATCH($A45, '1_Source_IndustryOutput'!$A$2:$A$72, 0)), 0)</f>
      </c>
      <c r="E45" t="str">
        <f>C45*D45</f>
      </c>
    </row>
    <row r="46">
      <c r="A46" t="str">
        <f>'Crosswalk_BEA_to_ISIC'!A52</f>
      </c>
      <c r="B46" t="str">
        <f>'Crosswalk_BEA_to_ISIC'!C52</f>
      </c>
      <c r="C46" t="str">
        <f>'Crosswalk_BEA_to_ISIC'!E52</f>
      </c>
      <c r="D46" t="str">
        <f>IFERROR(INDEX('1_Source_IndustryOutput'!$B$2:$B$72, MATCH($A46, '1_Source_IndustryOutput'!$A$2:$A$72, 0)), 0)</f>
      </c>
      <c r="E46" t="str">
        <f>C46*D46</f>
      </c>
    </row>
    <row r="47">
      <c r="A47" t="str">
        <f>'Crosswalk_BEA_to_ISIC'!A53</f>
      </c>
      <c r="B47" t="str">
        <f>'Crosswalk_BEA_to_ISIC'!C53</f>
      </c>
      <c r="C47" t="str">
        <f>'Crosswalk_BEA_to_ISIC'!E53</f>
      </c>
      <c r="D47" t="str">
        <f>IFERROR(INDEX('1_Source_IndustryOutput'!$B$2:$B$72, MATCH($A47, '1_Source_IndustryOutput'!$A$2:$A$72, 0)), 0)</f>
      </c>
      <c r="E47" t="str">
        <f>C47*D47</f>
      </c>
    </row>
    <row r="48">
      <c r="A48" t="str">
        <f>'Crosswalk_BEA_to_ISIC'!A54</f>
      </c>
      <c r="B48" t="str">
        <f>'Crosswalk_BEA_to_ISIC'!C54</f>
      </c>
      <c r="C48" t="str">
        <f>'Crosswalk_BEA_to_ISIC'!E54</f>
      </c>
      <c r="D48" t="str">
        <f>IFERROR(INDEX('1_Source_IndustryOutput'!$B$2:$B$72, MATCH($A48, '1_Source_IndustryOutput'!$A$2:$A$72, 0)), 0)</f>
      </c>
      <c r="E48" t="str">
        <f>C48*D48</f>
      </c>
    </row>
    <row r="49">
      <c r="A49" t="str">
        <f>'Crosswalk_BEA_to_ISIC'!A55</f>
      </c>
      <c r="B49" t="str">
        <f>'Crosswalk_BEA_to_ISIC'!C55</f>
      </c>
      <c r="C49" t="str">
        <f>'Crosswalk_BEA_to_ISIC'!E55</f>
      </c>
      <c r="D49" t="str">
        <f>IFERROR(INDEX('1_Source_IndustryOutput'!$B$2:$B$72, MATCH($A49, '1_Source_IndustryOutput'!$A$2:$A$72, 0)), 0)</f>
      </c>
      <c r="E49" t="str">
        <f>C49*D49</f>
      </c>
    </row>
    <row r="50">
      <c r="A50" t="str">
        <f>'Crosswalk_BEA_to_ISIC'!A56</f>
      </c>
      <c r="B50" t="str">
        <f>'Crosswalk_BEA_to_ISIC'!C56</f>
      </c>
      <c r="C50" t="str">
        <f>'Crosswalk_BEA_to_ISIC'!E56</f>
      </c>
      <c r="D50" t="str">
        <f>IFERROR(INDEX('1_Source_IndustryOutput'!$B$2:$B$72, MATCH($A50, '1_Source_IndustryOutput'!$A$2:$A$72, 0)), 0)</f>
      </c>
      <c r="E50" t="str">
        <f>C50*D50</f>
      </c>
    </row>
    <row r="51">
      <c r="A51" t="str">
        <f>'Crosswalk_BEA_to_ISIC'!A57</f>
      </c>
      <c r="B51" t="str">
        <f>'Crosswalk_BEA_to_ISIC'!C57</f>
      </c>
      <c r="C51" t="str">
        <f>'Crosswalk_BEA_to_ISIC'!E57</f>
      </c>
      <c r="D51" t="str">
        <f>IFERROR(INDEX('1_Source_IndustryOutput'!$B$2:$B$72, MATCH($A51, '1_Source_IndustryOutput'!$A$2:$A$72, 0)), 0)</f>
      </c>
      <c r="E51" t="str">
        <f>C51*D51</f>
      </c>
    </row>
    <row r="52">
      <c r="A52" t="str">
        <f>'Crosswalk_BEA_to_ISIC'!A58</f>
      </c>
      <c r="B52" t="str">
        <f>'Crosswalk_BEA_to_ISIC'!C58</f>
      </c>
      <c r="C52" t="str">
        <f>'Crosswalk_BEA_to_ISIC'!E58</f>
      </c>
      <c r="D52" t="str">
        <f>IFERROR(INDEX('1_Source_IndustryOutput'!$B$2:$B$72, MATCH($A52, '1_Source_IndustryOutput'!$A$2:$A$72, 0)), 0)</f>
      </c>
      <c r="E52" t="str">
        <f>C52*D52</f>
      </c>
    </row>
    <row r="53">
      <c r="A53" t="str">
        <f>'Crosswalk_BEA_to_ISIC'!A59</f>
      </c>
      <c r="B53" t="str">
        <f>'Crosswalk_BEA_to_ISIC'!C59</f>
      </c>
      <c r="C53" t="str">
        <f>'Crosswalk_BEA_to_ISIC'!E59</f>
      </c>
      <c r="D53" t="str">
        <f>IFERROR(INDEX('1_Source_IndustryOutput'!$B$2:$B$72, MATCH($A53, '1_Source_IndustryOutput'!$A$2:$A$72, 0)), 0)</f>
      </c>
      <c r="E53" t="str">
        <f>C53*D53</f>
      </c>
    </row>
    <row r="54">
      <c r="A54" t="str">
        <f>'Crosswalk_BEA_to_ISIC'!A60</f>
      </c>
      <c r="B54" t="str">
        <f>'Crosswalk_BEA_to_ISIC'!C60</f>
      </c>
      <c r="C54" t="str">
        <f>'Crosswalk_BEA_to_ISIC'!E60</f>
      </c>
      <c r="D54" t="str">
        <f>IFERROR(INDEX('1_Source_IndustryOutput'!$B$2:$B$72, MATCH($A54, '1_Source_IndustryOutput'!$A$2:$A$72, 0)), 0)</f>
      </c>
      <c r="E54" t="str">
        <f>C54*D54</f>
      </c>
    </row>
    <row r="55">
      <c r="A55" t="str">
        <f>'Crosswalk_BEA_to_ISIC'!A61</f>
      </c>
      <c r="B55" t="str">
        <f>'Crosswalk_BEA_to_ISIC'!C61</f>
      </c>
      <c r="C55" t="str">
        <f>'Crosswalk_BEA_to_ISIC'!E61</f>
      </c>
      <c r="D55" t="str">
        <f>IFERROR(INDEX('1_Source_IndustryOutput'!$B$2:$B$72, MATCH($A55, '1_Source_IndustryOutput'!$A$2:$A$72, 0)), 0)</f>
      </c>
      <c r="E55" t="str">
        <f>C55*D55</f>
      </c>
    </row>
    <row r="56">
      <c r="A56" t="str">
        <f>'Crosswalk_BEA_to_ISIC'!A62</f>
      </c>
      <c r="B56" t="str">
        <f>'Crosswalk_BEA_to_ISIC'!C62</f>
      </c>
      <c r="C56" t="str">
        <f>'Crosswalk_BEA_to_ISIC'!E62</f>
      </c>
      <c r="D56" t="str">
        <f>IFERROR(INDEX('1_Source_IndustryOutput'!$B$2:$B$72, MATCH($A56, '1_Source_IndustryOutput'!$A$2:$A$72, 0)), 0)</f>
      </c>
      <c r="E56" t="str">
        <f>C56*D56</f>
      </c>
    </row>
    <row r="57">
      <c r="A57" t="str">
        <f>'Crosswalk_BEA_to_ISIC'!A63</f>
      </c>
      <c r="B57" t="str">
        <f>'Crosswalk_BEA_to_ISIC'!C63</f>
      </c>
      <c r="C57" t="str">
        <f>'Crosswalk_BEA_to_ISIC'!E63</f>
      </c>
      <c r="D57" t="str">
        <f>IFERROR(INDEX('1_Source_IndustryOutput'!$B$2:$B$72, MATCH($A57, '1_Source_IndustryOutput'!$A$2:$A$72, 0)), 0)</f>
      </c>
      <c r="E57" t="str">
        <f>C57*D57</f>
      </c>
    </row>
    <row r="58">
      <c r="A58" t="str">
        <f>'Crosswalk_BEA_to_ISIC'!A64</f>
      </c>
      <c r="B58" t="str">
        <f>'Crosswalk_BEA_to_ISIC'!C64</f>
      </c>
      <c r="C58" t="str">
        <f>'Crosswalk_BEA_to_ISIC'!E64</f>
      </c>
      <c r="D58" t="str">
        <f>IFERROR(INDEX('1_Source_IndustryOutput'!$B$2:$B$72, MATCH($A58, '1_Source_IndustryOutput'!$A$2:$A$72, 0)), 0)</f>
      </c>
      <c r="E58" t="str">
        <f>C58*D58</f>
      </c>
    </row>
    <row r="59">
      <c r="A59" t="str">
        <f>'Crosswalk_BEA_to_ISIC'!A65</f>
      </c>
      <c r="B59" t="str">
        <f>'Crosswalk_BEA_to_ISIC'!C65</f>
      </c>
      <c r="C59" t="str">
        <f>'Crosswalk_BEA_to_ISIC'!E65</f>
      </c>
      <c r="D59" t="str">
        <f>IFERROR(INDEX('1_Source_IndustryOutput'!$B$2:$B$72, MATCH($A59, '1_Source_IndustryOutput'!$A$2:$A$72, 0)), 0)</f>
      </c>
      <c r="E59" t="str">
        <f>C59*D59</f>
      </c>
    </row>
    <row r="60">
      <c r="A60" t="str">
        <f>'Crosswalk_BEA_to_ISIC'!A66</f>
      </c>
      <c r="B60" t="str">
        <f>'Crosswalk_BEA_to_ISIC'!C66</f>
      </c>
      <c r="C60" t="str">
        <f>'Crosswalk_BEA_to_ISIC'!E66</f>
      </c>
      <c r="D60" t="str">
        <f>IFERROR(INDEX('1_Source_IndustryOutput'!$B$2:$B$72, MATCH($A60, '1_Source_IndustryOutput'!$A$2:$A$72, 0)), 0)</f>
      </c>
      <c r="E60" t="str">
        <f>C60*D60</f>
      </c>
    </row>
    <row r="61">
      <c r="A61" t="str">
        <f>'Crosswalk_BEA_to_ISIC'!A67</f>
      </c>
      <c r="B61" t="str">
        <f>'Crosswalk_BEA_to_ISIC'!C67</f>
      </c>
      <c r="C61" t="str">
        <f>'Crosswalk_BEA_to_ISIC'!E67</f>
      </c>
      <c r="D61" t="str">
        <f>IFERROR(INDEX('1_Source_IndustryOutput'!$B$2:$B$72, MATCH($A61, '1_Source_IndustryOutput'!$A$2:$A$72, 0)), 0)</f>
      </c>
      <c r="E61" t="str">
        <f>C61*D61</f>
      </c>
    </row>
    <row r="62">
      <c r="A62" t="str">
        <f>'Crosswalk_BEA_to_ISIC'!A68</f>
      </c>
      <c r="B62" t="str">
        <f>'Crosswalk_BEA_to_ISIC'!C68</f>
      </c>
      <c r="C62" t="str">
        <f>'Crosswalk_BEA_to_ISIC'!E68</f>
      </c>
      <c r="D62" t="str">
        <f>IFERROR(INDEX('1_Source_IndustryOutput'!$B$2:$B$72, MATCH($A62, '1_Source_IndustryOutput'!$A$2:$A$72, 0)), 0)</f>
      </c>
      <c r="E62" t="str">
        <f>C62*D62</f>
      </c>
    </row>
    <row r="63">
      <c r="A63" t="str">
        <f>'Crosswalk_BEA_to_ISIC'!A69</f>
      </c>
      <c r="B63" t="str">
        <f>'Crosswalk_BEA_to_ISIC'!C69</f>
      </c>
      <c r="C63" t="str">
        <f>'Crosswalk_BEA_to_ISIC'!E69</f>
      </c>
      <c r="D63" t="str">
        <f>IFERROR(INDEX('1_Source_IndustryOutput'!$B$2:$B$72, MATCH($A63, '1_Source_IndustryOutput'!$A$2:$A$72, 0)), 0)</f>
      </c>
      <c r="E63" t="str">
        <f>C63*D63</f>
      </c>
    </row>
    <row r="64">
      <c r="A64" t="str">
        <f>'Crosswalk_BEA_to_ISIC'!A70</f>
      </c>
      <c r="B64" t="str">
        <f>'Crosswalk_BEA_to_ISIC'!C70</f>
      </c>
      <c r="C64" t="str">
        <f>'Crosswalk_BEA_to_ISIC'!E70</f>
      </c>
      <c r="D64" t="str">
        <f>IFERROR(INDEX('1_Source_IndustryOutput'!$B$2:$B$72, MATCH($A64, '1_Source_IndustryOutput'!$A$2:$A$72, 0)), 0)</f>
      </c>
      <c r="E64" t="str">
        <f>C64*D64</f>
      </c>
    </row>
    <row r="65">
      <c r="A65" t="str">
        <f>'Crosswalk_BEA_to_ISIC'!A71</f>
      </c>
      <c r="B65" t="str">
        <f>'Crosswalk_BEA_to_ISIC'!C71</f>
      </c>
      <c r="C65" t="str">
        <f>'Crosswalk_BEA_to_ISIC'!E71</f>
      </c>
      <c r="D65" t="str">
        <f>IFERROR(INDEX('1_Source_IndustryOutput'!$B$2:$B$72, MATCH($A65, '1_Source_IndustryOutput'!$A$2:$A$72, 0)), 0)</f>
      </c>
      <c r="E65" t="str">
        <f>C65*D65</f>
      </c>
    </row>
    <row r="66">
      <c r="A66" t="str">
        <f>'Crosswalk_BEA_to_ISIC'!A72</f>
      </c>
      <c r="B66" t="str">
        <f>'Crosswalk_BEA_to_ISIC'!C72</f>
      </c>
      <c r="C66" t="str">
        <f>'Crosswalk_BEA_to_ISIC'!E72</f>
      </c>
      <c r="D66" t="str">
        <f>IFERROR(INDEX('1_Source_IndustryOutput'!$B$2:$B$72, MATCH($A66, '1_Source_IndustryOutput'!$A$2:$A$72, 0)), 0)</f>
      </c>
      <c r="E66" t="str">
        <f>C66*D66</f>
      </c>
    </row>
    <row r="67">
      <c r="A67" t="str">
        <f>'Crosswalk_BEA_to_ISIC'!A73</f>
      </c>
      <c r="B67" t="str">
        <f>'Crosswalk_BEA_to_ISIC'!C73</f>
      </c>
      <c r="C67" t="str">
        <f>'Crosswalk_BEA_to_ISIC'!E73</f>
      </c>
      <c r="D67" t="str">
        <f>IFERROR(INDEX('1_Source_IndustryOutput'!$B$2:$B$72, MATCH($A67, '1_Source_IndustryOutput'!$A$2:$A$72, 0)), 0)</f>
      </c>
      <c r="E67" t="str">
        <f>C67*D67</f>
      </c>
    </row>
    <row r="68">
      <c r="A68" t="str">
        <f>'Crosswalk_BEA_to_ISIC'!A74</f>
      </c>
      <c r="B68" t="str">
        <f>'Crosswalk_BEA_to_ISIC'!C74</f>
      </c>
      <c r="C68" t="str">
        <f>'Crosswalk_BEA_to_ISIC'!E74</f>
      </c>
      <c r="D68" t="str">
        <f>IFERROR(INDEX('1_Source_IndustryOutput'!$B$2:$B$72, MATCH($A68, '1_Source_IndustryOutput'!$A$2:$A$72, 0)), 0)</f>
      </c>
      <c r="E68" t="str">
        <f>C68*D68</f>
      </c>
    </row>
    <row r="69">
      <c r="A69" t="str">
        <f>'Crosswalk_BEA_to_ISIC'!A75</f>
      </c>
      <c r="B69" t="str">
        <f>'Crosswalk_BEA_to_ISIC'!C75</f>
      </c>
      <c r="C69" t="str">
        <f>'Crosswalk_BEA_to_ISIC'!E75</f>
      </c>
      <c r="D69" t="str">
        <f>IFERROR(INDEX('1_Source_IndustryOutput'!$B$2:$B$72, MATCH($A69, '1_Source_IndustryOutput'!$A$2:$A$72, 0)), 0)</f>
      </c>
      <c r="E69" t="str">
        <f>C69*D69</f>
      </c>
    </row>
    <row r="70">
      <c r="A70" t="str">
        <f>'Crosswalk_BEA_to_ISIC'!A76</f>
      </c>
      <c r="B70" t="str">
        <f>'Crosswalk_BEA_to_ISIC'!C76</f>
      </c>
      <c r="C70" t="str">
        <f>'Crosswalk_BEA_to_ISIC'!E76</f>
      </c>
      <c r="D70" t="str">
        <f>IFERROR(INDEX('1_Source_IndustryOutput'!$B$2:$B$72, MATCH($A70, '1_Source_IndustryOutput'!$A$2:$A$72, 0)), 0)</f>
      </c>
      <c r="E70" t="str">
        <f>C70*D70</f>
      </c>
    </row>
    <row r="71">
      <c r="A71" t="str">
        <f>'Crosswalk_BEA_to_ISIC'!A77</f>
      </c>
      <c r="B71" t="str">
        <f>'Crosswalk_BEA_to_ISIC'!C77</f>
      </c>
      <c r="C71" t="str">
        <f>'Crosswalk_BEA_to_ISIC'!E77</f>
      </c>
      <c r="D71" t="str">
        <f>IFERROR(INDEX('1_Source_IndustryOutput'!$B$2:$B$72, MATCH($A71, '1_Source_IndustryOutput'!$A$2:$A$72, 0)), 0)</f>
      </c>
      <c r="E71" t="str">
        <f>C71*D71</f>
      </c>
    </row>
    <row r="72">
      <c r="A72" t="str">
        <f>'Crosswalk_BEA_to_ISIC'!A78</f>
      </c>
      <c r="B72" t="str">
        <f>'Crosswalk_BEA_to_ISIC'!C78</f>
      </c>
      <c r="C72" t="str">
        <f>'Crosswalk_BEA_to_ISIC'!E78</f>
      </c>
      <c r="D72" t="str">
        <f>IFERROR(INDEX('1_Source_IndustryOutput'!$B$2:$B$72, MATCH($A72, '1_Source_IndustryOutput'!$A$2:$A$72, 0)), 0)</f>
      </c>
      <c r="E72" t="str">
        <f>C72*D72</f>
      </c>
    </row>
    <row r="73">
      <c r="A73" t="str">
        <f>'Crosswalk_BEA_to_ISIC'!A79</f>
      </c>
      <c r="B73" t="str">
        <f>'Crosswalk_BEA_to_ISIC'!C79</f>
      </c>
      <c r="C73" t="str">
        <f>'Crosswalk_BEA_to_ISIC'!E79</f>
      </c>
      <c r="D73" t="str">
        <f>IFERROR(INDEX('1_Source_IndustryOutput'!$B$2:$B$72, MATCH($A73, '1_Source_IndustryOutput'!$A$2:$A$72, 0)), 0)</f>
      </c>
      <c r="E73" t="str">
        <f>C73*D73</f>
      </c>
    </row>
    <row r="74">
      <c r="A74" t="str">
        <f>'Crosswalk_BEA_to_ISIC'!A80</f>
      </c>
      <c r="B74" t="str">
        <f>'Crosswalk_BEA_to_ISIC'!C80</f>
      </c>
      <c r="C74" t="str">
        <f>'Crosswalk_BEA_to_ISIC'!E80</f>
      </c>
      <c r="D74" t="str">
        <f>IFERROR(INDEX('1_Source_IndustryOutput'!$B$2:$B$72, MATCH($A74, '1_Source_IndustryOutput'!$A$2:$A$72, 0)), 0)</f>
      </c>
      <c r="E74" t="str">
        <f>C74*D74</f>
      </c>
    </row>
    <row r="75">
      <c r="A75" t="str">
        <f>'Crosswalk_BEA_to_ISIC'!A81</f>
      </c>
      <c r="B75" t="str">
        <f>'Crosswalk_BEA_to_ISIC'!C81</f>
      </c>
      <c r="C75" t="str">
        <f>'Crosswalk_BEA_to_ISIC'!E81</f>
      </c>
      <c r="D75" t="str">
        <f>IFERROR(INDEX('1_Source_IndustryOutput'!$B$2:$B$72, MATCH($A75, '1_Source_IndustryOutput'!$A$2:$A$72, 0)), 0)</f>
      </c>
      <c r="E75" t="str">
        <f>C75*D75</f>
      </c>
    </row>
    <row r="76">
      <c r="A76" t="str">
        <f>'Crosswalk_BEA_to_ISIC'!A82</f>
      </c>
      <c r="B76" t="str">
        <f>'Crosswalk_BEA_to_ISIC'!C82</f>
      </c>
      <c r="C76" t="str">
        <f>'Crosswalk_BEA_to_ISIC'!E82</f>
      </c>
      <c r="D76" t="str">
        <f>IFERROR(INDEX('1_Source_IndustryOutput'!$B$2:$B$72, MATCH($A76, '1_Source_IndustryOutput'!$A$2:$A$72, 0)), 0)</f>
      </c>
      <c r="E76" t="str">
        <f>C76*D76</f>
      </c>
    </row>
    <row r="77">
      <c r="A77" t="str">
        <f>'Crosswalk_BEA_to_ISIC'!A83</f>
      </c>
      <c r="B77" t="str">
        <f>'Crosswalk_BEA_to_ISIC'!C83</f>
      </c>
      <c r="C77" t="str">
        <f>'Crosswalk_BEA_to_ISIC'!E83</f>
      </c>
      <c r="D77" t="str">
        <f>IFERROR(INDEX('1_Source_IndustryOutput'!$B$2:$B$72, MATCH($A77, '1_Source_IndustryOutput'!$A$2:$A$72, 0)), 0)</f>
      </c>
      <c r="E77" t="str">
        <f>C77*D77</f>
      </c>
    </row>
    <row r="78">
      <c r="A78" t="str">
        <f>'Crosswalk_BEA_to_ISIC'!A84</f>
      </c>
      <c r="B78" t="str">
        <f>'Crosswalk_BEA_to_ISIC'!C84</f>
      </c>
      <c r="C78" t="str">
        <f>'Crosswalk_BEA_to_ISIC'!E84</f>
      </c>
      <c r="D78" t="str">
        <f>IFERROR(INDEX('1_Source_IndustryOutput'!$B$2:$B$72, MATCH($A78, '1_Source_IndustryOutput'!$A$2:$A$72, 0)), 0)</f>
      </c>
      <c r="E78" t="str">
        <f>C78*D78</f>
      </c>
    </row>
    <row r="79">
      <c r="A79" t="str">
        <f>'Crosswalk_BEA_to_ISIC'!A85</f>
      </c>
      <c r="B79" t="str">
        <f>'Crosswalk_BEA_to_ISIC'!C85</f>
      </c>
      <c r="C79" t="str">
        <f>'Crosswalk_BEA_to_ISIC'!E85</f>
      </c>
      <c r="D79" t="str">
        <f>IFERROR(INDEX('1_Source_IndustryOutput'!$B$2:$B$72, MATCH($A79, '1_Source_IndustryOutput'!$A$2:$A$72, 0)), 0)</f>
      </c>
      <c r="E79" t="str">
        <f>C79*D79</f>
      </c>
    </row>
    <row r="80">
      <c r="A80" t="str">
        <f>'Crosswalk_BEA_to_ISIC'!A86</f>
      </c>
      <c r="B80" t="str">
        <f>'Crosswalk_BEA_to_ISIC'!C86</f>
      </c>
      <c r="C80" t="str">
        <f>'Crosswalk_BEA_to_ISIC'!E86</f>
      </c>
      <c r="D80" t="str">
        <f>IFERROR(INDEX('1_Source_IndustryOutput'!$B$2:$B$72, MATCH($A80, '1_Source_IndustryOutput'!$A$2:$A$72, 0)), 0)</f>
      </c>
      <c r="E80" t="str">
        <f>C80*D80</f>
      </c>
    </row>
    <row r="81">
      <c r="A81" t="str">
        <f>'Crosswalk_BEA_to_ISIC'!A87</f>
      </c>
      <c r="B81" t="str">
        <f>'Crosswalk_BEA_to_ISIC'!C87</f>
      </c>
      <c r="C81" t="str">
        <f>'Crosswalk_BEA_to_ISIC'!E87</f>
      </c>
      <c r="D81" t="str">
        <f>IFERROR(INDEX('1_Source_IndustryOutput'!$B$2:$B$72, MATCH($A81, '1_Source_IndustryOutput'!$A$2:$A$72, 0)), 0)</f>
      </c>
      <c r="E81" t="str">
        <f>C81*D81</f>
      </c>
    </row>
    <row r="83">
      <c r="A83" t="s">
        <v>578</v>
      </c>
    </row>
    <row r="84">
      <c r="A84" t="s">
        <v>323</v>
      </c>
      <c r="B84" t="s">
        <v>579</v>
      </c>
      <c r="C84" t="s">
        <v>580</v>
      </c>
    </row>
    <row r="85">
      <c r="A85" t="s">
        <v>329</v>
      </c>
      <c r="B85" t="str">
        <f>SUMIFS('5_Calc_ISIC_aggregation'!$E$3:$E$81, '5_Calc_ISIC_aggregation'!$B$3:$B$81, $A85)</f>
      </c>
      <c r="C85" t="str">
        <f>B85/Keys!$C$2</f>
      </c>
    </row>
    <row r="86">
      <c r="A86" t="s">
        <v>471</v>
      </c>
      <c r="B86" t="str">
        <f>SUMIFS('5_Calc_ISIC_aggregation'!$E$3:$E$81, '5_Calc_ISIC_aggregation'!$B$3:$B$81, $A86)</f>
      </c>
      <c r="C86" t="str">
        <f>B86/Keys!$C$2</f>
      </c>
    </row>
    <row r="87">
      <c r="A87" t="s">
        <v>333</v>
      </c>
      <c r="B87" t="str">
        <f>SUMIFS('5_Calc_ISIC_aggregation'!$E$3:$E$81, '5_Calc_ISIC_aggregation'!$B$3:$B$81, $A87)</f>
      </c>
      <c r="C87" t="str">
        <f>B87/Keys!$C$2</f>
      </c>
    </row>
    <row r="88">
      <c r="A88" t="s">
        <v>474</v>
      </c>
      <c r="B88" t="str">
        <f>SUMIFS('5_Calc_ISIC_aggregation'!$E$3:$E$81, '5_Calc_ISIC_aggregation'!$B$3:$B$81, $A88)</f>
      </c>
      <c r="C88" t="str">
        <f>B88/Keys!$C$2</f>
      </c>
    </row>
    <row r="89">
      <c r="A89" t="s">
        <v>336</v>
      </c>
      <c r="B89" t="str">
        <f>SUMIFS('5_Calc_ISIC_aggregation'!$E$3:$E$81, '5_Calc_ISIC_aggregation'!$B$3:$B$81, $A89)</f>
      </c>
      <c r="C89" t="str">
        <f>B89/Keys!$C$2</f>
      </c>
    </row>
    <row r="90">
      <c r="A90" t="s">
        <v>351</v>
      </c>
      <c r="B90" t="str">
        <f>SUMIFS('5_Calc_ISIC_aggregation'!$E$3:$E$81, '5_Calc_ISIC_aggregation'!$B$3:$B$81, $A90)</f>
      </c>
      <c r="C90" t="str">
        <f>B90/Keys!$C$2</f>
      </c>
    </row>
    <row r="91">
      <c r="A91" t="s">
        <v>354</v>
      </c>
      <c r="B91" t="str">
        <f>SUMIFS('5_Calc_ISIC_aggregation'!$E$3:$E$81, '5_Calc_ISIC_aggregation'!$B$3:$B$81, $A91)</f>
      </c>
      <c r="C91" t="str">
        <f>B91/Keys!$C$2</f>
      </c>
    </row>
    <row r="92">
      <c r="A92" t="s">
        <v>358</v>
      </c>
      <c r="B92" t="str">
        <f>SUMIFS('5_Calc_ISIC_aggregation'!$E$3:$E$81, '5_Calc_ISIC_aggregation'!$B$3:$B$81, $A92)</f>
      </c>
      <c r="C92" t="str">
        <f>B92/Keys!$C$2</f>
      </c>
    </row>
    <row r="93">
      <c r="A93" t="s">
        <v>361</v>
      </c>
      <c r="B93" t="str">
        <f>SUMIFS('5_Calc_ISIC_aggregation'!$E$3:$E$81, '5_Calc_ISIC_aggregation'!$B$3:$B$81, $A93)</f>
      </c>
      <c r="C93" t="str">
        <f>B93/Keys!$C$2</f>
      </c>
    </row>
    <row r="94">
      <c r="A94" t="s">
        <v>365</v>
      </c>
      <c r="B94" t="str">
        <f>SUMIFS('5_Calc_ISIC_aggregation'!$E$3:$E$81, '5_Calc_ISIC_aggregation'!$B$3:$B$81, $A94)</f>
      </c>
      <c r="C94" t="str">
        <f>B94/Keys!$C$2</f>
      </c>
    </row>
    <row r="95">
      <c r="A95" t="s">
        <v>487</v>
      </c>
      <c r="B95" t="str">
        <f>SUMIFS('5_Calc_ISIC_aggregation'!$E$3:$E$81, '5_Calc_ISIC_aggregation'!$B$3:$B$81, $A95)</f>
      </c>
      <c r="C95" t="str">
        <f>B95/Keys!$C$2</f>
      </c>
    </row>
    <row r="96">
      <c r="A96" t="s">
        <v>490</v>
      </c>
      <c r="B96" t="str">
        <f>SUMIFS('5_Calc_ISIC_aggregation'!$E$3:$E$81, '5_Calc_ISIC_aggregation'!$B$3:$B$81, $A96)</f>
      </c>
      <c r="C96" t="str">
        <f>B96/Keys!$C$2</f>
      </c>
    </row>
    <row r="97">
      <c r="A97" t="s">
        <v>141</v>
      </c>
      <c r="B97" t="str">
        <f>SUMIFS('5_Calc_ISIC_aggregation'!$E$3:$E$81, '5_Calc_ISIC_aggregation'!$B$3:$B$81, $A97)</f>
      </c>
      <c r="C97" t="str">
        <f>B97/Keys!$C$2</f>
      </c>
    </row>
    <row r="98">
      <c r="A98" t="s">
        <v>477</v>
      </c>
      <c r="B98" t="str">
        <f>SUMIFS('5_Calc_ISIC_aggregation'!$E$3:$E$81, '5_Calc_ISIC_aggregation'!$B$3:$B$81, $A98)</f>
      </c>
      <c r="C98" t="str">
        <f>B98/Keys!$C$2</f>
      </c>
    </row>
    <row r="99">
      <c r="A99" t="s">
        <v>480</v>
      </c>
      <c r="B99" t="str">
        <f>SUMIFS('5_Calc_ISIC_aggregation'!$E$3:$E$81, '5_Calc_ISIC_aggregation'!$B$3:$B$81, $A99)</f>
      </c>
      <c r="C99" t="str">
        <f>B99/Keys!$C$2</f>
      </c>
    </row>
    <row r="100">
      <c r="A100" t="s">
        <v>368</v>
      </c>
      <c r="B100" t="str">
        <f>SUMIFS('5_Calc_ISIC_aggregation'!$E$3:$E$81, '5_Calc_ISIC_aggregation'!$B$3:$B$81, $A100)</f>
      </c>
      <c r="C100" t="str">
        <f>B100/Keys!$C$2</f>
      </c>
    </row>
    <row r="101">
      <c r="A101" t="s">
        <v>484</v>
      </c>
      <c r="B101" t="str">
        <f>SUMIFS('5_Calc_ISIC_aggregation'!$E$3:$E$81, '5_Calc_ISIC_aggregation'!$B$3:$B$81, $A101)</f>
      </c>
      <c r="C101" t="str">
        <f>B101/Keys!$C$2</f>
      </c>
    </row>
    <row r="102">
      <c r="A102" t="s">
        <v>374</v>
      </c>
      <c r="B102" t="str">
        <f>SUMIFS('5_Calc_ISIC_aggregation'!$E$3:$E$81, '5_Calc_ISIC_aggregation'!$B$3:$B$81, $A102)</f>
      </c>
      <c r="C102" t="str">
        <f>B102/Keys!$C$2</f>
      </c>
    </row>
    <row r="103">
      <c r="A103" t="s">
        <v>379</v>
      </c>
      <c r="B103" t="str">
        <f>SUMIFS('5_Calc_ISIC_aggregation'!$E$3:$E$81, '5_Calc_ISIC_aggregation'!$B$3:$B$81, $A103)</f>
      </c>
      <c r="C103" t="str">
        <f>B103/Keys!$C$2</f>
      </c>
    </row>
    <row r="104">
      <c r="A104" t="s">
        <v>382</v>
      </c>
      <c r="B104" t="str">
        <f>SUMIFS('5_Calc_ISIC_aggregation'!$E$3:$E$81, '5_Calc_ISIC_aggregation'!$B$3:$B$81, $A104)</f>
      </c>
      <c r="C104" t="str">
        <f>B104/Keys!$C$2</f>
      </c>
    </row>
    <row r="105">
      <c r="A105" t="s">
        <v>376</v>
      </c>
      <c r="B105" t="str">
        <f>SUMIFS('5_Calc_ISIC_aggregation'!$E$3:$E$81, '5_Calc_ISIC_aggregation'!$B$3:$B$81, $A105)</f>
      </c>
      <c r="C105" t="str">
        <f>B105/Keys!$C$2</f>
      </c>
    </row>
    <row r="106">
      <c r="A106" t="s">
        <v>385</v>
      </c>
      <c r="B106" t="str">
        <f>SUMIFS('5_Calc_ISIC_aggregation'!$E$3:$E$81, '5_Calc_ISIC_aggregation'!$B$3:$B$81, $A106)</f>
      </c>
      <c r="C106" t="str">
        <f>B106/Keys!$C$2</f>
      </c>
    </row>
    <row r="107">
      <c r="A107" t="s">
        <v>388</v>
      </c>
      <c r="B107" t="str">
        <f>SUMIFS('5_Calc_ISIC_aggregation'!$E$3:$E$81, '5_Calc_ISIC_aggregation'!$B$3:$B$81, $A107)</f>
      </c>
      <c r="C107" t="str">
        <f>B107/Keys!$C$2</f>
      </c>
    </row>
    <row r="108">
      <c r="A108" t="s">
        <v>391</v>
      </c>
      <c r="B108" t="str">
        <f>SUMIFS('5_Calc_ISIC_aggregation'!$E$3:$E$81, '5_Calc_ISIC_aggregation'!$B$3:$B$81, $A108)</f>
      </c>
      <c r="C108" t="str">
        <f>B108/Keys!$C$2</f>
      </c>
    </row>
    <row r="109">
      <c r="A109" t="s">
        <v>339</v>
      </c>
      <c r="B109" t="str">
        <f>SUMIFS('5_Calc_ISIC_aggregation'!$E$3:$E$81, '5_Calc_ISIC_aggregation'!$B$3:$B$81, $A109)</f>
      </c>
      <c r="C109" t="str">
        <f>B109/Keys!$C$2</f>
      </c>
    </row>
    <row r="110">
      <c r="A110" t="s">
        <v>342</v>
      </c>
      <c r="B110" t="str">
        <f>SUMIFS('5_Calc_ISIC_aggregation'!$E$3:$E$81, '5_Calc_ISIC_aggregation'!$B$3:$B$81, $A110)</f>
      </c>
      <c r="C110" t="str">
        <f>B110/Keys!$C$2</f>
      </c>
    </row>
    <row r="111">
      <c r="A111" t="s">
        <v>345</v>
      </c>
      <c r="B111" t="str">
        <f>SUMIFS('5_Calc_ISIC_aggregation'!$E$3:$E$81, '5_Calc_ISIC_aggregation'!$B$3:$B$81, $A111)</f>
      </c>
      <c r="C111" t="str">
        <f>B111/Keys!$C$2</f>
      </c>
    </row>
    <row r="112">
      <c r="A112" t="s">
        <v>349</v>
      </c>
      <c r="B112" t="str">
        <f>SUMIFS('5_Calc_ISIC_aggregation'!$E$3:$E$81, '5_Calc_ISIC_aggregation'!$B$3:$B$81, $A112)</f>
      </c>
      <c r="C112" t="str">
        <f>B112/Keys!$C$2</f>
      </c>
    </row>
    <row r="113">
      <c r="A113" t="s">
        <v>395</v>
      </c>
      <c r="B113" t="str">
        <f>SUMIFS('5_Calc_ISIC_aggregation'!$E$3:$E$81, '5_Calc_ISIC_aggregation'!$B$3:$B$81, $A113)</f>
      </c>
      <c r="C113" t="str">
        <f>B113/Keys!$C$2</f>
      </c>
    </row>
    <row r="114">
      <c r="A114" t="s">
        <v>402</v>
      </c>
      <c r="B114" t="str">
        <f>SUMIFS('5_Calc_ISIC_aggregation'!$E$3:$E$81, '5_Calc_ISIC_aggregation'!$B$3:$B$81, $A114)</f>
      </c>
      <c r="C114" t="str">
        <f>B114/Keys!$C$2</f>
      </c>
    </row>
    <row r="115">
      <c r="A115" t="s">
        <v>459</v>
      </c>
      <c r="B115" t="str">
        <f>SUMIFS('5_Calc_ISIC_aggregation'!$E$3:$E$81, '5_Calc_ISIC_aggregation'!$B$3:$B$81, $A115)</f>
      </c>
      <c r="C115" t="str">
        <f>B115/Keys!$C$2</f>
      </c>
    </row>
    <row r="116">
      <c r="A116" t="s">
        <v>414</v>
      </c>
      <c r="B116" t="str">
        <f>SUMIFS('5_Calc_ISIC_aggregation'!$E$3:$E$81, '5_Calc_ISIC_aggregation'!$B$3:$B$81, $A116)</f>
      </c>
      <c r="C116" t="str">
        <f>B116/Keys!$C$2</f>
      </c>
    </row>
    <row r="117">
      <c r="A117" t="s">
        <v>192</v>
      </c>
      <c r="B117" t="str">
        <f>SUMIFS('5_Calc_ISIC_aggregation'!$E$3:$E$81, '5_Calc_ISIC_aggregation'!$B$3:$B$81, $A117)</f>
      </c>
      <c r="C117" t="str">
        <f>B117/Keys!$C$2</f>
      </c>
    </row>
    <row r="118">
      <c r="A118" t="s">
        <v>421</v>
      </c>
      <c r="B118" t="str">
        <f>SUMIFS('5_Calc_ISIC_aggregation'!$E$3:$E$81, '5_Calc_ISIC_aggregation'!$B$3:$B$81, $A118)</f>
      </c>
      <c r="C118" t="str">
        <f>B118/Keys!$C$2</f>
      </c>
    </row>
    <row r="119">
      <c r="A119" t="s">
        <v>424</v>
      </c>
      <c r="B119" t="str">
        <f>SUMIFS('5_Calc_ISIC_aggregation'!$E$3:$E$81, '5_Calc_ISIC_aggregation'!$B$3:$B$81, $A119)</f>
      </c>
      <c r="C119" t="str">
        <f>B119/Keys!$C$2</f>
      </c>
    </row>
    <row r="120">
      <c r="A120" t="s">
        <v>430</v>
      </c>
      <c r="B120" t="str">
        <f>SUMIFS('5_Calc_ISIC_aggregation'!$E$3:$E$81, '5_Calc_ISIC_aggregation'!$B$3:$B$81, $A120)</f>
      </c>
      <c r="C120" t="str">
        <f>B120/Keys!$C$2</f>
      </c>
    </row>
    <row r="121">
      <c r="A121" t="s">
        <v>434</v>
      </c>
      <c r="B121" t="str">
        <f>SUMIFS('5_Calc_ISIC_aggregation'!$E$3:$E$81, '5_Calc_ISIC_aggregation'!$B$3:$B$81, $A121)</f>
      </c>
      <c r="C121" t="str">
        <f>B121/Keys!$C$2</f>
      </c>
    </row>
    <row r="122">
      <c r="A122" t="s">
        <v>464</v>
      </c>
      <c r="B122" t="str">
        <f>SUMIFS('5_Calc_ISIC_aggregation'!$E$3:$E$81, '5_Calc_ISIC_aggregation'!$B$3:$B$81, $A122)</f>
      </c>
      <c r="C122" t="str">
        <f>B122/Keys!$C$2</f>
      </c>
    </row>
    <row r="123">
      <c r="A123" t="s">
        <v>446</v>
      </c>
      <c r="B123" t="str">
        <f>SUMIFS('5_Calc_ISIC_aggregation'!$E$3:$E$81, '5_Calc_ISIC_aggregation'!$B$3:$B$81, $A123)</f>
      </c>
      <c r="C123" t="str">
        <f>B123/Keys!$C$2</f>
      </c>
    </row>
    <row r="124">
      <c r="A124" t="s">
        <v>449</v>
      </c>
      <c r="B124" t="str">
        <f>SUMIFS('5_Calc_ISIC_aggregation'!$E$3:$E$81, '5_Calc_ISIC_aggregation'!$B$3:$B$81, $A124)</f>
      </c>
      <c r="C124" t="str">
        <f>B124/Keys!$C$2</f>
      </c>
    </row>
    <row r="125">
      <c r="A125" t="s">
        <v>455</v>
      </c>
      <c r="B125" t="str">
        <f>SUMIFS('5_Calc_ISIC_aggregation'!$E$3:$E$81, '5_Calc_ISIC_aggregation'!$B$3:$B$81, $A125)</f>
      </c>
      <c r="C125" t="str">
        <f>B125/Keys!$C$2</f>
      </c>
    </row>
    <row r="126">
      <c r="A126" t="s">
        <v>572</v>
      </c>
      <c r="B126" t="str">
        <f>SUMIFS('5_Calc_ISIC_aggregation'!$E$3:$E$81, '5_Calc_ISIC_aggregation'!$B$3:$B$81, $A126)</f>
      </c>
      <c r="C126" t="str">
        <f>B126/Keys!$C$2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sheetData>
    <row r="1">
      <c r="A1" t="s">
        <v>581</v>
      </c>
      <c r="B1" t="s">
        <v>329</v>
      </c>
      <c r="C1" t="s">
        <v>471</v>
      </c>
      <c r="D1" t="s">
        <v>333</v>
      </c>
      <c r="E1" t="s">
        <v>474</v>
      </c>
      <c r="F1" t="s">
        <v>336</v>
      </c>
      <c r="G1" t="s">
        <v>351</v>
      </c>
      <c r="H1" t="s">
        <v>354</v>
      </c>
      <c r="I1" t="s">
        <v>358</v>
      </c>
      <c r="J1" t="s">
        <v>361</v>
      </c>
      <c r="K1" t="s">
        <v>365</v>
      </c>
      <c r="L1" t="s">
        <v>487</v>
      </c>
      <c r="M1" t="s">
        <v>490</v>
      </c>
      <c r="N1" t="s">
        <v>141</v>
      </c>
      <c r="O1" t="s">
        <v>477</v>
      </c>
      <c r="P1" t="s">
        <v>480</v>
      </c>
      <c r="Q1" t="s">
        <v>368</v>
      </c>
      <c r="R1" t="s">
        <v>484</v>
      </c>
      <c r="S1" t="s">
        <v>374</v>
      </c>
      <c r="T1" t="s">
        <v>379</v>
      </c>
      <c r="U1" t="s">
        <v>382</v>
      </c>
      <c r="V1" t="s">
        <v>376</v>
      </c>
      <c r="W1" t="s">
        <v>385</v>
      </c>
      <c r="X1" t="s">
        <v>388</v>
      </c>
      <c r="Y1" t="s">
        <v>391</v>
      </c>
      <c r="Z1" t="s">
        <v>339</v>
      </c>
      <c r="AA1" t="s">
        <v>342</v>
      </c>
      <c r="AB1" t="s">
        <v>345</v>
      </c>
      <c r="AC1" t="s">
        <v>349</v>
      </c>
      <c r="AD1" t="s">
        <v>395</v>
      </c>
      <c r="AE1" t="s">
        <v>402</v>
      </c>
      <c r="AF1" t="s">
        <v>459</v>
      </c>
      <c r="AG1" t="s">
        <v>414</v>
      </c>
      <c r="AH1" t="s">
        <v>192</v>
      </c>
      <c r="AI1" t="s">
        <v>421</v>
      </c>
      <c r="AJ1" t="s">
        <v>424</v>
      </c>
      <c r="AK1" t="s">
        <v>430</v>
      </c>
      <c r="AL1" t="s">
        <v>434</v>
      </c>
      <c r="AM1" t="s">
        <v>464</v>
      </c>
      <c r="AN1" t="s">
        <v>446</v>
      </c>
      <c r="AO1" t="s">
        <v>449</v>
      </c>
      <c r="AP1" t="s">
        <v>455</v>
      </c>
      <c r="AQ1" t="s">
        <v>572</v>
      </c>
    </row>
    <row r="2">
      <c r="A2" t="s">
        <v>582</v>
      </c>
      <c r="B2" t="str">
        <f>INDEX('5_Calc_ISIC_aggregation'!$C$85:$C$126, MATCH(B$1, '5_Calc_ISIC_aggregation'!$A$85:$A$126, 0))</f>
      </c>
      <c r="C2" t="str">
        <f>INDEX('5_Calc_ISIC_aggregation'!$C$85:$C$126, MATCH(C$1, '5_Calc_ISIC_aggregation'!$A$85:$A$126, 0))</f>
      </c>
      <c r="D2" t="str">
        <f>INDEX('5_Calc_ISIC_aggregation'!$C$85:$C$126, MATCH(D$1, '5_Calc_ISIC_aggregation'!$A$85:$A$126, 0))</f>
      </c>
      <c r="E2" t="str">
        <f>INDEX('5_Calc_ISIC_aggregation'!$C$85:$C$126, MATCH(E$1, '5_Calc_ISIC_aggregation'!$A$85:$A$126, 0))</f>
      </c>
      <c r="F2" t="str">
        <f>INDEX('5_Calc_ISIC_aggregation'!$C$85:$C$126, MATCH(F$1, '5_Calc_ISIC_aggregation'!$A$85:$A$126, 0))</f>
      </c>
      <c r="G2" t="str">
        <f>INDEX('5_Calc_ISIC_aggregation'!$C$85:$C$126, MATCH(G$1, '5_Calc_ISIC_aggregation'!$A$85:$A$126, 0))</f>
      </c>
      <c r="H2" t="str">
        <f>INDEX('5_Calc_ISIC_aggregation'!$C$85:$C$126, MATCH(H$1, '5_Calc_ISIC_aggregation'!$A$85:$A$126, 0))</f>
      </c>
      <c r="I2" t="str">
        <f>INDEX('5_Calc_ISIC_aggregation'!$C$85:$C$126, MATCH(I$1, '5_Calc_ISIC_aggregation'!$A$85:$A$126, 0))</f>
      </c>
      <c r="J2" t="str">
        <f>INDEX('5_Calc_ISIC_aggregation'!$C$85:$C$126, MATCH(J$1, '5_Calc_ISIC_aggregation'!$A$85:$A$126, 0))</f>
      </c>
      <c r="K2" t="str">
        <f>INDEX('5_Calc_ISIC_aggregation'!$C$85:$C$126, MATCH(K$1, '5_Calc_ISIC_aggregation'!$A$85:$A$126, 0))</f>
      </c>
      <c r="L2" t="str">
        <f>INDEX('5_Calc_ISIC_aggregation'!$C$85:$C$126, MATCH(L$1, '5_Calc_ISIC_aggregation'!$A$85:$A$126, 0))</f>
      </c>
      <c r="M2" t="str">
        <f>INDEX('5_Calc_ISIC_aggregation'!$C$85:$C$126, MATCH(M$1, '5_Calc_ISIC_aggregation'!$A$85:$A$126, 0))</f>
      </c>
      <c r="N2" t="str">
        <f>INDEX('5_Calc_ISIC_aggregation'!$C$85:$C$126, MATCH(N$1, '5_Calc_ISIC_aggregation'!$A$85:$A$126, 0))</f>
      </c>
      <c r="O2" t="str">
        <f>INDEX('5_Calc_ISIC_aggregation'!$C$85:$C$126, MATCH(O$1, '5_Calc_ISIC_aggregation'!$A$85:$A$126, 0))</f>
      </c>
      <c r="P2" t="str">
        <f>INDEX('5_Calc_ISIC_aggregation'!$C$85:$C$126, MATCH(P$1, '5_Calc_ISIC_aggregation'!$A$85:$A$126, 0))</f>
      </c>
      <c r="Q2" t="str">
        <f>INDEX('5_Calc_ISIC_aggregation'!$C$85:$C$126, MATCH(Q$1, '5_Calc_ISIC_aggregation'!$A$85:$A$126, 0))</f>
      </c>
      <c r="R2" t="str">
        <f>INDEX('5_Calc_ISIC_aggregation'!$C$85:$C$126, MATCH(R$1, '5_Calc_ISIC_aggregation'!$A$85:$A$126, 0))</f>
      </c>
      <c r="S2" t="str">
        <f>INDEX('5_Calc_ISIC_aggregation'!$C$85:$C$126, MATCH(S$1, '5_Calc_ISIC_aggregation'!$A$85:$A$126, 0))</f>
      </c>
      <c r="T2" t="str">
        <f>INDEX('5_Calc_ISIC_aggregation'!$C$85:$C$126, MATCH(T$1, '5_Calc_ISIC_aggregation'!$A$85:$A$126, 0))</f>
      </c>
      <c r="U2" t="str">
        <f>INDEX('5_Calc_ISIC_aggregation'!$C$85:$C$126, MATCH(U$1, '5_Calc_ISIC_aggregation'!$A$85:$A$126, 0))</f>
      </c>
      <c r="V2" t="str">
        <f>INDEX('5_Calc_ISIC_aggregation'!$C$85:$C$126, MATCH(V$1, '5_Calc_ISIC_aggregation'!$A$85:$A$126, 0))</f>
      </c>
      <c r="W2" t="str">
        <f>INDEX('5_Calc_ISIC_aggregation'!$C$85:$C$126, MATCH(W$1, '5_Calc_ISIC_aggregation'!$A$85:$A$126, 0))</f>
      </c>
      <c r="X2" t="str">
        <f>INDEX('5_Calc_ISIC_aggregation'!$C$85:$C$126, MATCH(X$1, '5_Calc_ISIC_aggregation'!$A$85:$A$126, 0))</f>
      </c>
      <c r="Y2" t="str">
        <f>INDEX('5_Calc_ISIC_aggregation'!$C$85:$C$126, MATCH(Y$1, '5_Calc_ISIC_aggregation'!$A$85:$A$126, 0))</f>
      </c>
      <c r="Z2" t="str">
        <f>INDEX('5_Calc_ISIC_aggregation'!$C$85:$C$126, MATCH(Z$1, '5_Calc_ISIC_aggregation'!$A$85:$A$126, 0))</f>
      </c>
      <c r="AA2" t="str">
        <f>INDEX('5_Calc_ISIC_aggregation'!$C$85:$C$126, MATCH(AA$1, '5_Calc_ISIC_aggregation'!$A$85:$A$126, 0))</f>
      </c>
      <c r="AB2" t="str">
        <f>INDEX('5_Calc_ISIC_aggregation'!$C$85:$C$126, MATCH(AB$1, '5_Calc_ISIC_aggregation'!$A$85:$A$126, 0))</f>
      </c>
      <c r="AC2" t="str">
        <f>INDEX('5_Calc_ISIC_aggregation'!$C$85:$C$126, MATCH(AC$1, '5_Calc_ISIC_aggregation'!$A$85:$A$126, 0))</f>
      </c>
      <c r="AD2" t="str">
        <f>INDEX('5_Calc_ISIC_aggregation'!$C$85:$C$126, MATCH(AD$1, '5_Calc_ISIC_aggregation'!$A$85:$A$126, 0))</f>
      </c>
      <c r="AE2" t="str">
        <f>INDEX('5_Calc_ISIC_aggregation'!$C$85:$C$126, MATCH(AE$1, '5_Calc_ISIC_aggregation'!$A$85:$A$126, 0))</f>
      </c>
      <c r="AF2" t="str">
        <f>INDEX('5_Calc_ISIC_aggregation'!$C$85:$C$126, MATCH(AF$1, '5_Calc_ISIC_aggregation'!$A$85:$A$126, 0))</f>
      </c>
      <c r="AG2" t="str">
        <f>INDEX('5_Calc_ISIC_aggregation'!$C$85:$C$126, MATCH(AG$1, '5_Calc_ISIC_aggregation'!$A$85:$A$126, 0))</f>
      </c>
      <c r="AH2" t="str">
        <f>INDEX('5_Calc_ISIC_aggregation'!$C$85:$C$126, MATCH(AH$1, '5_Calc_ISIC_aggregation'!$A$85:$A$126, 0))</f>
      </c>
      <c r="AI2" t="str">
        <f>INDEX('5_Calc_ISIC_aggregation'!$C$85:$C$126, MATCH(AI$1, '5_Calc_ISIC_aggregation'!$A$85:$A$126, 0))</f>
      </c>
      <c r="AJ2" t="str">
        <f>INDEX('5_Calc_ISIC_aggregation'!$C$85:$C$126, MATCH(AJ$1, '5_Calc_ISIC_aggregation'!$A$85:$A$126, 0))</f>
      </c>
      <c r="AK2" t="str">
        <f>INDEX('5_Calc_ISIC_aggregation'!$C$85:$C$126, MATCH(AK$1, '5_Calc_ISIC_aggregation'!$A$85:$A$126, 0))</f>
      </c>
      <c r="AL2" t="str">
        <f>INDEX('5_Calc_ISIC_aggregation'!$C$85:$C$126, MATCH(AL$1, '5_Calc_ISIC_aggregation'!$A$85:$A$126, 0))</f>
      </c>
      <c r="AM2" t="str">
        <f>INDEX('5_Calc_ISIC_aggregation'!$C$85:$C$126, MATCH(AM$1, '5_Calc_ISIC_aggregation'!$A$85:$A$126, 0))</f>
      </c>
      <c r="AN2" t="str">
        <f>INDEX('5_Calc_ISIC_aggregation'!$C$85:$C$126, MATCH(AN$1, '5_Calc_ISIC_aggregation'!$A$85:$A$126, 0))</f>
      </c>
      <c r="AO2" t="str">
        <f>INDEX('5_Calc_ISIC_aggregation'!$C$85:$C$126, MATCH(AO$1, '5_Calc_ISIC_aggregation'!$A$85:$A$126, 0))</f>
      </c>
      <c r="AP2" t="str">
        <f>INDEX('5_Calc_ISIC_aggregation'!$C$85:$C$126, MATCH(AP$1, '5_Calc_ISIC_aggregation'!$A$85:$A$126, 0))</f>
      </c>
      <c r="AQ2" t="str">
        <f>INDEX('5_Calc_ISIC_aggregation'!$C$85:$C$126, MATCH(AQ$1, '5_Calc_ISIC_aggregation'!$A$85:$A$126, 0))</f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OliviaAshmoore</dc:creator>
  <cp:lastModifiedBy>OliviaAshmoore</cp:lastModifiedBy>
  <dcterms:created xsi:type="dcterms:W3CDTF">2026-07-17T19:25:56Z</dcterms:created>
</coreProperties>
</file>