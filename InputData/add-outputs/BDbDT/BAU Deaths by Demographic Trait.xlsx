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58CB9146-8B4B-414A-98F5-A91863C1F1F8}"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<sst xmlns="http://schemas.openxmlformats.org/spreadsheetml/2006/main" count="5677" uniqueCount="335">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</sst>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147</v>
      </c>
    </row>
    <row r="2" spans="1:2" x14ac:dyDescent="0.25">
      <c r="A2" s="3" t="s">
        <v>2</v>
      </c>
      <c r="B2" s="4" t="str">
        <f>IFERROR(INDEX(Geography!B:B, MATCH($B$1, Geography!C:C, 0)), "")</f>
        <v>OK</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2038299</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4095393</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1.003928056152227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2057094</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4095393</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0.99613803465148743</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2973266</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4095393</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0.96610711616066947</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325186</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4095393</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0.58123143902909225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113469</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4095393</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0.42908820001259496</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683472</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4095393</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3.5248801131881189</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551224</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4095393</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0.6897424310825655</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3544169</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4095393</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1.0752224475256973</v>
      </c>
    </row>
    <row r="12" spans="1:28" x14ac:dyDescent="0.25">
      <c r="A12" s="4" t="s">
        <v>319</v>
      </c>
    </row>
    <row r="13" spans="1:28" x14ac:dyDescent="0.25">
      <c r="A13" s="4" t="s">
        <v>320</v>
      </c>
      <c r="B13" s="37">
        <f>INDEX(Census_pop_2020_2025!G:G, MATCH("."&amp;About!$B$1, Census_pop_2020_2025!A:A, 0))</f>
        <v>4097758</v>
      </c>
      <c r="C13" s="37">
        <f>INDEX(Census_pop_2020_2025!H:H, MATCH("."&amp;About!$B$1, Census_pop_2020_2025!A:A, 0))</f>
        <v>4123288</v>
      </c>
      <c r="D13" s="37">
        <f>INDEX(Census_pop_2020_2025!H:H, MATCH("."&amp;About!$B$1, Census_pop_2020_2025!A:A, 0))+0.2*(INDEX(Cooper_pop_2030_2050!D:D, MATCH(About!$B$1, Cooper_pop_2030_2050!B:B, 0))-INDEX(Census_pop_2020_2025!H:H, MATCH("."&amp;About!$B$1, Census_pop_2020_2025!A:A, 0)))</f>
        <v>4122854.6133530829</v>
      </c>
      <c r="E13" s="37">
        <f>INDEX(Census_pop_2020_2025!H:H, MATCH("."&amp;About!$B$1, Census_pop_2020_2025!A:A, 0))+0.4*(INDEX(Cooper_pop_2030_2050!D:D, MATCH(About!$B$1, Cooper_pop_2030_2050!B:B, 0))-INDEX(Census_pop_2020_2025!H:H, MATCH("."&amp;About!$B$1, Census_pop_2020_2025!A:A, 0)))</f>
        <v>4122421.2267061658</v>
      </c>
      <c r="F13" s="37">
        <f>INDEX(Census_pop_2020_2025!H:H, MATCH("."&amp;About!$B$1, Census_pop_2020_2025!A:A, 0))+0.6*(INDEX(Cooper_pop_2030_2050!D:D, MATCH(About!$B$1, Cooper_pop_2030_2050!B:B, 0))-INDEX(Census_pop_2020_2025!H:H, MATCH("."&amp;About!$B$1, Census_pop_2020_2025!A:A, 0)))</f>
        <v>4121987.8400592483</v>
      </c>
      <c r="G13" s="37">
        <f>INDEX(Census_pop_2020_2025!H:H, MATCH("."&amp;About!$B$1, Census_pop_2020_2025!A:A, 0))+0.8*(INDEX(Cooper_pop_2030_2050!D:D, MATCH(About!$B$1, Cooper_pop_2030_2050!B:B, 0))-INDEX(Census_pop_2020_2025!H:H, MATCH("."&amp;About!$B$1, Census_pop_2020_2025!A:A, 0)))</f>
        <v>4121554.4534123312</v>
      </c>
      <c r="H13" s="37">
        <f>INDEX(Cooper_pop_2030_2050!D:D, MATCH(About!$B$1, Cooper_pop_2030_2050!B:B, 0))</f>
        <v>4121121.0667654141</v>
      </c>
      <c r="I13" s="37">
        <f>INDEX(Cooper_pop_2030_2050!D:D, MATCH(About!$B$1, Cooper_pop_2030_2050!B:B, 0))+0.1*(INDEX(Cooper_pop_2030_2050!E:E, MATCH(About!$B$1, Cooper_pop_2030_2050!B:B, 0))-INDEX(Cooper_pop_2030_2050!D:D, MATCH(About!$B$1, Cooper_pop_2030_2050!B:B, 0)))</f>
        <v>4127203.1745436024</v>
      </c>
      <c r="J13" s="37">
        <f>INDEX(Cooper_pop_2030_2050!D:D, MATCH(About!$B$1, Cooper_pop_2030_2050!B:B, 0))+0.2*(INDEX(Cooper_pop_2030_2050!E:E, MATCH(About!$B$1, Cooper_pop_2030_2050!B:B, 0))-INDEX(Cooper_pop_2030_2050!D:D, MATCH(About!$B$1, Cooper_pop_2030_2050!B:B, 0)))</f>
        <v>4133285.2823217902</v>
      </c>
      <c r="K13" s="37">
        <f>INDEX(Cooper_pop_2030_2050!D:D, MATCH(About!$B$1, Cooper_pop_2030_2050!B:B, 0))+0.3*(INDEX(Cooper_pop_2030_2050!E:E, MATCH(About!$B$1, Cooper_pop_2030_2050!B:B, 0))-INDEX(Cooper_pop_2030_2050!D:D, MATCH(About!$B$1, Cooper_pop_2030_2050!B:B, 0)))</f>
        <v>4139367.3900999781</v>
      </c>
      <c r="L13" s="37">
        <f>INDEX(Cooper_pop_2030_2050!D:D, MATCH(About!$B$1, Cooper_pop_2030_2050!B:B, 0))+0.4*(INDEX(Cooper_pop_2030_2050!E:E, MATCH(About!$B$1, Cooper_pop_2030_2050!B:B, 0))-INDEX(Cooper_pop_2030_2050!D:D, MATCH(About!$B$1, Cooper_pop_2030_2050!B:B, 0)))</f>
        <v>4145449.4978781664</v>
      </c>
      <c r="M13" s="37">
        <f>INDEX(Cooper_pop_2030_2050!D:D, MATCH(About!$B$1, Cooper_pop_2030_2050!B:B, 0))+0.5*(INDEX(Cooper_pop_2030_2050!E:E, MATCH(About!$B$1, Cooper_pop_2030_2050!B:B, 0))-INDEX(Cooper_pop_2030_2050!D:D, MATCH(About!$B$1, Cooper_pop_2030_2050!B:B, 0)))</f>
        <v>4151531.6056563547</v>
      </c>
      <c r="N13" s="37">
        <f>INDEX(Cooper_pop_2030_2050!D:D, MATCH(About!$B$1, Cooper_pop_2030_2050!B:B, 0))+0.6*(INDEX(Cooper_pop_2030_2050!E:E, MATCH(About!$B$1, Cooper_pop_2030_2050!B:B, 0))-INDEX(Cooper_pop_2030_2050!D:D, MATCH(About!$B$1, Cooper_pop_2030_2050!B:B, 0)))</f>
        <v>4157613.7134345425</v>
      </c>
      <c r="O13" s="37">
        <f>INDEX(Cooper_pop_2030_2050!D:D, MATCH(About!$B$1, Cooper_pop_2030_2050!B:B, 0))+0.7*(INDEX(Cooper_pop_2030_2050!E:E, MATCH(About!$B$1, Cooper_pop_2030_2050!B:B, 0))-INDEX(Cooper_pop_2030_2050!D:D, MATCH(About!$B$1, Cooper_pop_2030_2050!B:B, 0)))</f>
        <v>4163695.8212127304</v>
      </c>
      <c r="P13" s="37">
        <f>INDEX(Cooper_pop_2030_2050!D:D, MATCH(About!$B$1, Cooper_pop_2030_2050!B:B, 0))+0.8*(INDEX(Cooper_pop_2030_2050!E:E, MATCH(About!$B$1, Cooper_pop_2030_2050!B:B, 0))-INDEX(Cooper_pop_2030_2050!D:D, MATCH(About!$B$1, Cooper_pop_2030_2050!B:B, 0)))</f>
        <v>4169777.9289909187</v>
      </c>
      <c r="Q13" s="37">
        <f>INDEX(Cooper_pop_2030_2050!D:D, MATCH(About!$B$1, Cooper_pop_2030_2050!B:B, 0))+0.9*(INDEX(Cooper_pop_2030_2050!E:E, MATCH(About!$B$1, Cooper_pop_2030_2050!B:B, 0))-INDEX(Cooper_pop_2030_2050!D:D, MATCH(About!$B$1, Cooper_pop_2030_2050!B:B, 0)))</f>
        <v>4175860.036769107</v>
      </c>
      <c r="R13" s="37">
        <f>INDEX(Cooper_pop_2030_2050!E:E, MATCH(About!$B$1, Cooper_pop_2030_2050!B:B, 0))</f>
        <v>4181942.1445472948</v>
      </c>
      <c r="S13" s="37">
        <f>INDEX(Cooper_pop_2030_2050!E:E, MATCH(About!$B$1, Cooper_pop_2030_2050!B:B, 0))+0.1*(INDEX(Cooper_pop_2030_2050!F:F, MATCH(About!$B$1, Cooper_pop_2030_2050!B:B, 0))-INDEX(Cooper_pop_2030_2050!E:E, MATCH(About!$B$1, Cooper_pop_2030_2050!B:B, 0)))</f>
        <v>4183141.3362607127</v>
      </c>
      <c r="T13" s="37">
        <f>INDEX(Cooper_pop_2030_2050!E:E, MATCH(About!$B$1, Cooper_pop_2030_2050!B:B, 0))+0.2*(INDEX(Cooper_pop_2030_2050!F:F, MATCH(About!$B$1, Cooper_pop_2030_2050!B:B, 0))-INDEX(Cooper_pop_2030_2050!E:E, MATCH(About!$B$1, Cooper_pop_2030_2050!B:B, 0)))</f>
        <v>4184340.5279741311</v>
      </c>
      <c r="U13" s="37">
        <f>INDEX(Cooper_pop_2030_2050!E:E, MATCH(About!$B$1, Cooper_pop_2030_2050!B:B, 0))+0.3*(INDEX(Cooper_pop_2030_2050!F:F, MATCH(About!$B$1, Cooper_pop_2030_2050!B:B, 0))-INDEX(Cooper_pop_2030_2050!E:E, MATCH(About!$B$1, Cooper_pop_2030_2050!B:B, 0)))</f>
        <v>4185539.7196875489</v>
      </c>
      <c r="V13" s="37">
        <f>INDEX(Cooper_pop_2030_2050!E:E, MATCH(About!$B$1, Cooper_pop_2030_2050!B:B, 0))+0.4*(INDEX(Cooper_pop_2030_2050!F:F, MATCH(About!$B$1, Cooper_pop_2030_2050!B:B, 0))-INDEX(Cooper_pop_2030_2050!E:E, MATCH(About!$B$1, Cooper_pop_2030_2050!B:B, 0)))</f>
        <v>4186738.9114009668</v>
      </c>
      <c r="W13" s="37">
        <f>INDEX(Cooper_pop_2030_2050!E:E, MATCH(About!$B$1, Cooper_pop_2030_2050!B:B, 0))+0.5*(INDEX(Cooper_pop_2030_2050!F:F, MATCH(About!$B$1, Cooper_pop_2030_2050!B:B, 0))-INDEX(Cooper_pop_2030_2050!E:E, MATCH(About!$B$1, Cooper_pop_2030_2050!B:B, 0)))</f>
        <v>4187938.1031143852</v>
      </c>
      <c r="X13" s="37">
        <f>INDEX(Cooper_pop_2030_2050!E:E, MATCH(About!$B$1, Cooper_pop_2030_2050!B:B, 0))+0.6*(INDEX(Cooper_pop_2030_2050!F:F, MATCH(About!$B$1, Cooper_pop_2030_2050!B:B, 0))-INDEX(Cooper_pop_2030_2050!E:E, MATCH(About!$B$1, Cooper_pop_2030_2050!B:B, 0)))</f>
        <v>4189137.294827803</v>
      </c>
      <c r="Y13" s="37">
        <f>INDEX(Cooper_pop_2030_2050!E:E, MATCH(About!$B$1, Cooper_pop_2030_2050!B:B, 0))+0.7*(INDEX(Cooper_pop_2030_2050!F:F, MATCH(About!$B$1, Cooper_pop_2030_2050!B:B, 0))-INDEX(Cooper_pop_2030_2050!E:E, MATCH(About!$B$1, Cooper_pop_2030_2050!B:B, 0)))</f>
        <v>4190336.4865412209</v>
      </c>
      <c r="Z13" s="37">
        <f>INDEX(Cooper_pop_2030_2050!E:E, MATCH(About!$B$1, Cooper_pop_2030_2050!B:B, 0))+0.8*(INDEX(Cooper_pop_2030_2050!F:F, MATCH(About!$B$1, Cooper_pop_2030_2050!B:B, 0))-INDEX(Cooper_pop_2030_2050!E:E, MATCH(About!$B$1, Cooper_pop_2030_2050!B:B, 0)))</f>
        <v>4191535.6782546388</v>
      </c>
      <c r="AA13" s="37">
        <f>INDEX(Cooper_pop_2030_2050!E:E, MATCH(About!$B$1, Cooper_pop_2030_2050!B:B, 0))+0.9*(INDEX(Cooper_pop_2030_2050!F:F, MATCH(About!$B$1, Cooper_pop_2030_2050!B:B, 0))-INDEX(Cooper_pop_2030_2050!E:E, MATCH(About!$B$1, Cooper_pop_2030_2050!B:B, 0)))</f>
        <v>4192734.8699680571</v>
      </c>
      <c r="AB13" s="37">
        <f>INDEX(Cooper_pop_2030_2050!F:F, MATCH(About!$B$1, Cooper_pop_2030_2050!B:B, 0))</f>
        <v>4193934.061681475</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1.2178232280053545E-2</v>
      </c>
      <c r="C15" s="39">
        <f t="shared" si="1"/>
        <v>1.2198490132393306E-2</v>
      </c>
      <c r="D15" s="39">
        <f t="shared" si="1"/>
        <v>1.2143435058152428E-2</v>
      </c>
      <c r="E15" s="39">
        <f t="shared" si="1"/>
        <v>1.2090257881744015E-2</v>
      </c>
      <c r="F15" s="39">
        <f t="shared" si="1"/>
        <v>1.2039051140580494E-2</v>
      </c>
      <c r="G15" s="39">
        <f t="shared" si="1"/>
        <v>1.198984436338138E-2</v>
      </c>
      <c r="H15" s="39">
        <f t="shared" si="1"/>
        <v>1.1942731883172257E-2</v>
      </c>
      <c r="I15" s="39">
        <f t="shared" si="1"/>
        <v>1.1916648221968857E-2</v>
      </c>
      <c r="J15" s="39">
        <f t="shared" si="1"/>
        <v>1.1892802707065631E-2</v>
      </c>
      <c r="K15" s="39">
        <f t="shared" si="1"/>
        <v>1.1870794035621409E-2</v>
      </c>
      <c r="L15" s="39">
        <f t="shared" si="1"/>
        <v>1.1850654305102045E-2</v>
      </c>
      <c r="M15" s="39">
        <f t="shared" si="1"/>
        <v>1.1832408309085525E-2</v>
      </c>
      <c r="N15" s="39">
        <f t="shared" si="1"/>
        <v>1.1816070479918176E-2</v>
      </c>
      <c r="O15" s="39">
        <f t="shared" si="1"/>
        <v>1.1801656623002072E-2</v>
      </c>
      <c r="P15" s="39">
        <f t="shared" si="1"/>
        <v>1.1789168586186663E-2</v>
      </c>
      <c r="Q15" s="39">
        <f t="shared" si="1"/>
        <v>1.1778585079460452E-2</v>
      </c>
      <c r="R15" s="39">
        <f t="shared" si="1"/>
        <v>1.1769871899713312E-2</v>
      </c>
      <c r="S15" s="39">
        <f t="shared" si="1"/>
        <v>1.1749289971424723E-2</v>
      </c>
      <c r="T15" s="39">
        <f t="shared" si="1"/>
        <v>1.1730520809065136E-2</v>
      </c>
      <c r="U15" s="39">
        <f t="shared" si="1"/>
        <v>1.1713458341751637E-2</v>
      </c>
      <c r="V15" s="39">
        <f t="shared" si="1"/>
        <v>1.1697958112688272E-2</v>
      </c>
      <c r="W15" s="39">
        <f t="shared" si="1"/>
        <v>1.1683857232153205E-2</v>
      </c>
      <c r="X15" s="39">
        <f t="shared" si="1"/>
        <v>1.1670988751279074E-2</v>
      </c>
      <c r="Y15" s="39">
        <f t="shared" si="1"/>
        <v>1.1659245123223583E-2</v>
      </c>
      <c r="Z15" s="39">
        <f t="shared" si="1"/>
        <v>1.1648468855094424E-2</v>
      </c>
      <c r="AA15" s="39">
        <f t="shared" si="1"/>
        <v>1.1638500510052985E-2</v>
      </c>
      <c r="AB15" s="39">
        <f t="shared" si="1"/>
        <v>1.1629183629735886E-2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115.05953592633705</v>
      </c>
      <c r="C48" s="37">
        <f t="shared" si="10"/>
        <v>114.38143658489754</v>
      </c>
      <c r="D48" s="37">
        <f t="shared" si="10"/>
        <v>112.98744059746436</v>
      </c>
      <c r="E48" s="37">
        <f t="shared" si="10"/>
        <v>111.61874066473098</v>
      </c>
      <c r="F48" s="37">
        <f t="shared" si="10"/>
        <v>110.25160451287863</v>
      </c>
      <c r="G48" s="37">
        <f t="shared" si="10"/>
        <v>108.88616960035853</v>
      </c>
      <c r="H48" s="37">
        <f t="shared" si="10"/>
        <v>107.52312384623529</v>
      </c>
      <c r="I48" s="37">
        <f t="shared" si="10"/>
        <v>106.39102741704936</v>
      </c>
      <c r="J48" s="37">
        <f t="shared" si="10"/>
        <v>105.19909577571877</v>
      </c>
      <c r="K48" s="37">
        <f t="shared" si="10"/>
        <v>104.03910437156915</v>
      </c>
      <c r="L48" s="37">
        <f t="shared" si="10"/>
        <v>102.82753711626489</v>
      </c>
      <c r="M48" s="37">
        <f t="shared" si="10"/>
        <v>101.64763326376773</v>
      </c>
      <c r="N48" s="37">
        <f t="shared" si="10"/>
        <v>100.51083259418364</v>
      </c>
      <c r="O48" s="37">
        <f t="shared" si="10"/>
        <v>99.250814893977974</v>
      </c>
      <c r="P48" s="37">
        <f t="shared" si="10"/>
        <v>98.045092316126471</v>
      </c>
      <c r="Q48" s="37">
        <f t="shared" si="10"/>
        <v>96.786413808634421</v>
      </c>
      <c r="R48" s="37">
        <f t="shared" si="10"/>
        <v>95.533205832001627</v>
      </c>
      <c r="S48" s="37">
        <f t="shared" si="10"/>
        <v>94.151216784290952</v>
      </c>
      <c r="T48" s="37">
        <f t="shared" si="10"/>
        <v>92.787823154610834</v>
      </c>
      <c r="U48" s="37">
        <f t="shared" si="10"/>
        <v>91.441634550935007</v>
      </c>
      <c r="V48" s="37">
        <f t="shared" si="10"/>
        <v>90.111008762040512</v>
      </c>
      <c r="W48" s="37">
        <f t="shared" si="10"/>
        <v>88.805952993407743</v>
      </c>
      <c r="X48" s="37">
        <f t="shared" si="10"/>
        <v>87.606760718185555</v>
      </c>
      <c r="Y48" s="37">
        <f t="shared" si="10"/>
        <v>86.418334630448427</v>
      </c>
      <c r="Z48" s="37">
        <f t="shared" si="10"/>
        <v>85.297674924197267</v>
      </c>
      <c r="AA48" s="37">
        <f t="shared" si="10"/>
        <v>84.196469096967718</v>
      </c>
      <c r="AB48" s="37">
        <f t="shared" si="10"/>
        <v>83.10167993075882</v>
      </c>
    </row>
    <row r="49" spans="1:28" x14ac:dyDescent="0.25">
      <c r="A49" s="4" t="s">
        <v>216</v>
      </c>
      <c r="B49" s="37">
        <f t="shared" ref="B49:AB49" si="11">B29*B15*$F$5</f>
        <v>91.03252756883974</v>
      </c>
      <c r="C49" s="37">
        <f t="shared" si="11"/>
        <v>90.685748836994406</v>
      </c>
      <c r="D49" s="37">
        <f t="shared" si="11"/>
        <v>89.780501568040293</v>
      </c>
      <c r="E49" s="37">
        <f t="shared" si="11"/>
        <v>88.881515048656013</v>
      </c>
      <c r="F49" s="37">
        <f t="shared" si="11"/>
        <v>87.977396261121072</v>
      </c>
      <c r="G49" s="37">
        <f t="shared" si="11"/>
        <v>87.092293679387055</v>
      </c>
      <c r="H49" s="37">
        <f t="shared" si="11"/>
        <v>86.214728803528885</v>
      </c>
      <c r="I49" s="37">
        <f t="shared" si="11"/>
        <v>85.43289920453104</v>
      </c>
      <c r="J49" s="37">
        <f t="shared" si="11"/>
        <v>84.705142773066868</v>
      </c>
      <c r="K49" s="37">
        <f t="shared" si="11"/>
        <v>83.921666178494021</v>
      </c>
      <c r="L49" s="37">
        <f t="shared" si="11"/>
        <v>83.177237246215441</v>
      </c>
      <c r="M49" s="37">
        <f t="shared" si="11"/>
        <v>82.377329875904422</v>
      </c>
      <c r="N49" s="37">
        <f t="shared" si="11"/>
        <v>81.533818658746696</v>
      </c>
      <c r="O49" s="37">
        <f t="shared" si="11"/>
        <v>80.764262964053984</v>
      </c>
      <c r="P49" s="37">
        <f t="shared" si="11"/>
        <v>79.891977651886307</v>
      </c>
      <c r="Q49" s="37">
        <f t="shared" si="11"/>
        <v>79.057604837091858</v>
      </c>
      <c r="R49" s="37">
        <f t="shared" si="11"/>
        <v>78.178412971284288</v>
      </c>
      <c r="S49" s="37">
        <f t="shared" si="11"/>
        <v>77.222428667282628</v>
      </c>
      <c r="T49" s="37">
        <f t="shared" si="11"/>
        <v>76.257732303722079</v>
      </c>
      <c r="U49" s="37">
        <f t="shared" si="11"/>
        <v>75.306700731819419</v>
      </c>
      <c r="V49" s="37">
        <f t="shared" si="11"/>
        <v>74.391353928314842</v>
      </c>
      <c r="W49" s="37">
        <f t="shared" si="11"/>
        <v>73.498608875135446</v>
      </c>
      <c r="X49" s="37">
        <f t="shared" si="11"/>
        <v>72.603844153131519</v>
      </c>
      <c r="Y49" s="37">
        <f t="shared" si="11"/>
        <v>71.764250071946933</v>
      </c>
      <c r="Z49" s="37">
        <f t="shared" si="11"/>
        <v>70.920487313742356</v>
      </c>
      <c r="AA49" s="37">
        <f t="shared" si="11"/>
        <v>70.117808691417068</v>
      </c>
      <c r="AB49" s="37">
        <f t="shared" si="11"/>
        <v>69.389790031902876</v>
      </c>
    </row>
    <row r="50" spans="1:28" x14ac:dyDescent="0.25">
      <c r="A50" s="4" t="s">
        <v>217</v>
      </c>
      <c r="B50" s="37">
        <f t="shared" ref="B50:AB50" si="12">B30*B15*$F$6</f>
        <v>115.98407096491459</v>
      </c>
      <c r="C50" s="37">
        <f t="shared" si="12"/>
        <v>115.41097627168138</v>
      </c>
      <c r="D50" s="37">
        <f t="shared" si="12"/>
        <v>114.13925644757049</v>
      </c>
      <c r="E50" s="37">
        <f t="shared" si="12"/>
        <v>112.86851859047047</v>
      </c>
      <c r="F50" s="37">
        <f t="shared" si="12"/>
        <v>111.61120054396062</v>
      </c>
      <c r="G50" s="37">
        <f t="shared" si="12"/>
        <v>110.37892337552815</v>
      </c>
      <c r="H50" s="37">
        <f t="shared" si="12"/>
        <v>109.12600921108377</v>
      </c>
      <c r="I50" s="37">
        <f t="shared" si="12"/>
        <v>108.08177818768218</v>
      </c>
      <c r="J50" s="37">
        <f t="shared" si="12"/>
        <v>107.00377471267919</v>
      </c>
      <c r="K50" s="37">
        <f t="shared" si="12"/>
        <v>105.89974664121948</v>
      </c>
      <c r="L50" s="37">
        <f t="shared" si="12"/>
        <v>104.7583633161703</v>
      </c>
      <c r="M50" s="37">
        <f t="shared" si="12"/>
        <v>103.57967862452774</v>
      </c>
      <c r="N50" s="37">
        <f t="shared" si="12"/>
        <v>102.36359351874643</v>
      </c>
      <c r="O50" s="37">
        <f t="shared" si="12"/>
        <v>101.07575531349744</v>
      </c>
      <c r="P50" s="37">
        <f t="shared" si="12"/>
        <v>99.761503463394178</v>
      </c>
      <c r="Q50" s="37">
        <f t="shared" si="12"/>
        <v>98.40883382015879</v>
      </c>
      <c r="R50" s="37">
        <f t="shared" si="12"/>
        <v>97.017005112162096</v>
      </c>
      <c r="S50" s="37">
        <f t="shared" si="12"/>
        <v>95.496574214786335</v>
      </c>
      <c r="T50" s="37">
        <f t="shared" si="12"/>
        <v>93.995401290462283</v>
      </c>
      <c r="U50" s="37">
        <f t="shared" si="12"/>
        <v>92.512023375835597</v>
      </c>
      <c r="V50" s="37">
        <f t="shared" si="12"/>
        <v>91.056029010641993</v>
      </c>
      <c r="W50" s="37">
        <f t="shared" si="12"/>
        <v>89.64816518776918</v>
      </c>
      <c r="X50" s="37">
        <f t="shared" si="12"/>
        <v>88.297855408728836</v>
      </c>
      <c r="Y50" s="37">
        <f t="shared" si="12"/>
        <v>86.981223309098084</v>
      </c>
      <c r="Z50" s="37">
        <f t="shared" si="12"/>
        <v>85.707940463400661</v>
      </c>
      <c r="AA50" s="37">
        <f t="shared" si="12"/>
        <v>84.49894680397631</v>
      </c>
      <c r="AB50" s="37">
        <f t="shared" si="12"/>
        <v>83.330269872736892</v>
      </c>
    </row>
    <row r="51" spans="1:28" x14ac:dyDescent="0.25">
      <c r="A51" s="4" t="s">
        <v>218</v>
      </c>
      <c r="B51" s="37">
        <f t="shared" ref="B51:AB51" si="13">B31*B15*$F$7</f>
        <v>33.112621750535254</v>
      </c>
      <c r="C51" s="37">
        <f t="shared" si="13"/>
        <v>32.72102366831696</v>
      </c>
      <c r="D51" s="37">
        <f t="shared" si="13"/>
        <v>32.135739801609319</v>
      </c>
      <c r="E51" s="37">
        <f t="shared" si="13"/>
        <v>31.545271322919813</v>
      </c>
      <c r="F51" s="37">
        <f t="shared" si="13"/>
        <v>30.949832008968155</v>
      </c>
      <c r="G51" s="37">
        <f t="shared" si="13"/>
        <v>30.363386166275536</v>
      </c>
      <c r="H51" s="37">
        <f t="shared" si="13"/>
        <v>29.765114430237041</v>
      </c>
      <c r="I51" s="37">
        <f t="shared" si="13"/>
        <v>29.229115108614582</v>
      </c>
      <c r="J51" s="37">
        <f t="shared" si="13"/>
        <v>28.700578892457919</v>
      </c>
      <c r="K51" s="37">
        <f t="shared" si="13"/>
        <v>28.178287809747133</v>
      </c>
      <c r="L51" s="37">
        <f t="shared" si="13"/>
        <v>27.675874932156507</v>
      </c>
      <c r="M51" s="37">
        <f t="shared" si="13"/>
        <v>27.199989287788142</v>
      </c>
      <c r="N51" s="37">
        <f t="shared" si="13"/>
        <v>26.729756456787172</v>
      </c>
      <c r="O51" s="37">
        <f t="shared" si="13"/>
        <v>26.285580478857177</v>
      </c>
      <c r="P51" s="37">
        <f t="shared" si="13"/>
        <v>25.84663201293764</v>
      </c>
      <c r="Q51" s="37">
        <f t="shared" si="13"/>
        <v>25.426355810583612</v>
      </c>
      <c r="R51" s="37">
        <f t="shared" si="13"/>
        <v>25.01760860939353</v>
      </c>
      <c r="S51" s="37">
        <f t="shared" si="13"/>
        <v>24.584604183580588</v>
      </c>
      <c r="T51" s="37">
        <f t="shared" si="13"/>
        <v>24.163514706025939</v>
      </c>
      <c r="U51" s="37">
        <f t="shared" si="13"/>
        <v>23.747107104966894</v>
      </c>
      <c r="V51" s="37">
        <f t="shared" si="13"/>
        <v>23.348525008571841</v>
      </c>
      <c r="W51" s="37">
        <f t="shared" si="13"/>
        <v>22.946873990145018</v>
      </c>
      <c r="X51" s="37">
        <f t="shared" si="13"/>
        <v>22.562072621691094</v>
      </c>
      <c r="Y51" s="37">
        <f t="shared" si="13"/>
        <v>22.200534133478616</v>
      </c>
      <c r="Z51" s="37">
        <f t="shared" si="13"/>
        <v>21.841492072616138</v>
      </c>
      <c r="AA51" s="37">
        <f t="shared" si="13"/>
        <v>21.498097105925371</v>
      </c>
      <c r="AB51" s="37">
        <f t="shared" si="13"/>
        <v>21.156443535194697</v>
      </c>
    </row>
    <row r="52" spans="1:28" x14ac:dyDescent="0.25">
      <c r="A52" s="4" t="s">
        <v>219</v>
      </c>
      <c r="B52" s="37">
        <f t="shared" ref="B52:AB52" si="14">B32*B15*$F$8</f>
        <v>4.4991862965781557</v>
      </c>
      <c r="C52" s="37">
        <f t="shared" si="14"/>
        <v>4.522373142145959</v>
      </c>
      <c r="D52" s="37">
        <f t="shared" si="14"/>
        <v>4.5175942671598284</v>
      </c>
      <c r="E52" s="37">
        <f t="shared" si="14"/>
        <v>4.5185624701762626</v>
      </c>
      <c r="F52" s="37">
        <f t="shared" si="14"/>
        <v>4.5200879357998547</v>
      </c>
      <c r="G52" s="37">
        <f t="shared" si="14"/>
        <v>4.5221919472204224</v>
      </c>
      <c r="H52" s="37">
        <f t="shared" si="14"/>
        <v>4.5249205437263527</v>
      </c>
      <c r="I52" s="37">
        <f t="shared" si="14"/>
        <v>4.5354910114083937</v>
      </c>
      <c r="J52" s="37">
        <f t="shared" si="14"/>
        <v>4.5468276242516197</v>
      </c>
      <c r="K52" s="37">
        <f t="shared" si="14"/>
        <v>4.5689750279821393</v>
      </c>
      <c r="L52" s="37">
        <f t="shared" si="14"/>
        <v>4.581563308197719</v>
      </c>
      <c r="M52" s="37">
        <f t="shared" si="14"/>
        <v>4.594817838759421</v>
      </c>
      <c r="N52" s="37">
        <f t="shared" si="14"/>
        <v>4.6087539998260949</v>
      </c>
      <c r="O52" s="37">
        <f t="shared" si="14"/>
        <v>4.6233878085455107</v>
      </c>
      <c r="P52" s="37">
        <f t="shared" si="14"/>
        <v>4.6336713055153469</v>
      </c>
      <c r="Q52" s="37">
        <f t="shared" si="14"/>
        <v>4.6497277208056218</v>
      </c>
      <c r="R52" s="37">
        <f t="shared" si="14"/>
        <v>4.656388722296315</v>
      </c>
      <c r="S52" s="37">
        <f t="shared" si="14"/>
        <v>4.6633705588698176</v>
      </c>
      <c r="T52" s="37">
        <f t="shared" si="14"/>
        <v>4.6760546669708329</v>
      </c>
      <c r="U52" s="37">
        <f t="shared" si="14"/>
        <v>4.6793053896355792</v>
      </c>
      <c r="V52" s="37">
        <f t="shared" si="14"/>
        <v>4.688171708229997</v>
      </c>
      <c r="W52" s="37">
        <f t="shared" si="14"/>
        <v>4.697560737004987</v>
      </c>
      <c r="X52" s="37">
        <f t="shared" si="14"/>
        <v>4.7024026587587127</v>
      </c>
      <c r="Y52" s="37">
        <f t="shared" si="14"/>
        <v>4.7176823667341443</v>
      </c>
      <c r="Z52" s="37">
        <f t="shared" si="14"/>
        <v>4.7233184045688006</v>
      </c>
      <c r="AA52" s="37">
        <f t="shared" si="14"/>
        <v>4.7292642432649759</v>
      </c>
      <c r="AB52" s="37">
        <f t="shared" si="14"/>
        <v>4.735458252263042</v>
      </c>
    </row>
    <row r="53" spans="1:28" x14ac:dyDescent="0.25">
      <c r="A53" s="4" t="s">
        <v>220</v>
      </c>
      <c r="B53" s="37">
        <f t="shared" ref="B53:AB53" si="15">B33*B15*$F$9</f>
        <v>65.162895724618949</v>
      </c>
      <c r="C53" s="37">
        <f t="shared" si="15"/>
        <v>65.83026759152844</v>
      </c>
      <c r="D53" s="37">
        <f t="shared" si="15"/>
        <v>65.96119937584254</v>
      </c>
      <c r="E53" s="37">
        <f t="shared" si="15"/>
        <v>66.183749963258876</v>
      </c>
      <c r="F53" s="37">
        <f t="shared" si="15"/>
        <v>66.370235485243938</v>
      </c>
      <c r="G53" s="37">
        <f t="shared" si="15"/>
        <v>66.479327703894896</v>
      </c>
      <c r="H53" s="37">
        <f t="shared" si="15"/>
        <v>66.7653632058407</v>
      </c>
      <c r="I53" s="37">
        <f t="shared" si="15"/>
        <v>66.997586351895151</v>
      </c>
      <c r="J53" s="37">
        <f t="shared" si="15"/>
        <v>67.282729522289785</v>
      </c>
      <c r="K53" s="37">
        <f t="shared" si="15"/>
        <v>67.451118828149433</v>
      </c>
      <c r="L53" s="37">
        <f t="shared" si="15"/>
        <v>67.670859815080604</v>
      </c>
      <c r="M53" s="37">
        <f t="shared" si="15"/>
        <v>67.775208702203315</v>
      </c>
      <c r="N53" s="37">
        <f t="shared" si="15"/>
        <v>67.973178380330609</v>
      </c>
      <c r="O53" s="37">
        <f t="shared" si="15"/>
        <v>68.098258288076281</v>
      </c>
      <c r="P53" s="37">
        <f t="shared" si="15"/>
        <v>68.150865676773194</v>
      </c>
      <c r="Q53" s="37">
        <f t="shared" si="15"/>
        <v>68.131202605566571</v>
      </c>
      <c r="R53" s="37">
        <f t="shared" si="15"/>
        <v>68.122290101064777</v>
      </c>
      <c r="S53" s="37">
        <f t="shared" si="15"/>
        <v>68.003164922671914</v>
      </c>
      <c r="T53" s="37">
        <f t="shared" si="15"/>
        <v>67.729137049195046</v>
      </c>
      <c r="U53" s="37">
        <f t="shared" si="15"/>
        <v>67.548045493954447</v>
      </c>
      <c r="V53" s="37">
        <f t="shared" si="15"/>
        <v>67.293724663438326</v>
      </c>
      <c r="W53" s="37">
        <f t="shared" si="15"/>
        <v>67.047871092796115</v>
      </c>
      <c r="X53" s="37">
        <f t="shared" si="15"/>
        <v>66.89174758091761</v>
      </c>
      <c r="Y53" s="37">
        <f t="shared" si="15"/>
        <v>66.618952298080544</v>
      </c>
      <c r="Z53" s="37">
        <f t="shared" si="15"/>
        <v>66.475259614373471</v>
      </c>
      <c r="AA53" s="37">
        <f t="shared" si="15"/>
        <v>66.213250858277888</v>
      </c>
      <c r="AB53" s="37">
        <f t="shared" si="15"/>
        <v>66.078262711818979</v>
      </c>
    </row>
    <row r="54" spans="1:28" x14ac:dyDescent="0.25">
      <c r="A54" s="4" t="s">
        <v>221</v>
      </c>
      <c r="B54" s="37">
        <f t="shared" ref="B54:AB54" si="16">B34*B15*$F$10</f>
        <v>32.263799033807196</v>
      </c>
      <c r="C54" s="37">
        <f t="shared" si="16"/>
        <v>32.452089235572714</v>
      </c>
      <c r="D54" s="37">
        <f t="shared" si="16"/>
        <v>32.456389372475336</v>
      </c>
      <c r="E54" s="37">
        <f t="shared" si="16"/>
        <v>32.47270408551752</v>
      </c>
      <c r="F54" s="37">
        <f t="shared" si="16"/>
        <v>32.517854676788261</v>
      </c>
      <c r="G54" s="37">
        <f t="shared" si="16"/>
        <v>32.533803907634052</v>
      </c>
      <c r="H54" s="37">
        <f t="shared" si="16"/>
        <v>32.546002654245534</v>
      </c>
      <c r="I54" s="37">
        <f t="shared" si="16"/>
        <v>32.606430868711897</v>
      </c>
      <c r="J54" s="37">
        <f t="shared" si="16"/>
        <v>32.656026163847478</v>
      </c>
      <c r="K54" s="37">
        <f t="shared" si="16"/>
        <v>32.693846815680644</v>
      </c>
      <c r="L54" s="37">
        <f t="shared" si="16"/>
        <v>32.711944239501257</v>
      </c>
      <c r="M54" s="37">
        <f t="shared" si="16"/>
        <v>32.710546803262154</v>
      </c>
      <c r="N54" s="37">
        <f t="shared" si="16"/>
        <v>32.689831211612074</v>
      </c>
      <c r="O54" s="37">
        <f t="shared" si="16"/>
        <v>32.649954456433903</v>
      </c>
      <c r="P54" s="37">
        <f t="shared" si="16"/>
        <v>32.566616653319798</v>
      </c>
      <c r="Q54" s="37">
        <f t="shared" si="16"/>
        <v>32.464262870049858</v>
      </c>
      <c r="R54" s="37">
        <f t="shared" si="16"/>
        <v>32.318474809459396</v>
      </c>
      <c r="S54" s="37">
        <f t="shared" si="16"/>
        <v>32.140399863372906</v>
      </c>
      <c r="T54" s="37">
        <f t="shared" si="16"/>
        <v>31.93532675197925</v>
      </c>
      <c r="U54" s="37">
        <f t="shared" si="16"/>
        <v>31.703052470386687</v>
      </c>
      <c r="V54" s="37">
        <f t="shared" si="16"/>
        <v>31.475523040723097</v>
      </c>
      <c r="W54" s="37">
        <f t="shared" si="16"/>
        <v>31.211934151258543</v>
      </c>
      <c r="X54" s="37">
        <f t="shared" si="16"/>
        <v>30.992408194611343</v>
      </c>
      <c r="Y54" s="37">
        <f t="shared" si="16"/>
        <v>30.768217866316039</v>
      </c>
      <c r="Z54" s="37">
        <f t="shared" si="16"/>
        <v>30.546953147162036</v>
      </c>
      <c r="AA54" s="37">
        <f t="shared" si="16"/>
        <v>30.336178096291423</v>
      </c>
      <c r="AB54" s="37">
        <f t="shared" si="16"/>
        <v>30.143449337154749</v>
      </c>
    </row>
    <row r="55" spans="1:28" x14ac:dyDescent="0.25">
      <c r="A55" s="4" t="s">
        <v>222</v>
      </c>
      <c r="B55" s="37">
        <f t="shared" ref="B55:AB55" si="17">B35*B15*$F$11</f>
        <v>171.19499218822662</v>
      </c>
      <c r="C55" s="37">
        <f t="shared" si="17"/>
        <v>169.80090652903138</v>
      </c>
      <c r="D55" s="37">
        <f t="shared" si="17"/>
        <v>167.32409615629788</v>
      </c>
      <c r="E55" s="37">
        <f t="shared" si="17"/>
        <v>164.86240681941092</v>
      </c>
      <c r="F55" s="37">
        <f t="shared" si="17"/>
        <v>162.35190105317196</v>
      </c>
      <c r="G55" s="37">
        <f t="shared" si="17"/>
        <v>159.9092645421116</v>
      </c>
      <c r="H55" s="37">
        <f t="shared" si="17"/>
        <v>157.48316952588172</v>
      </c>
      <c r="I55" s="37">
        <f t="shared" si="17"/>
        <v>155.3325768734432</v>
      </c>
      <c r="J55" s="37">
        <f t="shared" si="17"/>
        <v>153.19315304688351</v>
      </c>
      <c r="K55" s="37">
        <f t="shared" si="17"/>
        <v>151.04614906462061</v>
      </c>
      <c r="L55" s="37">
        <f t="shared" si="17"/>
        <v>148.91680029869204</v>
      </c>
      <c r="M55" s="37">
        <f t="shared" si="17"/>
        <v>146.79187065435514</v>
      </c>
      <c r="N55" s="37">
        <f t="shared" si="17"/>
        <v>144.69615417927577</v>
      </c>
      <c r="O55" s="37">
        <f t="shared" si="17"/>
        <v>142.5781671535575</v>
      </c>
      <c r="P55" s="37">
        <f t="shared" si="17"/>
        <v>140.47519597038524</v>
      </c>
      <c r="Q55" s="37">
        <f t="shared" si="17"/>
        <v>138.38607412013891</v>
      </c>
      <c r="R55" s="37">
        <f t="shared" si="17"/>
        <v>136.32214263440565</v>
      </c>
      <c r="S55" s="37">
        <f t="shared" si="17"/>
        <v>134.08772679397956</v>
      </c>
      <c r="T55" s="37">
        <f t="shared" si="17"/>
        <v>131.90590998788534</v>
      </c>
      <c r="U55" s="37">
        <f t="shared" si="17"/>
        <v>129.79967291633071</v>
      </c>
      <c r="V55" s="37">
        <f t="shared" si="17"/>
        <v>127.74122504564224</v>
      </c>
      <c r="W55" s="37">
        <f t="shared" si="17"/>
        <v>125.79077138937194</v>
      </c>
      <c r="X55" s="37">
        <f t="shared" si="17"/>
        <v>123.88283053840669</v>
      </c>
      <c r="Y55" s="37">
        <f t="shared" si="17"/>
        <v>122.05324230843375</v>
      </c>
      <c r="Z55" s="37">
        <f t="shared" si="17"/>
        <v>120.28717262686345</v>
      </c>
      <c r="AA55" s="37">
        <f t="shared" si="17"/>
        <v>118.56993211240965</v>
      </c>
      <c r="AB55" s="37">
        <f t="shared" si="17"/>
        <v>116.91201931559517</v>
      </c>
    </row>
    <row r="57" spans="1:28" x14ac:dyDescent="0.25">
      <c r="A57" s="4" t="s">
        <v>327</v>
      </c>
    </row>
    <row r="58" spans="1:28" x14ac:dyDescent="0.25">
      <c r="A58" s="4" t="s">
        <v>215</v>
      </c>
      <c r="B58" s="37">
        <f t="shared" ref="B58:AB58" si="18">B38*B15*$F$4</f>
        <v>18245.427449286792</v>
      </c>
      <c r="C58" s="37">
        <f t="shared" si="18"/>
        <v>18608.671830933628</v>
      </c>
      <c r="D58" s="37">
        <f t="shared" si="18"/>
        <v>18853.33450018624</v>
      </c>
      <c r="E58" s="37">
        <f t="shared" si="18"/>
        <v>19096.648368183905</v>
      </c>
      <c r="F58" s="37">
        <f t="shared" si="18"/>
        <v>19340.273131221231</v>
      </c>
      <c r="G58" s="37">
        <f t="shared" si="18"/>
        <v>19584.789349043836</v>
      </c>
      <c r="H58" s="37">
        <f t="shared" si="18"/>
        <v>19828.868251560085</v>
      </c>
      <c r="I58" s="37">
        <f t="shared" si="18"/>
        <v>20103.13076228568</v>
      </c>
      <c r="J58" s="37">
        <f t="shared" si="18"/>
        <v>20373.856703188467</v>
      </c>
      <c r="K58" s="37">
        <f t="shared" si="18"/>
        <v>20640.726683890716</v>
      </c>
      <c r="L58" s="37">
        <f t="shared" si="18"/>
        <v>20902.031745232689</v>
      </c>
      <c r="M58" s="37">
        <f t="shared" si="18"/>
        <v>21157.461296111978</v>
      </c>
      <c r="N58" s="37">
        <f t="shared" si="18"/>
        <v>21404.892722620589</v>
      </c>
      <c r="O58" s="37">
        <f t="shared" si="18"/>
        <v>21643.561343133279</v>
      </c>
      <c r="P58" s="37">
        <f t="shared" si="18"/>
        <v>21870.730795581949</v>
      </c>
      <c r="Q58" s="37">
        <f t="shared" si="18"/>
        <v>22085.997439417082</v>
      </c>
      <c r="R58" s="37">
        <f t="shared" si="18"/>
        <v>22286.04770023335</v>
      </c>
      <c r="S58" s="37">
        <f t="shared" si="18"/>
        <v>22444.956509394644</v>
      </c>
      <c r="T58" s="37">
        <f t="shared" si="18"/>
        <v>22587.410803418603</v>
      </c>
      <c r="U58" s="37">
        <f t="shared" si="18"/>
        <v>22714.650013729271</v>
      </c>
      <c r="V58" s="37">
        <f t="shared" si="18"/>
        <v>22821.232460152172</v>
      </c>
      <c r="W58" s="37">
        <f t="shared" si="18"/>
        <v>22908.510784692</v>
      </c>
      <c r="X58" s="37">
        <f t="shared" si="18"/>
        <v>22975.221574127412</v>
      </c>
      <c r="Y58" s="37">
        <f t="shared" si="18"/>
        <v>23030.831477791642</v>
      </c>
      <c r="Z58" s="37">
        <f t="shared" si="18"/>
        <v>23066.904987479957</v>
      </c>
      <c r="AA58" s="37">
        <f t="shared" si="18"/>
        <v>23084.835067445718</v>
      </c>
      <c r="AB58" s="37">
        <f t="shared" si="18"/>
        <v>23086.681077690046</v>
      </c>
    </row>
    <row r="59" spans="1:28" x14ac:dyDescent="0.25">
      <c r="A59" s="4" t="s">
        <v>216</v>
      </c>
      <c r="B59" s="37">
        <f t="shared" ref="B59:AB59" si="19">B39*B15*$F$5</f>
        <v>17011.80063902988</v>
      </c>
      <c r="C59" s="37">
        <f t="shared" si="19"/>
        <v>17305.545775283459</v>
      </c>
      <c r="D59" s="37">
        <f t="shared" si="19"/>
        <v>17490.383618597341</v>
      </c>
      <c r="E59" s="37">
        <f t="shared" si="19"/>
        <v>17683.290551638958</v>
      </c>
      <c r="F59" s="37">
        <f t="shared" si="19"/>
        <v>17889.176966841831</v>
      </c>
      <c r="G59" s="37">
        <f t="shared" si="19"/>
        <v>18108.867009112553</v>
      </c>
      <c r="H59" s="37">
        <f t="shared" si="19"/>
        <v>18343.905587171041</v>
      </c>
      <c r="I59" s="37">
        <f t="shared" si="19"/>
        <v>18621.8554537614</v>
      </c>
      <c r="J59" s="37">
        <f t="shared" si="19"/>
        <v>18913.201215832672</v>
      </c>
      <c r="K59" s="37">
        <f t="shared" si="19"/>
        <v>19213.095076110163</v>
      </c>
      <c r="L59" s="37">
        <f t="shared" si="19"/>
        <v>19521.140390997287</v>
      </c>
      <c r="M59" s="37">
        <f t="shared" si="19"/>
        <v>19836.152222264482</v>
      </c>
      <c r="N59" s="37">
        <f t="shared" si="19"/>
        <v>20153.907597921429</v>
      </c>
      <c r="O59" s="37">
        <f t="shared" si="19"/>
        <v>20470.401934942012</v>
      </c>
      <c r="P59" s="37">
        <f t="shared" si="19"/>
        <v>20784.773474442492</v>
      </c>
      <c r="Q59" s="37">
        <f t="shared" si="19"/>
        <v>21091.332302155308</v>
      </c>
      <c r="R59" s="37">
        <f t="shared" si="19"/>
        <v>21388.51403862294</v>
      </c>
      <c r="S59" s="37">
        <f t="shared" si="19"/>
        <v>21647.24447672506</v>
      </c>
      <c r="T59" s="37">
        <f t="shared" si="19"/>
        <v>21890.689999217684</v>
      </c>
      <c r="U59" s="37">
        <f t="shared" si="19"/>
        <v>22116.880245297347</v>
      </c>
      <c r="V59" s="37">
        <f t="shared" si="19"/>
        <v>22320.855401671586</v>
      </c>
      <c r="W59" s="37">
        <f t="shared" si="19"/>
        <v>22498.162770737861</v>
      </c>
      <c r="X59" s="37">
        <f t="shared" si="19"/>
        <v>22650.027688954418</v>
      </c>
      <c r="Y59" s="37">
        <f t="shared" si="19"/>
        <v>22787.013479755518</v>
      </c>
      <c r="Z59" s="37">
        <f t="shared" si="19"/>
        <v>22899.310999157096</v>
      </c>
      <c r="AA59" s="37">
        <f t="shared" si="19"/>
        <v>22983.384135004719</v>
      </c>
      <c r="AB59" s="37">
        <f t="shared" si="19"/>
        <v>23039.611302295601</v>
      </c>
    </row>
    <row r="60" spans="1:28" x14ac:dyDescent="0.25">
      <c r="A60" s="4" t="s">
        <v>217</v>
      </c>
      <c r="B60" s="37">
        <f t="shared" ref="B60:AB60" si="20">B40*B15*$F$6</f>
        <v>27580.701466867376</v>
      </c>
      <c r="C60" s="37">
        <f t="shared" si="20"/>
        <v>28088.825463518559</v>
      </c>
      <c r="D60" s="37">
        <f t="shared" si="20"/>
        <v>28416.74468267191</v>
      </c>
      <c r="E60" s="37">
        <f t="shared" si="20"/>
        <v>28747.330185324194</v>
      </c>
      <c r="F60" s="37">
        <f t="shared" si="20"/>
        <v>29086.453433797291</v>
      </c>
      <c r="G60" s="37">
        <f t="shared" si="20"/>
        <v>29434.186508908148</v>
      </c>
      <c r="H60" s="37">
        <f t="shared" si="20"/>
        <v>29791.56204604149</v>
      </c>
      <c r="I60" s="37">
        <f t="shared" si="20"/>
        <v>30203.365417582063</v>
      </c>
      <c r="J60" s="37">
        <f t="shared" si="20"/>
        <v>30620.635862012976</v>
      </c>
      <c r="K60" s="37">
        <f t="shared" si="20"/>
        <v>31037.99549654721</v>
      </c>
      <c r="L60" s="37">
        <f t="shared" si="20"/>
        <v>31453.853147199781</v>
      </c>
      <c r="M60" s="37">
        <f t="shared" si="20"/>
        <v>31867.046600492147</v>
      </c>
      <c r="N60" s="37">
        <f t="shared" si="20"/>
        <v>32271.860880328168</v>
      </c>
      <c r="O60" s="37">
        <f t="shared" si="20"/>
        <v>32665.164349479812</v>
      </c>
      <c r="P60" s="37">
        <f t="shared" si="20"/>
        <v>33042.823171342781</v>
      </c>
      <c r="Q60" s="37">
        <f t="shared" si="20"/>
        <v>33400.46799455578</v>
      </c>
      <c r="R60" s="37">
        <f t="shared" si="20"/>
        <v>33733.899740987821</v>
      </c>
      <c r="S60" s="37">
        <f t="shared" si="20"/>
        <v>34000.651136237997</v>
      </c>
      <c r="T60" s="37">
        <f t="shared" si="20"/>
        <v>34237.909917098106</v>
      </c>
      <c r="U60" s="37">
        <f t="shared" si="20"/>
        <v>34445.660847055347</v>
      </c>
      <c r="V60" s="37">
        <f t="shared" si="20"/>
        <v>34614.751087411423</v>
      </c>
      <c r="W60" s="37">
        <f t="shared" si="20"/>
        <v>34742.592184710993</v>
      </c>
      <c r="X60" s="37">
        <f t="shared" si="20"/>
        <v>34829.924011215458</v>
      </c>
      <c r="Y60" s="37">
        <f t="shared" si="20"/>
        <v>34894.508093324621</v>
      </c>
      <c r="Z60" s="37">
        <f t="shared" si="20"/>
        <v>34920.685260900071</v>
      </c>
      <c r="AA60" s="37">
        <f t="shared" si="20"/>
        <v>34906.26193386392</v>
      </c>
      <c r="AB60" s="37">
        <f t="shared" si="20"/>
        <v>34854.17459477482</v>
      </c>
    </row>
    <row r="61" spans="1:28" x14ac:dyDescent="0.25">
      <c r="A61" s="4" t="s">
        <v>218</v>
      </c>
      <c r="B61" s="37">
        <f t="shared" ref="B61:AB61" si="21">B41*B15*$F$7</f>
        <v>2559.9921403987987</v>
      </c>
      <c r="C61" s="37">
        <f t="shared" si="21"/>
        <v>2602.9343898401994</v>
      </c>
      <c r="D61" s="37">
        <f t="shared" si="21"/>
        <v>2629.6111933772845</v>
      </c>
      <c r="E61" s="37">
        <f t="shared" si="21"/>
        <v>2656.4575854988011</v>
      </c>
      <c r="F61" s="37">
        <f t="shared" si="21"/>
        <v>2684.3433768827331</v>
      </c>
      <c r="G61" s="37">
        <f t="shared" si="21"/>
        <v>2713.3382527485755</v>
      </c>
      <c r="H61" s="37">
        <f t="shared" si="21"/>
        <v>2743.3745182909752</v>
      </c>
      <c r="I61" s="37">
        <f t="shared" si="21"/>
        <v>2778.961582116829</v>
      </c>
      <c r="J61" s="37">
        <f t="shared" si="21"/>
        <v>2815.649831330923</v>
      </c>
      <c r="K61" s="37">
        <f t="shared" si="21"/>
        <v>2853.265530776589</v>
      </c>
      <c r="L61" s="37">
        <f t="shared" si="21"/>
        <v>2891.8189716318716</v>
      </c>
      <c r="M61" s="37">
        <f t="shared" si="21"/>
        <v>2931.168504273513</v>
      </c>
      <c r="N61" s="37">
        <f t="shared" si="21"/>
        <v>2971.4602154033905</v>
      </c>
      <c r="O61" s="37">
        <f t="shared" si="21"/>
        <v>3011.9488788158546</v>
      </c>
      <c r="P61" s="37">
        <f t="shared" si="21"/>
        <v>3052.9723789958343</v>
      </c>
      <c r="Q61" s="37">
        <f t="shared" si="21"/>
        <v>3093.9164915718898</v>
      </c>
      <c r="R61" s="37">
        <f t="shared" si="21"/>
        <v>3134.7125156746324</v>
      </c>
      <c r="S61" s="37">
        <f t="shared" si="21"/>
        <v>3171.6802728938846</v>
      </c>
      <c r="T61" s="37">
        <f t="shared" si="21"/>
        <v>3207.8224857322807</v>
      </c>
      <c r="U61" s="37">
        <f t="shared" si="21"/>
        <v>3243.1889856202251</v>
      </c>
      <c r="V61" s="37">
        <f t="shared" si="21"/>
        <v>3277.4013150209225</v>
      </c>
      <c r="W61" s="37">
        <f t="shared" si="21"/>
        <v>3309.8505849543712</v>
      </c>
      <c r="X61" s="37">
        <f t="shared" si="21"/>
        <v>3340.3128165776902</v>
      </c>
      <c r="Y61" s="37">
        <f t="shared" si="21"/>
        <v>3369.6290568969393</v>
      </c>
      <c r="Z61" s="37">
        <f t="shared" si="21"/>
        <v>3396.8665719717596</v>
      </c>
      <c r="AA61" s="37">
        <f t="shared" si="21"/>
        <v>3421.9924154483087</v>
      </c>
      <c r="AB61" s="37">
        <f t="shared" si="21"/>
        <v>3444.6475253693038</v>
      </c>
    </row>
    <row r="62" spans="1:28" x14ac:dyDescent="0.25">
      <c r="A62" s="4" t="s">
        <v>219</v>
      </c>
      <c r="B62" s="37">
        <f t="shared" ref="B62:AB62" si="22">B42*B15*$F$8</f>
        <v>636.74720998482917</v>
      </c>
      <c r="C62" s="37">
        <f t="shared" si="22"/>
        <v>652.82340629019473</v>
      </c>
      <c r="D62" s="37">
        <f t="shared" si="22"/>
        <v>665.2795857467504</v>
      </c>
      <c r="E62" s="37">
        <f t="shared" si="22"/>
        <v>678.67148210209973</v>
      </c>
      <c r="F62" s="37">
        <f t="shared" si="22"/>
        <v>693.19035420469822</v>
      </c>
      <c r="G62" s="37">
        <f t="shared" si="22"/>
        <v>708.81628864646291</v>
      </c>
      <c r="H62" s="37">
        <f t="shared" si="22"/>
        <v>725.59125090356224</v>
      </c>
      <c r="I62" s="37">
        <f t="shared" si="22"/>
        <v>744.6948989971894</v>
      </c>
      <c r="J62" s="37">
        <f t="shared" si="22"/>
        <v>764.62229394766075</v>
      </c>
      <c r="K62" s="37">
        <f t="shared" si="22"/>
        <v>785.22190898959934</v>
      </c>
      <c r="L62" s="37">
        <f t="shared" si="22"/>
        <v>806.69583562975663</v>
      </c>
      <c r="M62" s="37">
        <f t="shared" si="22"/>
        <v>828.88990667184987</v>
      </c>
      <c r="N62" s="37">
        <f t="shared" si="22"/>
        <v>851.70179527699304</v>
      </c>
      <c r="O62" s="37">
        <f t="shared" si="22"/>
        <v>874.98500468253349</v>
      </c>
      <c r="P62" s="37">
        <f t="shared" si="22"/>
        <v>898.66412783417786</v>
      </c>
      <c r="Q62" s="37">
        <f t="shared" si="22"/>
        <v>922.571682482151</v>
      </c>
      <c r="R62" s="37">
        <f t="shared" si="22"/>
        <v>946.62564611550886</v>
      </c>
      <c r="S62" s="37">
        <f t="shared" si="22"/>
        <v>969.53742585661882</v>
      </c>
      <c r="T62" s="37">
        <f t="shared" si="22"/>
        <v>992.4007430024792</v>
      </c>
      <c r="U62" s="37">
        <f t="shared" si="22"/>
        <v>1015.0021549037021</v>
      </c>
      <c r="V62" s="37">
        <f t="shared" si="22"/>
        <v>1037.3759476569612</v>
      </c>
      <c r="W62" s="37">
        <f t="shared" si="22"/>
        <v>1059.4528550553273</v>
      </c>
      <c r="X62" s="37">
        <f t="shared" si="22"/>
        <v>1081.3222488709439</v>
      </c>
      <c r="Y62" s="37">
        <f t="shared" si="22"/>
        <v>1102.9120906925866</v>
      </c>
      <c r="Z62" s="37">
        <f t="shared" si="22"/>
        <v>1124.2547429185872</v>
      </c>
      <c r="AA62" s="37">
        <f t="shared" si="22"/>
        <v>1145.3359111632587</v>
      </c>
      <c r="AB62" s="37">
        <f t="shared" si="22"/>
        <v>1166.0704175151072</v>
      </c>
    </row>
    <row r="63" spans="1:28" x14ac:dyDescent="0.25">
      <c r="A63" s="4" t="s">
        <v>220</v>
      </c>
      <c r="B63" s="37">
        <f t="shared" ref="B63:AB63" si="23">B43*B15*$F$9</f>
        <v>2873.2200919208963</v>
      </c>
      <c r="C63" s="37">
        <f t="shared" si="23"/>
        <v>2941.636901854497</v>
      </c>
      <c r="D63" s="37">
        <f t="shared" si="23"/>
        <v>2994.1932884747316</v>
      </c>
      <c r="E63" s="37">
        <f t="shared" si="23"/>
        <v>3052.1235060326303</v>
      </c>
      <c r="F63" s="37">
        <f t="shared" si="23"/>
        <v>3110.362154661736</v>
      </c>
      <c r="G63" s="37">
        <f t="shared" si="23"/>
        <v>3173.3418944530531</v>
      </c>
      <c r="H63" s="37">
        <f t="shared" si="23"/>
        <v>3238.1622121813857</v>
      </c>
      <c r="I63" s="37">
        <f t="shared" si="23"/>
        <v>3309.4287372456192</v>
      </c>
      <c r="J63" s="37">
        <f t="shared" si="23"/>
        <v>3382.2881408391936</v>
      </c>
      <c r="K63" s="37">
        <f t="shared" si="23"/>
        <v>3460.3846625118672</v>
      </c>
      <c r="L63" s="37">
        <f t="shared" si="23"/>
        <v>3540.397360263677</v>
      </c>
      <c r="M63" s="37">
        <f t="shared" si="23"/>
        <v>3623.4086345923783</v>
      </c>
      <c r="N63" s="37">
        <f t="shared" si="23"/>
        <v>3707.8285900442229</v>
      </c>
      <c r="O63" s="37">
        <f t="shared" si="23"/>
        <v>3793.9507345077172</v>
      </c>
      <c r="P63" s="37">
        <f t="shared" si="23"/>
        <v>3882.7709057164516</v>
      </c>
      <c r="Q63" s="37">
        <f t="shared" si="23"/>
        <v>3973.7804166873784</v>
      </c>
      <c r="R63" s="37">
        <f t="shared" si="23"/>
        <v>4066.2203258803042</v>
      </c>
      <c r="S63" s="37">
        <f t="shared" si="23"/>
        <v>4154.0325525205599</v>
      </c>
      <c r="T63" s="37">
        <f t="shared" si="23"/>
        <v>4242.9947486588226</v>
      </c>
      <c r="U63" s="37">
        <f t="shared" si="23"/>
        <v>4331.9932354680313</v>
      </c>
      <c r="V63" s="37">
        <f t="shared" si="23"/>
        <v>4419.7792642307768</v>
      </c>
      <c r="W63" s="37">
        <f t="shared" si="23"/>
        <v>4509.051699382544</v>
      </c>
      <c r="X63" s="37">
        <f t="shared" si="23"/>
        <v>4597.6351893577939</v>
      </c>
      <c r="Y63" s="37">
        <f t="shared" si="23"/>
        <v>4686.8343972718703</v>
      </c>
      <c r="Z63" s="37">
        <f t="shared" si="23"/>
        <v>4774.845222862944</v>
      </c>
      <c r="AA63" s="37">
        <f t="shared" si="23"/>
        <v>4862.3663845889278</v>
      </c>
      <c r="AB63" s="37">
        <f t="shared" si="23"/>
        <v>4950.1308964511545</v>
      </c>
    </row>
    <row r="64" spans="1:28" x14ac:dyDescent="0.25">
      <c r="A64" s="4" t="s">
        <v>221</v>
      </c>
      <c r="B64" s="37">
        <f t="shared" ref="B64:AB64" si="24">B44*B15*$F$10</f>
        <v>2100.7168707015985</v>
      </c>
      <c r="C64" s="37">
        <f t="shared" si="24"/>
        <v>2178.4127487407036</v>
      </c>
      <c r="D64" s="37">
        <f t="shared" si="24"/>
        <v>2243.8630564433611</v>
      </c>
      <c r="E64" s="37">
        <f t="shared" si="24"/>
        <v>2310.7322716672807</v>
      </c>
      <c r="F64" s="37">
        <f t="shared" si="24"/>
        <v>2379.0431172229723</v>
      </c>
      <c r="G64" s="37">
        <f t="shared" si="24"/>
        <v>2449.0825684856072</v>
      </c>
      <c r="H64" s="37">
        <f t="shared" si="24"/>
        <v>2521.6438568768153</v>
      </c>
      <c r="I64" s="37">
        <f t="shared" si="24"/>
        <v>2600.8539720001936</v>
      </c>
      <c r="J64" s="37">
        <f t="shared" si="24"/>
        <v>2682.1745317634245</v>
      </c>
      <c r="K64" s="37">
        <f t="shared" si="24"/>
        <v>2766.2285897781308</v>
      </c>
      <c r="L64" s="37">
        <f t="shared" si="24"/>
        <v>2853.4918316145454</v>
      </c>
      <c r="M64" s="37">
        <f t="shared" si="24"/>
        <v>2943.2718232255625</v>
      </c>
      <c r="N64" s="37">
        <f t="shared" si="24"/>
        <v>3036.3400815363093</v>
      </c>
      <c r="O64" s="37">
        <f t="shared" si="24"/>
        <v>3132.1977999185674</v>
      </c>
      <c r="P64" s="37">
        <f t="shared" si="24"/>
        <v>3230.7140813767373</v>
      </c>
      <c r="Q64" s="37">
        <f t="shared" si="24"/>
        <v>3332.0390002493768</v>
      </c>
      <c r="R64" s="37">
        <f t="shared" si="24"/>
        <v>3435.5082640519204</v>
      </c>
      <c r="S64" s="37">
        <f t="shared" si="24"/>
        <v>3536.9999498660695</v>
      </c>
      <c r="T64" s="37">
        <f t="shared" si="24"/>
        <v>3640.3359723597687</v>
      </c>
      <c r="U64" s="37">
        <f t="shared" si="24"/>
        <v>3745.2745212760642</v>
      </c>
      <c r="V64" s="37">
        <f t="shared" si="24"/>
        <v>3851.3178888405723</v>
      </c>
      <c r="W64" s="37">
        <f t="shared" si="24"/>
        <v>3957.9359689577732</v>
      </c>
      <c r="X64" s="37">
        <f t="shared" si="24"/>
        <v>4065.6082568975785</v>
      </c>
      <c r="Y64" s="37">
        <f t="shared" si="24"/>
        <v>4173.5165527275576</v>
      </c>
      <c r="Z64" s="37">
        <f t="shared" si="24"/>
        <v>4281.6030020624758</v>
      </c>
      <c r="AA64" s="37">
        <f t="shared" si="24"/>
        <v>4388.90402604057</v>
      </c>
      <c r="AB64" s="37">
        <f t="shared" si="24"/>
        <v>4495.2962893749263</v>
      </c>
    </row>
    <row r="65" spans="1:28" x14ac:dyDescent="0.25">
      <c r="A65" s="4" t="s">
        <v>222</v>
      </c>
      <c r="B65" s="37">
        <f t="shared" ref="B65:AB65" si="25">B45*B15*$F$11</f>
        <v>34628.763630966016</v>
      </c>
      <c r="C65" s="37">
        <f t="shared" si="25"/>
        <v>35213.751647341283</v>
      </c>
      <c r="D65" s="37">
        <f t="shared" si="25"/>
        <v>35573.272582450474</v>
      </c>
      <c r="E65" s="37">
        <f t="shared" si="25"/>
        <v>35937.846733664221</v>
      </c>
      <c r="F65" s="37">
        <f t="shared" si="25"/>
        <v>36314.51647279811</v>
      </c>
      <c r="G65" s="37">
        <f t="shared" si="25"/>
        <v>36704.345804085155</v>
      </c>
      <c r="H65" s="37">
        <f t="shared" si="25"/>
        <v>37106.342605959006</v>
      </c>
      <c r="I65" s="37">
        <f t="shared" si="25"/>
        <v>37576.619885796987</v>
      </c>
      <c r="J65" s="37">
        <f t="shared" si="25"/>
        <v>38054.278933971247</v>
      </c>
      <c r="K65" s="37">
        <f t="shared" si="25"/>
        <v>38532.773746726438</v>
      </c>
      <c r="L65" s="37">
        <f t="shared" si="25"/>
        <v>39009.104334390933</v>
      </c>
      <c r="M65" s="37">
        <f t="shared" si="25"/>
        <v>39482.738455758074</v>
      </c>
      <c r="N65" s="37">
        <f t="shared" si="25"/>
        <v>39945.641821837846</v>
      </c>
      <c r="O65" s="37">
        <f t="shared" si="25"/>
        <v>40393.45051319195</v>
      </c>
      <c r="P65" s="37">
        <f t="shared" si="25"/>
        <v>40822.50772109536</v>
      </c>
      <c r="Q65" s="37">
        <f t="shared" si="25"/>
        <v>41226.005550751543</v>
      </c>
      <c r="R65" s="37">
        <f t="shared" si="25"/>
        <v>41599.742084833597</v>
      </c>
      <c r="S65" s="37">
        <f t="shared" si="25"/>
        <v>41890.994300429549</v>
      </c>
      <c r="T65" s="37">
        <f t="shared" si="25"/>
        <v>42145.249984736045</v>
      </c>
      <c r="U65" s="37">
        <f t="shared" si="25"/>
        <v>42362.086750229355</v>
      </c>
      <c r="V65" s="37">
        <f t="shared" si="25"/>
        <v>42531.098759872024</v>
      </c>
      <c r="W65" s="37">
        <f t="shared" si="25"/>
        <v>42649.754881640169</v>
      </c>
      <c r="X65" s="37">
        <f t="shared" si="25"/>
        <v>42717.277124297034</v>
      </c>
      <c r="Y65" s="37">
        <f t="shared" si="25"/>
        <v>42756.481843544374</v>
      </c>
      <c r="Z65" s="37">
        <f t="shared" si="25"/>
        <v>42747.83676572112</v>
      </c>
      <c r="AA65" s="37">
        <f t="shared" si="25"/>
        <v>42690.519028648152</v>
      </c>
      <c r="AB65" s="37">
        <f t="shared" si="25"/>
        <v>42587.334960763648</v>
      </c>
    </row>
    <row r="67" spans="1:28" x14ac:dyDescent="0.25">
      <c r="A67" s="4" t="s">
        <v>328</v>
      </c>
    </row>
    <row r="68" spans="1:28" x14ac:dyDescent="0.25">
      <c r="A68" s="4" t="s">
        <v>329</v>
      </c>
      <c r="B68" s="40">
        <f t="shared" ref="B68:AB68" si="26">B48+B49</f>
        <v>206.09206349517677</v>
      </c>
      <c r="C68" s="40">
        <f t="shared" si="26"/>
        <v>205.06718542189196</v>
      </c>
      <c r="D68" s="40">
        <f t="shared" si="26"/>
        <v>202.76794216550465</v>
      </c>
      <c r="E68" s="40">
        <f t="shared" si="26"/>
        <v>200.50025571338699</v>
      </c>
      <c r="F68" s="40">
        <f t="shared" si="26"/>
        <v>198.2290007739997</v>
      </c>
      <c r="G68" s="40">
        <f t="shared" si="26"/>
        <v>195.9784632797456</v>
      </c>
      <c r="H68" s="40">
        <f t="shared" si="26"/>
        <v>193.73785264976419</v>
      </c>
      <c r="I68" s="40">
        <f t="shared" si="26"/>
        <v>191.8239266215804</v>
      </c>
      <c r="J68" s="40">
        <f t="shared" si="26"/>
        <v>189.90423854878566</v>
      </c>
      <c r="K68" s="40">
        <f t="shared" si="26"/>
        <v>187.96077055006316</v>
      </c>
      <c r="L68" s="40">
        <f t="shared" si="26"/>
        <v>186.00477436248033</v>
      </c>
      <c r="M68" s="40">
        <f t="shared" si="26"/>
        <v>184.02496313967214</v>
      </c>
      <c r="N68" s="40">
        <f t="shared" si="26"/>
        <v>182.04465125293035</v>
      </c>
      <c r="O68" s="40">
        <f t="shared" si="26"/>
        <v>180.01507785803196</v>
      </c>
      <c r="P68" s="40">
        <f t="shared" si="26"/>
        <v>177.93706996801279</v>
      </c>
      <c r="Q68" s="40">
        <f t="shared" si="26"/>
        <v>175.84401864572629</v>
      </c>
      <c r="R68" s="40">
        <f t="shared" si="26"/>
        <v>173.71161880328592</v>
      </c>
      <c r="S68" s="40">
        <f t="shared" si="26"/>
        <v>171.37364545157357</v>
      </c>
      <c r="T68" s="40">
        <f t="shared" si="26"/>
        <v>169.0455554583329</v>
      </c>
      <c r="U68" s="40">
        <f t="shared" si="26"/>
        <v>166.74833528275443</v>
      </c>
      <c r="V68" s="40">
        <f t="shared" si="26"/>
        <v>164.50236269035537</v>
      </c>
      <c r="W68" s="40">
        <f t="shared" si="26"/>
        <v>162.3045618685432</v>
      </c>
      <c r="X68" s="40">
        <f t="shared" si="26"/>
        <v>160.21060487131706</v>
      </c>
      <c r="Y68" s="40">
        <f t="shared" si="26"/>
        <v>158.18258470239536</v>
      </c>
      <c r="Z68" s="40">
        <f t="shared" si="26"/>
        <v>156.21816223793962</v>
      </c>
      <c r="AA68" s="40">
        <f t="shared" si="26"/>
        <v>154.3142777883848</v>
      </c>
      <c r="AB68" s="40">
        <f t="shared" si="26"/>
        <v>152.49146996266171</v>
      </c>
    </row>
    <row r="69" spans="1:28" x14ac:dyDescent="0.25">
      <c r="A69" s="4" t="s">
        <v>330</v>
      </c>
      <c r="B69" s="40">
        <f t="shared" ref="B69:AB69" si="27">B50+B51+B52+B53</f>
        <v>218.75877473664696</v>
      </c>
      <c r="C69" s="40">
        <f t="shared" si="27"/>
        <v>218.48464067367274</v>
      </c>
      <c r="D69" s="40">
        <f t="shared" si="27"/>
        <v>216.7537898921822</v>
      </c>
      <c r="E69" s="40">
        <f t="shared" si="27"/>
        <v>215.11610234682541</v>
      </c>
      <c r="F69" s="40">
        <f t="shared" si="27"/>
        <v>213.45135597397257</v>
      </c>
      <c r="G69" s="40">
        <f t="shared" si="27"/>
        <v>211.74382919291901</v>
      </c>
      <c r="H69" s="40">
        <f t="shared" si="27"/>
        <v>210.18140739088784</v>
      </c>
      <c r="I69" s="40">
        <f t="shared" si="27"/>
        <v>208.8439706596003</v>
      </c>
      <c r="J69" s="40">
        <f t="shared" si="27"/>
        <v>207.53391075167849</v>
      </c>
      <c r="K69" s="40">
        <f t="shared" si="27"/>
        <v>206.09812830709819</v>
      </c>
      <c r="L69" s="40">
        <f t="shared" si="27"/>
        <v>204.68666137160514</v>
      </c>
      <c r="M69" s="40">
        <f t="shared" si="27"/>
        <v>203.14969445327861</v>
      </c>
      <c r="N69" s="40">
        <f t="shared" si="27"/>
        <v>201.67528235569031</v>
      </c>
      <c r="O69" s="40">
        <f t="shared" si="27"/>
        <v>200.08298188897641</v>
      </c>
      <c r="P69" s="40">
        <f t="shared" si="27"/>
        <v>198.39267245862038</v>
      </c>
      <c r="Q69" s="40">
        <f t="shared" si="27"/>
        <v>196.61611995711462</v>
      </c>
      <c r="R69" s="40">
        <f t="shared" si="27"/>
        <v>194.81329254491672</v>
      </c>
      <c r="S69" s="40">
        <f t="shared" si="27"/>
        <v>192.74771387990864</v>
      </c>
      <c r="T69" s="40">
        <f t="shared" si="27"/>
        <v>190.56410771265411</v>
      </c>
      <c r="U69" s="40">
        <f t="shared" si="27"/>
        <v>188.48648136439252</v>
      </c>
      <c r="V69" s="40">
        <f t="shared" si="27"/>
        <v>186.38645039088215</v>
      </c>
      <c r="W69" s="40">
        <f t="shared" si="27"/>
        <v>184.34047100771531</v>
      </c>
      <c r="X69" s="40">
        <f t="shared" si="27"/>
        <v>182.45407827009626</v>
      </c>
      <c r="Y69" s="40">
        <f t="shared" si="27"/>
        <v>180.51839210739138</v>
      </c>
      <c r="Z69" s="40">
        <f t="shared" si="27"/>
        <v>178.74801055495908</v>
      </c>
      <c r="AA69" s="40">
        <f t="shared" si="27"/>
        <v>176.93955901144454</v>
      </c>
      <c r="AB69" s="40">
        <f t="shared" si="27"/>
        <v>175.30043437201363</v>
      </c>
    </row>
    <row r="70" spans="1:28" x14ac:dyDescent="0.25">
      <c r="A70" s="4" t="s">
        <v>331</v>
      </c>
      <c r="B70" s="40">
        <f t="shared" ref="B70:AB70" si="28">B54+B55</f>
        <v>203.45879122203382</v>
      </c>
      <c r="C70" s="40">
        <f t="shared" si="28"/>
        <v>202.25299576460409</v>
      </c>
      <c r="D70" s="40">
        <f t="shared" si="28"/>
        <v>199.78048552877323</v>
      </c>
      <c r="E70" s="40">
        <f t="shared" si="28"/>
        <v>197.33511090492846</v>
      </c>
      <c r="F70" s="40">
        <f t="shared" si="28"/>
        <v>194.86975572996022</v>
      </c>
      <c r="G70" s="40">
        <f t="shared" si="28"/>
        <v>192.44306844974565</v>
      </c>
      <c r="H70" s="40">
        <f t="shared" si="28"/>
        <v>190.02917218012726</v>
      </c>
      <c r="I70" s="40">
        <f t="shared" si="28"/>
        <v>187.9390077421551</v>
      </c>
      <c r="J70" s="40">
        <f t="shared" si="28"/>
        <v>185.84917921073099</v>
      </c>
      <c r="K70" s="40">
        <f t="shared" si="28"/>
        <v>183.73999588030125</v>
      </c>
      <c r="L70" s="40">
        <f t="shared" si="28"/>
        <v>181.6287445381933</v>
      </c>
      <c r="M70" s="40">
        <f t="shared" si="28"/>
        <v>179.5024174576173</v>
      </c>
      <c r="N70" s="40">
        <f t="shared" si="28"/>
        <v>177.38598539088784</v>
      </c>
      <c r="O70" s="40">
        <f t="shared" si="28"/>
        <v>175.2281216099914</v>
      </c>
      <c r="P70" s="40">
        <f t="shared" si="28"/>
        <v>173.04181262370503</v>
      </c>
      <c r="Q70" s="40">
        <f t="shared" si="28"/>
        <v>170.85033699018877</v>
      </c>
      <c r="R70" s="40">
        <f t="shared" si="28"/>
        <v>168.64061744386504</v>
      </c>
      <c r="S70" s="40">
        <f t="shared" si="28"/>
        <v>166.22812665735245</v>
      </c>
      <c r="T70" s="40">
        <f t="shared" si="28"/>
        <v>163.8412367398646</v>
      </c>
      <c r="U70" s="40">
        <f t="shared" si="28"/>
        <v>161.5027253867174</v>
      </c>
      <c r="V70" s="40">
        <f t="shared" si="28"/>
        <v>159.21674808636533</v>
      </c>
      <c r="W70" s="40">
        <f t="shared" si="28"/>
        <v>157.00270554063047</v>
      </c>
      <c r="X70" s="40">
        <f t="shared" si="28"/>
        <v>154.87523873301802</v>
      </c>
      <c r="Y70" s="40">
        <f t="shared" si="28"/>
        <v>152.8214601747498</v>
      </c>
      <c r="Z70" s="40">
        <f t="shared" si="28"/>
        <v>150.83412577402549</v>
      </c>
      <c r="AA70" s="40">
        <f t="shared" si="28"/>
        <v>148.90611020870108</v>
      </c>
      <c r="AB70" s="40">
        <f t="shared" si="28"/>
        <v>147.05546865274994</v>
      </c>
    </row>
    <row r="71" spans="1:28" x14ac:dyDescent="0.25">
      <c r="A71" s="4" t="s">
        <v>332</v>
      </c>
      <c r="B71" s="40">
        <f t="shared" ref="B71:AB71" si="29">B58+B59</f>
        <v>35257.228088316668</v>
      </c>
      <c r="C71" s="40">
        <f t="shared" si="29"/>
        <v>35914.217606217091</v>
      </c>
      <c r="D71" s="40">
        <f t="shared" si="29"/>
        <v>36343.718118783581</v>
      </c>
      <c r="E71" s="40">
        <f t="shared" si="29"/>
        <v>36779.93891982286</v>
      </c>
      <c r="F71" s="40">
        <f t="shared" si="29"/>
        <v>37229.450098063062</v>
      </c>
      <c r="G71" s="40">
        <f t="shared" si="29"/>
        <v>37693.65635815639</v>
      </c>
      <c r="H71" s="40">
        <f t="shared" si="29"/>
        <v>38172.773838731126</v>
      </c>
      <c r="I71" s="40">
        <f t="shared" si="29"/>
        <v>38724.98621604708</v>
      </c>
      <c r="J71" s="40">
        <f t="shared" si="29"/>
        <v>39287.057919021143</v>
      </c>
      <c r="K71" s="40">
        <f t="shared" si="29"/>
        <v>39853.821760000879</v>
      </c>
      <c r="L71" s="40">
        <f t="shared" si="29"/>
        <v>40423.172136229972</v>
      </c>
      <c r="M71" s="40">
        <f t="shared" si="29"/>
        <v>40993.613518376456</v>
      </c>
      <c r="N71" s="40">
        <f t="shared" si="29"/>
        <v>41558.800320542017</v>
      </c>
      <c r="O71" s="40">
        <f t="shared" si="29"/>
        <v>42113.963278075287</v>
      </c>
      <c r="P71" s="40">
        <f t="shared" si="29"/>
        <v>42655.504270024438</v>
      </c>
      <c r="Q71" s="40">
        <f t="shared" si="29"/>
        <v>43177.329741572394</v>
      </c>
      <c r="R71" s="40">
        <f t="shared" si="29"/>
        <v>43674.56173885629</v>
      </c>
      <c r="S71" s="40">
        <f t="shared" si="29"/>
        <v>44092.2009861197</v>
      </c>
      <c r="T71" s="40">
        <f t="shared" si="29"/>
        <v>44478.100802636283</v>
      </c>
      <c r="U71" s="40">
        <f t="shared" si="29"/>
        <v>44831.530259026622</v>
      </c>
      <c r="V71" s="40">
        <f t="shared" si="29"/>
        <v>45142.087861823762</v>
      </c>
      <c r="W71" s="40">
        <f t="shared" si="29"/>
        <v>45406.673555429865</v>
      </c>
      <c r="X71" s="40">
        <f t="shared" si="29"/>
        <v>45625.249263081831</v>
      </c>
      <c r="Y71" s="40">
        <f t="shared" si="29"/>
        <v>45817.84495754716</v>
      </c>
      <c r="Z71" s="40">
        <f t="shared" si="29"/>
        <v>45966.215986637049</v>
      </c>
      <c r="AA71" s="40">
        <f t="shared" si="29"/>
        <v>46068.219202450433</v>
      </c>
      <c r="AB71" s="40">
        <f t="shared" si="29"/>
        <v>46126.292379985651</v>
      </c>
    </row>
    <row r="72" spans="1:28" x14ac:dyDescent="0.25">
      <c r="A72" s="4" t="s">
        <v>333</v>
      </c>
      <c r="B72" s="40">
        <f t="shared" ref="B72:AB72" si="30">B60+B61+B62+B63</f>
        <v>33650.6609091719</v>
      </c>
      <c r="C72" s="40">
        <f t="shared" si="30"/>
        <v>34286.22016150345</v>
      </c>
      <c r="D72" s="40">
        <f t="shared" si="30"/>
        <v>34705.828750270673</v>
      </c>
      <c r="E72" s="40">
        <f t="shared" si="30"/>
        <v>35134.582758957724</v>
      </c>
      <c r="F72" s="40">
        <f t="shared" si="30"/>
        <v>35574.349319546454</v>
      </c>
      <c r="G72" s="40">
        <f t="shared" si="30"/>
        <v>36029.682944756234</v>
      </c>
      <c r="H72" s="40">
        <f t="shared" si="30"/>
        <v>36498.690027417411</v>
      </c>
      <c r="I72" s="40">
        <f t="shared" si="30"/>
        <v>37036.450635941692</v>
      </c>
      <c r="J72" s="40">
        <f t="shared" si="30"/>
        <v>37583.196128130745</v>
      </c>
      <c r="K72" s="40">
        <f t="shared" si="30"/>
        <v>38136.867598825265</v>
      </c>
      <c r="L72" s="40">
        <f t="shared" si="30"/>
        <v>38692.765314725082</v>
      </c>
      <c r="M72" s="40">
        <f t="shared" si="30"/>
        <v>39250.513646029889</v>
      </c>
      <c r="N72" s="40">
        <f t="shared" si="30"/>
        <v>39802.851481052778</v>
      </c>
      <c r="O72" s="40">
        <f t="shared" si="30"/>
        <v>40346.048967485913</v>
      </c>
      <c r="P72" s="40">
        <f t="shared" si="30"/>
        <v>40877.23058388925</v>
      </c>
      <c r="Q72" s="40">
        <f t="shared" si="30"/>
        <v>41390.736585297193</v>
      </c>
      <c r="R72" s="40">
        <f t="shared" si="30"/>
        <v>41881.458228658266</v>
      </c>
      <c r="S72" s="40">
        <f t="shared" si="30"/>
        <v>42295.90138750906</v>
      </c>
      <c r="T72" s="40">
        <f t="shared" si="30"/>
        <v>42681.127894491685</v>
      </c>
      <c r="U72" s="40">
        <f t="shared" si="30"/>
        <v>43035.845223047305</v>
      </c>
      <c r="V72" s="40">
        <f t="shared" si="30"/>
        <v>43349.307614320081</v>
      </c>
      <c r="W72" s="40">
        <f t="shared" si="30"/>
        <v>43620.947324103239</v>
      </c>
      <c r="X72" s="40">
        <f t="shared" si="30"/>
        <v>43849.194266021885</v>
      </c>
      <c r="Y72" s="40">
        <f t="shared" si="30"/>
        <v>44053.883638186024</v>
      </c>
      <c r="Z72" s="40">
        <f t="shared" si="30"/>
        <v>44216.651798653365</v>
      </c>
      <c r="AA72" s="40">
        <f t="shared" si="30"/>
        <v>44335.95664506442</v>
      </c>
      <c r="AB72" s="40">
        <f t="shared" si="30"/>
        <v>44415.023434110386</v>
      </c>
    </row>
    <row r="73" spans="1:28" x14ac:dyDescent="0.25">
      <c r="A73" s="4" t="s">
        <v>334</v>
      </c>
      <c r="B73" s="40">
        <f t="shared" ref="B73:AB73" si="31">B64+B65</f>
        <v>36729.480501667611</v>
      </c>
      <c r="C73" s="40">
        <f t="shared" si="31"/>
        <v>37392.164396081986</v>
      </c>
      <c r="D73" s="40">
        <f t="shared" si="31"/>
        <v>37817.135638893837</v>
      </c>
      <c r="E73" s="40">
        <f t="shared" si="31"/>
        <v>38248.5790053315</v>
      </c>
      <c r="F73" s="40">
        <f t="shared" si="31"/>
        <v>38693.559590021083</v>
      </c>
      <c r="G73" s="40">
        <f t="shared" si="31"/>
        <v>39153.428372570765</v>
      </c>
      <c r="H73" s="40">
        <f t="shared" si="31"/>
        <v>39627.986462835819</v>
      </c>
      <c r="I73" s="40">
        <f t="shared" si="31"/>
        <v>40177.47385779718</v>
      </c>
      <c r="J73" s="40">
        <f t="shared" si="31"/>
        <v>40736.453465734674</v>
      </c>
      <c r="K73" s="40">
        <f t="shared" si="31"/>
        <v>41299.002336504571</v>
      </c>
      <c r="L73" s="40">
        <f t="shared" si="31"/>
        <v>41862.596166005482</v>
      </c>
      <c r="M73" s="40">
        <f t="shared" si="31"/>
        <v>42426.010278983638</v>
      </c>
      <c r="N73" s="40">
        <f t="shared" si="31"/>
        <v>42981.981903374151</v>
      </c>
      <c r="O73" s="40">
        <f t="shared" si="31"/>
        <v>43525.64831311052</v>
      </c>
      <c r="P73" s="40">
        <f t="shared" si="31"/>
        <v>44053.221802472101</v>
      </c>
      <c r="Q73" s="40">
        <f t="shared" si="31"/>
        <v>44558.044551000916</v>
      </c>
      <c r="R73" s="40">
        <f t="shared" si="31"/>
        <v>45035.250348885515</v>
      </c>
      <c r="S73" s="40">
        <f t="shared" si="31"/>
        <v>45427.994250295618</v>
      </c>
      <c r="T73" s="40">
        <f t="shared" si="31"/>
        <v>45785.585957095813</v>
      </c>
      <c r="U73" s="40">
        <f t="shared" si="31"/>
        <v>46107.361271505419</v>
      </c>
      <c r="V73" s="40">
        <f t="shared" si="31"/>
        <v>46382.416648712599</v>
      </c>
      <c r="W73" s="40">
        <f t="shared" si="31"/>
        <v>46607.690850597945</v>
      </c>
      <c r="X73" s="40">
        <f t="shared" si="31"/>
        <v>46782.88538119461</v>
      </c>
      <c r="Y73" s="40">
        <f t="shared" si="31"/>
        <v>46929.998396271934</v>
      </c>
      <c r="Z73" s="40">
        <f t="shared" si="31"/>
        <v>47029.439767783595</v>
      </c>
      <c r="AA73" s="40">
        <f t="shared" si="31"/>
        <v>47079.423054688719</v>
      </c>
      <c r="AB73" s="40">
        <f t="shared" si="31"/>
        <v>47082.631250138576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115.05953592633705</v>
      </c>
      <c r="C2" s="37">
        <f>BDbDT_calcs!C48</f>
        <v>114.38143658489754</v>
      </c>
      <c r="D2" s="37">
        <f>BDbDT_calcs!D48</f>
        <v>112.98744059746436</v>
      </c>
      <c r="E2" s="37">
        <f>BDbDT_calcs!E48</f>
        <v>111.61874066473098</v>
      </c>
      <c r="F2" s="37">
        <f>BDbDT_calcs!F48</f>
        <v>110.25160451287863</v>
      </c>
      <c r="G2" s="37">
        <f>BDbDT_calcs!G48</f>
        <v>108.88616960035853</v>
      </c>
      <c r="H2" s="37">
        <f>BDbDT_calcs!H48</f>
        <v>107.52312384623529</v>
      </c>
      <c r="I2" s="37">
        <f>BDbDT_calcs!I48</f>
        <v>106.39102741704936</v>
      </c>
      <c r="J2" s="37">
        <f>BDbDT_calcs!J48</f>
        <v>105.19909577571877</v>
      </c>
      <c r="K2" s="37">
        <f>BDbDT_calcs!K48</f>
        <v>104.03910437156915</v>
      </c>
      <c r="L2" s="37">
        <f>BDbDT_calcs!L48</f>
        <v>102.82753711626489</v>
      </c>
      <c r="M2" s="37">
        <f>BDbDT_calcs!M48</f>
        <v>101.64763326376773</v>
      </c>
      <c r="N2" s="37">
        <f>BDbDT_calcs!N48</f>
        <v>100.51083259418364</v>
      </c>
      <c r="O2" s="37">
        <f>BDbDT_calcs!O48</f>
        <v>99.250814893977974</v>
      </c>
      <c r="P2" s="37">
        <f>BDbDT_calcs!P48</f>
        <v>98.045092316126471</v>
      </c>
      <c r="Q2" s="37">
        <f>BDbDT_calcs!Q48</f>
        <v>96.786413808634421</v>
      </c>
      <c r="R2" s="37">
        <f>BDbDT_calcs!R48</f>
        <v>95.533205832001627</v>
      </c>
      <c r="S2" s="37">
        <f>BDbDT_calcs!S48</f>
        <v>94.151216784290952</v>
      </c>
      <c r="T2" s="37">
        <f>BDbDT_calcs!T48</f>
        <v>92.787823154610834</v>
      </c>
      <c r="U2" s="37">
        <f>BDbDT_calcs!U48</f>
        <v>91.441634550935007</v>
      </c>
      <c r="V2" s="37">
        <f>BDbDT_calcs!V48</f>
        <v>90.111008762040512</v>
      </c>
      <c r="W2" s="37">
        <f>BDbDT_calcs!W48</f>
        <v>88.805952993407743</v>
      </c>
      <c r="X2" s="37">
        <f>BDbDT_calcs!X48</f>
        <v>87.606760718185555</v>
      </c>
      <c r="Y2" s="37">
        <f>BDbDT_calcs!Y48</f>
        <v>86.418334630448427</v>
      </c>
      <c r="Z2" s="37">
        <f>BDbDT_calcs!Z48</f>
        <v>85.297674924197267</v>
      </c>
      <c r="AA2" s="37">
        <f>BDbDT_calcs!AA48</f>
        <v>84.196469096967718</v>
      </c>
      <c r="AB2" s="37">
        <f>BDbDT_calcs!AB48</f>
        <v>83.10167993075882</v>
      </c>
    </row>
    <row r="3" spans="1:28" x14ac:dyDescent="0.25">
      <c r="A3" s="4" t="s">
        <v>216</v>
      </c>
      <c r="B3" s="37">
        <f>BDbDT_calcs!B49</f>
        <v>91.03252756883974</v>
      </c>
      <c r="C3" s="37">
        <f>BDbDT_calcs!C49</f>
        <v>90.685748836994406</v>
      </c>
      <c r="D3" s="37">
        <f>BDbDT_calcs!D49</f>
        <v>89.780501568040293</v>
      </c>
      <c r="E3" s="37">
        <f>BDbDT_calcs!E49</f>
        <v>88.881515048656013</v>
      </c>
      <c r="F3" s="37">
        <f>BDbDT_calcs!F49</f>
        <v>87.977396261121072</v>
      </c>
      <c r="G3" s="37">
        <f>BDbDT_calcs!G49</f>
        <v>87.092293679387055</v>
      </c>
      <c r="H3" s="37">
        <f>BDbDT_calcs!H49</f>
        <v>86.214728803528885</v>
      </c>
      <c r="I3" s="37">
        <f>BDbDT_calcs!I49</f>
        <v>85.43289920453104</v>
      </c>
      <c r="J3" s="37">
        <f>BDbDT_calcs!J49</f>
        <v>84.705142773066868</v>
      </c>
      <c r="K3" s="37">
        <f>BDbDT_calcs!K49</f>
        <v>83.921666178494021</v>
      </c>
      <c r="L3" s="37">
        <f>BDbDT_calcs!L49</f>
        <v>83.177237246215441</v>
      </c>
      <c r="M3" s="37">
        <f>BDbDT_calcs!M49</f>
        <v>82.377329875904422</v>
      </c>
      <c r="N3" s="37">
        <f>BDbDT_calcs!N49</f>
        <v>81.533818658746696</v>
      </c>
      <c r="O3" s="37">
        <f>BDbDT_calcs!O49</f>
        <v>80.764262964053984</v>
      </c>
      <c r="P3" s="37">
        <f>BDbDT_calcs!P49</f>
        <v>79.891977651886307</v>
      </c>
      <c r="Q3" s="37">
        <f>BDbDT_calcs!Q49</f>
        <v>79.057604837091858</v>
      </c>
      <c r="R3" s="37">
        <f>BDbDT_calcs!R49</f>
        <v>78.178412971284288</v>
      </c>
      <c r="S3" s="37">
        <f>BDbDT_calcs!S49</f>
        <v>77.222428667282628</v>
      </c>
      <c r="T3" s="37">
        <f>BDbDT_calcs!T49</f>
        <v>76.257732303722079</v>
      </c>
      <c r="U3" s="37">
        <f>BDbDT_calcs!U49</f>
        <v>75.306700731819419</v>
      </c>
      <c r="V3" s="37">
        <f>BDbDT_calcs!V49</f>
        <v>74.391353928314842</v>
      </c>
      <c r="W3" s="37">
        <f>BDbDT_calcs!W49</f>
        <v>73.498608875135446</v>
      </c>
      <c r="X3" s="37">
        <f>BDbDT_calcs!X49</f>
        <v>72.603844153131519</v>
      </c>
      <c r="Y3" s="37">
        <f>BDbDT_calcs!Y49</f>
        <v>71.764250071946933</v>
      </c>
      <c r="Z3" s="37">
        <f>BDbDT_calcs!Z49</f>
        <v>70.920487313742356</v>
      </c>
      <c r="AA3" s="37">
        <f>BDbDT_calcs!AA49</f>
        <v>70.117808691417068</v>
      </c>
      <c r="AB3" s="37">
        <f>BDbDT_calcs!AB49</f>
        <v>69.389790031902876</v>
      </c>
    </row>
    <row r="4" spans="1:28" x14ac:dyDescent="0.25">
      <c r="A4" s="4" t="s">
        <v>217</v>
      </c>
      <c r="B4" s="37">
        <f>BDbDT_calcs!B50</f>
        <v>115.98407096491459</v>
      </c>
      <c r="C4" s="37">
        <f>BDbDT_calcs!C50</f>
        <v>115.41097627168138</v>
      </c>
      <c r="D4" s="37">
        <f>BDbDT_calcs!D50</f>
        <v>114.13925644757049</v>
      </c>
      <c r="E4" s="37">
        <f>BDbDT_calcs!E50</f>
        <v>112.86851859047047</v>
      </c>
      <c r="F4" s="37">
        <f>BDbDT_calcs!F50</f>
        <v>111.61120054396062</v>
      </c>
      <c r="G4" s="37">
        <f>BDbDT_calcs!G50</f>
        <v>110.37892337552815</v>
      </c>
      <c r="H4" s="37">
        <f>BDbDT_calcs!H50</f>
        <v>109.12600921108377</v>
      </c>
      <c r="I4" s="37">
        <f>BDbDT_calcs!I50</f>
        <v>108.08177818768218</v>
      </c>
      <c r="J4" s="37">
        <f>BDbDT_calcs!J50</f>
        <v>107.00377471267919</v>
      </c>
      <c r="K4" s="37">
        <f>BDbDT_calcs!K50</f>
        <v>105.89974664121948</v>
      </c>
      <c r="L4" s="37">
        <f>BDbDT_calcs!L50</f>
        <v>104.7583633161703</v>
      </c>
      <c r="M4" s="37">
        <f>BDbDT_calcs!M50</f>
        <v>103.57967862452774</v>
      </c>
      <c r="N4" s="37">
        <f>BDbDT_calcs!N50</f>
        <v>102.36359351874643</v>
      </c>
      <c r="O4" s="37">
        <f>BDbDT_calcs!O50</f>
        <v>101.07575531349744</v>
      </c>
      <c r="P4" s="37">
        <f>BDbDT_calcs!P50</f>
        <v>99.761503463394178</v>
      </c>
      <c r="Q4" s="37">
        <f>BDbDT_calcs!Q50</f>
        <v>98.40883382015879</v>
      </c>
      <c r="R4" s="37">
        <f>BDbDT_calcs!R50</f>
        <v>97.017005112162096</v>
      </c>
      <c r="S4" s="37">
        <f>BDbDT_calcs!S50</f>
        <v>95.496574214786335</v>
      </c>
      <c r="T4" s="37">
        <f>BDbDT_calcs!T50</f>
        <v>93.995401290462283</v>
      </c>
      <c r="U4" s="37">
        <f>BDbDT_calcs!U50</f>
        <v>92.512023375835597</v>
      </c>
      <c r="V4" s="37">
        <f>BDbDT_calcs!V50</f>
        <v>91.056029010641993</v>
      </c>
      <c r="W4" s="37">
        <f>BDbDT_calcs!W50</f>
        <v>89.64816518776918</v>
      </c>
      <c r="X4" s="37">
        <f>BDbDT_calcs!X50</f>
        <v>88.297855408728836</v>
      </c>
      <c r="Y4" s="37">
        <f>BDbDT_calcs!Y50</f>
        <v>86.981223309098084</v>
      </c>
      <c r="Z4" s="37">
        <f>BDbDT_calcs!Z50</f>
        <v>85.707940463400661</v>
      </c>
      <c r="AA4" s="37">
        <f>BDbDT_calcs!AA50</f>
        <v>84.49894680397631</v>
      </c>
      <c r="AB4" s="37">
        <f>BDbDT_calcs!AB50</f>
        <v>83.330269872736892</v>
      </c>
    </row>
    <row r="5" spans="1:28" x14ac:dyDescent="0.25">
      <c r="A5" s="4" t="s">
        <v>218</v>
      </c>
      <c r="B5" s="37">
        <f>BDbDT_calcs!B51</f>
        <v>33.112621750535254</v>
      </c>
      <c r="C5" s="37">
        <f>BDbDT_calcs!C51</f>
        <v>32.72102366831696</v>
      </c>
      <c r="D5" s="37">
        <f>BDbDT_calcs!D51</f>
        <v>32.135739801609319</v>
      </c>
      <c r="E5" s="37">
        <f>BDbDT_calcs!E51</f>
        <v>31.545271322919813</v>
      </c>
      <c r="F5" s="37">
        <f>BDbDT_calcs!F51</f>
        <v>30.949832008968155</v>
      </c>
      <c r="G5" s="37">
        <f>BDbDT_calcs!G51</f>
        <v>30.363386166275536</v>
      </c>
      <c r="H5" s="37">
        <f>BDbDT_calcs!H51</f>
        <v>29.765114430237041</v>
      </c>
      <c r="I5" s="37">
        <f>BDbDT_calcs!I51</f>
        <v>29.229115108614582</v>
      </c>
      <c r="J5" s="37">
        <f>BDbDT_calcs!J51</f>
        <v>28.700578892457919</v>
      </c>
      <c r="K5" s="37">
        <f>BDbDT_calcs!K51</f>
        <v>28.178287809747133</v>
      </c>
      <c r="L5" s="37">
        <f>BDbDT_calcs!L51</f>
        <v>27.675874932156507</v>
      </c>
      <c r="M5" s="37">
        <f>BDbDT_calcs!M51</f>
        <v>27.199989287788142</v>
      </c>
      <c r="N5" s="37">
        <f>BDbDT_calcs!N51</f>
        <v>26.729756456787172</v>
      </c>
      <c r="O5" s="37">
        <f>BDbDT_calcs!O51</f>
        <v>26.285580478857177</v>
      </c>
      <c r="P5" s="37">
        <f>BDbDT_calcs!P51</f>
        <v>25.84663201293764</v>
      </c>
      <c r="Q5" s="37">
        <f>BDbDT_calcs!Q51</f>
        <v>25.426355810583612</v>
      </c>
      <c r="R5" s="37">
        <f>BDbDT_calcs!R51</f>
        <v>25.01760860939353</v>
      </c>
      <c r="S5" s="37">
        <f>BDbDT_calcs!S51</f>
        <v>24.584604183580588</v>
      </c>
      <c r="T5" s="37">
        <f>BDbDT_calcs!T51</f>
        <v>24.163514706025939</v>
      </c>
      <c r="U5" s="37">
        <f>BDbDT_calcs!U51</f>
        <v>23.747107104966894</v>
      </c>
      <c r="V5" s="37">
        <f>BDbDT_calcs!V51</f>
        <v>23.348525008571841</v>
      </c>
      <c r="W5" s="37">
        <f>BDbDT_calcs!W51</f>
        <v>22.946873990145018</v>
      </c>
      <c r="X5" s="37">
        <f>BDbDT_calcs!X51</f>
        <v>22.562072621691094</v>
      </c>
      <c r="Y5" s="37">
        <f>BDbDT_calcs!Y51</f>
        <v>22.200534133478616</v>
      </c>
      <c r="Z5" s="37">
        <f>BDbDT_calcs!Z51</f>
        <v>21.841492072616138</v>
      </c>
      <c r="AA5" s="37">
        <f>BDbDT_calcs!AA51</f>
        <v>21.498097105925371</v>
      </c>
      <c r="AB5" s="37">
        <f>BDbDT_calcs!AB51</f>
        <v>21.156443535194697</v>
      </c>
    </row>
    <row r="6" spans="1:28" x14ac:dyDescent="0.25">
      <c r="A6" s="4" t="s">
        <v>219</v>
      </c>
      <c r="B6" s="37">
        <f>BDbDT_calcs!B52</f>
        <v>4.4991862965781557</v>
      </c>
      <c r="C6" s="37">
        <f>BDbDT_calcs!C52</f>
        <v>4.522373142145959</v>
      </c>
      <c r="D6" s="37">
        <f>BDbDT_calcs!D52</f>
        <v>4.5175942671598284</v>
      </c>
      <c r="E6" s="37">
        <f>BDbDT_calcs!E52</f>
        <v>4.5185624701762626</v>
      </c>
      <c r="F6" s="37">
        <f>BDbDT_calcs!F52</f>
        <v>4.5200879357998547</v>
      </c>
      <c r="G6" s="37">
        <f>BDbDT_calcs!G52</f>
        <v>4.5221919472204224</v>
      </c>
      <c r="H6" s="37">
        <f>BDbDT_calcs!H52</f>
        <v>4.5249205437263527</v>
      </c>
      <c r="I6" s="37">
        <f>BDbDT_calcs!I52</f>
        <v>4.5354910114083937</v>
      </c>
      <c r="J6" s="37">
        <f>BDbDT_calcs!J52</f>
        <v>4.5468276242516197</v>
      </c>
      <c r="K6" s="37">
        <f>BDbDT_calcs!K52</f>
        <v>4.5689750279821393</v>
      </c>
      <c r="L6" s="37">
        <f>BDbDT_calcs!L52</f>
        <v>4.581563308197719</v>
      </c>
      <c r="M6" s="37">
        <f>BDbDT_calcs!M52</f>
        <v>4.594817838759421</v>
      </c>
      <c r="N6" s="37">
        <f>BDbDT_calcs!N52</f>
        <v>4.6087539998260949</v>
      </c>
      <c r="O6" s="37">
        <f>BDbDT_calcs!O52</f>
        <v>4.6233878085455107</v>
      </c>
      <c r="P6" s="37">
        <f>BDbDT_calcs!P52</f>
        <v>4.6336713055153469</v>
      </c>
      <c r="Q6" s="37">
        <f>BDbDT_calcs!Q52</f>
        <v>4.6497277208056218</v>
      </c>
      <c r="R6" s="37">
        <f>BDbDT_calcs!R52</f>
        <v>4.656388722296315</v>
      </c>
      <c r="S6" s="37">
        <f>BDbDT_calcs!S52</f>
        <v>4.6633705588698176</v>
      </c>
      <c r="T6" s="37">
        <f>BDbDT_calcs!T52</f>
        <v>4.6760546669708329</v>
      </c>
      <c r="U6" s="37">
        <f>BDbDT_calcs!U52</f>
        <v>4.6793053896355792</v>
      </c>
      <c r="V6" s="37">
        <f>BDbDT_calcs!V52</f>
        <v>4.688171708229997</v>
      </c>
      <c r="W6" s="37">
        <f>BDbDT_calcs!W52</f>
        <v>4.697560737004987</v>
      </c>
      <c r="X6" s="37">
        <f>BDbDT_calcs!X52</f>
        <v>4.7024026587587127</v>
      </c>
      <c r="Y6" s="37">
        <f>BDbDT_calcs!Y52</f>
        <v>4.7176823667341443</v>
      </c>
      <c r="Z6" s="37">
        <f>BDbDT_calcs!Z52</f>
        <v>4.7233184045688006</v>
      </c>
      <c r="AA6" s="37">
        <f>BDbDT_calcs!AA52</f>
        <v>4.7292642432649759</v>
      </c>
      <c r="AB6" s="37">
        <f>BDbDT_calcs!AB52</f>
        <v>4.735458252263042</v>
      </c>
    </row>
    <row r="7" spans="1:28" x14ac:dyDescent="0.25">
      <c r="A7" s="4" t="s">
        <v>220</v>
      </c>
      <c r="B7" s="37">
        <f>BDbDT_calcs!B53</f>
        <v>65.162895724618949</v>
      </c>
      <c r="C7" s="37">
        <f>BDbDT_calcs!C53</f>
        <v>65.83026759152844</v>
      </c>
      <c r="D7" s="37">
        <f>BDbDT_calcs!D53</f>
        <v>65.96119937584254</v>
      </c>
      <c r="E7" s="37">
        <f>BDbDT_calcs!E53</f>
        <v>66.183749963258876</v>
      </c>
      <c r="F7" s="37">
        <f>BDbDT_calcs!F53</f>
        <v>66.370235485243938</v>
      </c>
      <c r="G7" s="37">
        <f>BDbDT_calcs!G53</f>
        <v>66.479327703894896</v>
      </c>
      <c r="H7" s="37">
        <f>BDbDT_calcs!H53</f>
        <v>66.7653632058407</v>
      </c>
      <c r="I7" s="37">
        <f>BDbDT_calcs!I53</f>
        <v>66.997586351895151</v>
      </c>
      <c r="J7" s="37">
        <f>BDbDT_calcs!J53</f>
        <v>67.282729522289785</v>
      </c>
      <c r="K7" s="37">
        <f>BDbDT_calcs!K53</f>
        <v>67.451118828149433</v>
      </c>
      <c r="L7" s="37">
        <f>BDbDT_calcs!L53</f>
        <v>67.670859815080604</v>
      </c>
      <c r="M7" s="37">
        <f>BDbDT_calcs!M53</f>
        <v>67.775208702203315</v>
      </c>
      <c r="N7" s="37">
        <f>BDbDT_calcs!N53</f>
        <v>67.973178380330609</v>
      </c>
      <c r="O7" s="37">
        <f>BDbDT_calcs!O53</f>
        <v>68.098258288076281</v>
      </c>
      <c r="P7" s="37">
        <f>BDbDT_calcs!P53</f>
        <v>68.150865676773194</v>
      </c>
      <c r="Q7" s="37">
        <f>BDbDT_calcs!Q53</f>
        <v>68.131202605566571</v>
      </c>
      <c r="R7" s="37">
        <f>BDbDT_calcs!R53</f>
        <v>68.122290101064777</v>
      </c>
      <c r="S7" s="37">
        <f>BDbDT_calcs!S53</f>
        <v>68.003164922671914</v>
      </c>
      <c r="T7" s="37">
        <f>BDbDT_calcs!T53</f>
        <v>67.729137049195046</v>
      </c>
      <c r="U7" s="37">
        <f>BDbDT_calcs!U53</f>
        <v>67.548045493954447</v>
      </c>
      <c r="V7" s="37">
        <f>BDbDT_calcs!V53</f>
        <v>67.293724663438326</v>
      </c>
      <c r="W7" s="37">
        <f>BDbDT_calcs!W53</f>
        <v>67.047871092796115</v>
      </c>
      <c r="X7" s="37">
        <f>BDbDT_calcs!X53</f>
        <v>66.89174758091761</v>
      </c>
      <c r="Y7" s="37">
        <f>BDbDT_calcs!Y53</f>
        <v>66.618952298080544</v>
      </c>
      <c r="Z7" s="37">
        <f>BDbDT_calcs!Z53</f>
        <v>66.475259614373471</v>
      </c>
      <c r="AA7" s="37">
        <f>BDbDT_calcs!AA53</f>
        <v>66.213250858277888</v>
      </c>
      <c r="AB7" s="37">
        <f>BDbDT_calcs!AB53</f>
        <v>66.078262711818979</v>
      </c>
    </row>
    <row r="8" spans="1:28" x14ac:dyDescent="0.25">
      <c r="A8" s="4" t="s">
        <v>221</v>
      </c>
      <c r="B8" s="37">
        <f>BDbDT_calcs!B54</f>
        <v>32.263799033807196</v>
      </c>
      <c r="C8" s="37">
        <f>BDbDT_calcs!C54</f>
        <v>32.452089235572714</v>
      </c>
      <c r="D8" s="37">
        <f>BDbDT_calcs!D54</f>
        <v>32.456389372475336</v>
      </c>
      <c r="E8" s="37">
        <f>BDbDT_calcs!E54</f>
        <v>32.47270408551752</v>
      </c>
      <c r="F8" s="37">
        <f>BDbDT_calcs!F54</f>
        <v>32.517854676788261</v>
      </c>
      <c r="G8" s="37">
        <f>BDbDT_calcs!G54</f>
        <v>32.533803907634052</v>
      </c>
      <c r="H8" s="37">
        <f>BDbDT_calcs!H54</f>
        <v>32.546002654245534</v>
      </c>
      <c r="I8" s="37">
        <f>BDbDT_calcs!I54</f>
        <v>32.606430868711897</v>
      </c>
      <c r="J8" s="37">
        <f>BDbDT_calcs!J54</f>
        <v>32.656026163847478</v>
      </c>
      <c r="K8" s="37">
        <f>BDbDT_calcs!K54</f>
        <v>32.693846815680644</v>
      </c>
      <c r="L8" s="37">
        <f>BDbDT_calcs!L54</f>
        <v>32.711944239501257</v>
      </c>
      <c r="M8" s="37">
        <f>BDbDT_calcs!M54</f>
        <v>32.710546803262154</v>
      </c>
      <c r="N8" s="37">
        <f>BDbDT_calcs!N54</f>
        <v>32.689831211612074</v>
      </c>
      <c r="O8" s="37">
        <f>BDbDT_calcs!O54</f>
        <v>32.649954456433903</v>
      </c>
      <c r="P8" s="37">
        <f>BDbDT_calcs!P54</f>
        <v>32.566616653319798</v>
      </c>
      <c r="Q8" s="37">
        <f>BDbDT_calcs!Q54</f>
        <v>32.464262870049858</v>
      </c>
      <c r="R8" s="37">
        <f>BDbDT_calcs!R54</f>
        <v>32.318474809459396</v>
      </c>
      <c r="S8" s="37">
        <f>BDbDT_calcs!S54</f>
        <v>32.140399863372906</v>
      </c>
      <c r="T8" s="37">
        <f>BDbDT_calcs!T54</f>
        <v>31.93532675197925</v>
      </c>
      <c r="U8" s="37">
        <f>BDbDT_calcs!U54</f>
        <v>31.703052470386687</v>
      </c>
      <c r="V8" s="37">
        <f>BDbDT_calcs!V54</f>
        <v>31.475523040723097</v>
      </c>
      <c r="W8" s="37">
        <f>BDbDT_calcs!W54</f>
        <v>31.211934151258543</v>
      </c>
      <c r="X8" s="37">
        <f>BDbDT_calcs!X54</f>
        <v>30.992408194611343</v>
      </c>
      <c r="Y8" s="37">
        <f>BDbDT_calcs!Y54</f>
        <v>30.768217866316039</v>
      </c>
      <c r="Z8" s="37">
        <f>BDbDT_calcs!Z54</f>
        <v>30.546953147162036</v>
      </c>
      <c r="AA8" s="37">
        <f>BDbDT_calcs!AA54</f>
        <v>30.336178096291423</v>
      </c>
      <c r="AB8" s="37">
        <f>BDbDT_calcs!AB54</f>
        <v>30.143449337154749</v>
      </c>
    </row>
    <row r="9" spans="1:28" x14ac:dyDescent="0.25">
      <c r="A9" s="4" t="s">
        <v>222</v>
      </c>
      <c r="B9" s="37">
        <f>BDbDT_calcs!B55</f>
        <v>171.19499218822662</v>
      </c>
      <c r="C9" s="37">
        <f>BDbDT_calcs!C55</f>
        <v>169.80090652903138</v>
      </c>
      <c r="D9" s="37">
        <f>BDbDT_calcs!D55</f>
        <v>167.32409615629788</v>
      </c>
      <c r="E9" s="37">
        <f>BDbDT_calcs!E55</f>
        <v>164.86240681941092</v>
      </c>
      <c r="F9" s="37">
        <f>BDbDT_calcs!F55</f>
        <v>162.35190105317196</v>
      </c>
      <c r="G9" s="37">
        <f>BDbDT_calcs!G55</f>
        <v>159.9092645421116</v>
      </c>
      <c r="H9" s="37">
        <f>BDbDT_calcs!H55</f>
        <v>157.48316952588172</v>
      </c>
      <c r="I9" s="37">
        <f>BDbDT_calcs!I55</f>
        <v>155.3325768734432</v>
      </c>
      <c r="J9" s="37">
        <f>BDbDT_calcs!J55</f>
        <v>153.19315304688351</v>
      </c>
      <c r="K9" s="37">
        <f>BDbDT_calcs!K55</f>
        <v>151.04614906462061</v>
      </c>
      <c r="L9" s="37">
        <f>BDbDT_calcs!L55</f>
        <v>148.91680029869204</v>
      </c>
      <c r="M9" s="37">
        <f>BDbDT_calcs!M55</f>
        <v>146.79187065435514</v>
      </c>
      <c r="N9" s="37">
        <f>BDbDT_calcs!N55</f>
        <v>144.69615417927577</v>
      </c>
      <c r="O9" s="37">
        <f>BDbDT_calcs!O55</f>
        <v>142.5781671535575</v>
      </c>
      <c r="P9" s="37">
        <f>BDbDT_calcs!P55</f>
        <v>140.47519597038524</v>
      </c>
      <c r="Q9" s="37">
        <f>BDbDT_calcs!Q55</f>
        <v>138.38607412013891</v>
      </c>
      <c r="R9" s="37">
        <f>BDbDT_calcs!R55</f>
        <v>136.32214263440565</v>
      </c>
      <c r="S9" s="37">
        <f>BDbDT_calcs!S55</f>
        <v>134.08772679397956</v>
      </c>
      <c r="T9" s="37">
        <f>BDbDT_calcs!T55</f>
        <v>131.90590998788534</v>
      </c>
      <c r="U9" s="37">
        <f>BDbDT_calcs!U55</f>
        <v>129.79967291633071</v>
      </c>
      <c r="V9" s="37">
        <f>BDbDT_calcs!V55</f>
        <v>127.74122504564224</v>
      </c>
      <c r="W9" s="37">
        <f>BDbDT_calcs!W55</f>
        <v>125.79077138937194</v>
      </c>
      <c r="X9" s="37">
        <f>BDbDT_calcs!X55</f>
        <v>123.88283053840669</v>
      </c>
      <c r="Y9" s="37">
        <f>BDbDT_calcs!Y55</f>
        <v>122.05324230843375</v>
      </c>
      <c r="Z9" s="37">
        <f>BDbDT_calcs!Z55</f>
        <v>120.28717262686345</v>
      </c>
      <c r="AA9" s="37">
        <f>BDbDT_calcs!AA55</f>
        <v>118.56993211240965</v>
      </c>
      <c r="AB9" s="37">
        <f>BDbDT_calcs!AB55</f>
        <v>116.91201931559517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18245.427449286792</v>
      </c>
      <c r="C2" s="37">
        <f>BDbDT_calcs!C58</f>
        <v>18608.671830933628</v>
      </c>
      <c r="D2" s="37">
        <f>BDbDT_calcs!D58</f>
        <v>18853.33450018624</v>
      </c>
      <c r="E2" s="37">
        <f>BDbDT_calcs!E58</f>
        <v>19096.648368183905</v>
      </c>
      <c r="F2" s="37">
        <f>BDbDT_calcs!F58</f>
        <v>19340.273131221231</v>
      </c>
      <c r="G2" s="37">
        <f>BDbDT_calcs!G58</f>
        <v>19584.789349043836</v>
      </c>
      <c r="H2" s="37">
        <f>BDbDT_calcs!H58</f>
        <v>19828.868251560085</v>
      </c>
      <c r="I2" s="37">
        <f>BDbDT_calcs!I58</f>
        <v>20103.13076228568</v>
      </c>
      <c r="J2" s="37">
        <f>BDbDT_calcs!J58</f>
        <v>20373.856703188467</v>
      </c>
      <c r="K2" s="37">
        <f>BDbDT_calcs!K58</f>
        <v>20640.726683890716</v>
      </c>
      <c r="L2" s="37">
        <f>BDbDT_calcs!L58</f>
        <v>20902.031745232689</v>
      </c>
      <c r="M2" s="37">
        <f>BDbDT_calcs!M58</f>
        <v>21157.461296111978</v>
      </c>
      <c r="N2" s="37">
        <f>BDbDT_calcs!N58</f>
        <v>21404.892722620589</v>
      </c>
      <c r="O2" s="37">
        <f>BDbDT_calcs!O58</f>
        <v>21643.561343133279</v>
      </c>
      <c r="P2" s="37">
        <f>BDbDT_calcs!P58</f>
        <v>21870.730795581949</v>
      </c>
      <c r="Q2" s="37">
        <f>BDbDT_calcs!Q58</f>
        <v>22085.997439417082</v>
      </c>
      <c r="R2" s="37">
        <f>BDbDT_calcs!R58</f>
        <v>22286.04770023335</v>
      </c>
      <c r="S2" s="37">
        <f>BDbDT_calcs!S58</f>
        <v>22444.956509394644</v>
      </c>
      <c r="T2" s="37">
        <f>BDbDT_calcs!T58</f>
        <v>22587.410803418603</v>
      </c>
      <c r="U2" s="37">
        <f>BDbDT_calcs!U58</f>
        <v>22714.650013729271</v>
      </c>
      <c r="V2" s="37">
        <f>BDbDT_calcs!V58</f>
        <v>22821.232460152172</v>
      </c>
      <c r="W2" s="37">
        <f>BDbDT_calcs!W58</f>
        <v>22908.510784692</v>
      </c>
      <c r="X2" s="37">
        <f>BDbDT_calcs!X58</f>
        <v>22975.221574127412</v>
      </c>
      <c r="Y2" s="37">
        <f>BDbDT_calcs!Y58</f>
        <v>23030.831477791642</v>
      </c>
      <c r="Z2" s="37">
        <f>BDbDT_calcs!Z58</f>
        <v>23066.904987479957</v>
      </c>
      <c r="AA2" s="37">
        <f>BDbDT_calcs!AA58</f>
        <v>23084.835067445718</v>
      </c>
      <c r="AB2" s="37">
        <f>BDbDT_calcs!AB58</f>
        <v>23086.681077690046</v>
      </c>
    </row>
    <row r="3" spans="1:28" x14ac:dyDescent="0.25">
      <c r="A3" s="4" t="s">
        <v>216</v>
      </c>
      <c r="B3" s="37">
        <f>BDbDT_calcs!B59</f>
        <v>17011.80063902988</v>
      </c>
      <c r="C3" s="37">
        <f>BDbDT_calcs!C59</f>
        <v>17305.545775283459</v>
      </c>
      <c r="D3" s="37">
        <f>BDbDT_calcs!D59</f>
        <v>17490.383618597341</v>
      </c>
      <c r="E3" s="37">
        <f>BDbDT_calcs!E59</f>
        <v>17683.290551638958</v>
      </c>
      <c r="F3" s="37">
        <f>BDbDT_calcs!F59</f>
        <v>17889.176966841831</v>
      </c>
      <c r="G3" s="37">
        <f>BDbDT_calcs!G59</f>
        <v>18108.867009112553</v>
      </c>
      <c r="H3" s="37">
        <f>BDbDT_calcs!H59</f>
        <v>18343.905587171041</v>
      </c>
      <c r="I3" s="37">
        <f>BDbDT_calcs!I59</f>
        <v>18621.8554537614</v>
      </c>
      <c r="J3" s="37">
        <f>BDbDT_calcs!J59</f>
        <v>18913.201215832672</v>
      </c>
      <c r="K3" s="37">
        <f>BDbDT_calcs!K59</f>
        <v>19213.095076110163</v>
      </c>
      <c r="L3" s="37">
        <f>BDbDT_calcs!L59</f>
        <v>19521.140390997287</v>
      </c>
      <c r="M3" s="37">
        <f>BDbDT_calcs!M59</f>
        <v>19836.152222264482</v>
      </c>
      <c r="N3" s="37">
        <f>BDbDT_calcs!N59</f>
        <v>20153.907597921429</v>
      </c>
      <c r="O3" s="37">
        <f>BDbDT_calcs!O59</f>
        <v>20470.401934942012</v>
      </c>
      <c r="P3" s="37">
        <f>BDbDT_calcs!P59</f>
        <v>20784.773474442492</v>
      </c>
      <c r="Q3" s="37">
        <f>BDbDT_calcs!Q59</f>
        <v>21091.332302155308</v>
      </c>
      <c r="R3" s="37">
        <f>BDbDT_calcs!R59</f>
        <v>21388.51403862294</v>
      </c>
      <c r="S3" s="37">
        <f>BDbDT_calcs!S59</f>
        <v>21647.24447672506</v>
      </c>
      <c r="T3" s="37">
        <f>BDbDT_calcs!T59</f>
        <v>21890.689999217684</v>
      </c>
      <c r="U3" s="37">
        <f>BDbDT_calcs!U59</f>
        <v>22116.880245297347</v>
      </c>
      <c r="V3" s="37">
        <f>BDbDT_calcs!V59</f>
        <v>22320.855401671586</v>
      </c>
      <c r="W3" s="37">
        <f>BDbDT_calcs!W59</f>
        <v>22498.162770737861</v>
      </c>
      <c r="X3" s="37">
        <f>BDbDT_calcs!X59</f>
        <v>22650.027688954418</v>
      </c>
      <c r="Y3" s="37">
        <f>BDbDT_calcs!Y59</f>
        <v>22787.013479755518</v>
      </c>
      <c r="Z3" s="37">
        <f>BDbDT_calcs!Z59</f>
        <v>22899.310999157096</v>
      </c>
      <c r="AA3" s="37">
        <f>BDbDT_calcs!AA59</f>
        <v>22983.384135004719</v>
      </c>
      <c r="AB3" s="37">
        <f>BDbDT_calcs!AB59</f>
        <v>23039.611302295601</v>
      </c>
    </row>
    <row r="4" spans="1:28" x14ac:dyDescent="0.25">
      <c r="A4" s="4" t="s">
        <v>217</v>
      </c>
      <c r="B4" s="37">
        <f>BDbDT_calcs!B60</f>
        <v>27580.701466867376</v>
      </c>
      <c r="C4" s="37">
        <f>BDbDT_calcs!C60</f>
        <v>28088.825463518559</v>
      </c>
      <c r="D4" s="37">
        <f>BDbDT_calcs!D60</f>
        <v>28416.74468267191</v>
      </c>
      <c r="E4" s="37">
        <f>BDbDT_calcs!E60</f>
        <v>28747.330185324194</v>
      </c>
      <c r="F4" s="37">
        <f>BDbDT_calcs!F60</f>
        <v>29086.453433797291</v>
      </c>
      <c r="G4" s="37">
        <f>BDbDT_calcs!G60</f>
        <v>29434.186508908148</v>
      </c>
      <c r="H4" s="37">
        <f>BDbDT_calcs!H60</f>
        <v>29791.56204604149</v>
      </c>
      <c r="I4" s="37">
        <f>BDbDT_calcs!I60</f>
        <v>30203.365417582063</v>
      </c>
      <c r="J4" s="37">
        <f>BDbDT_calcs!J60</f>
        <v>30620.635862012976</v>
      </c>
      <c r="K4" s="37">
        <f>BDbDT_calcs!K60</f>
        <v>31037.99549654721</v>
      </c>
      <c r="L4" s="37">
        <f>BDbDT_calcs!L60</f>
        <v>31453.853147199781</v>
      </c>
      <c r="M4" s="37">
        <f>BDbDT_calcs!M60</f>
        <v>31867.046600492147</v>
      </c>
      <c r="N4" s="37">
        <f>BDbDT_calcs!N60</f>
        <v>32271.860880328168</v>
      </c>
      <c r="O4" s="37">
        <f>BDbDT_calcs!O60</f>
        <v>32665.164349479812</v>
      </c>
      <c r="P4" s="37">
        <f>BDbDT_calcs!P60</f>
        <v>33042.823171342781</v>
      </c>
      <c r="Q4" s="37">
        <f>BDbDT_calcs!Q60</f>
        <v>33400.46799455578</v>
      </c>
      <c r="R4" s="37">
        <f>BDbDT_calcs!R60</f>
        <v>33733.899740987821</v>
      </c>
      <c r="S4" s="37">
        <f>BDbDT_calcs!S60</f>
        <v>34000.651136237997</v>
      </c>
      <c r="T4" s="37">
        <f>BDbDT_calcs!T60</f>
        <v>34237.909917098106</v>
      </c>
      <c r="U4" s="37">
        <f>BDbDT_calcs!U60</f>
        <v>34445.660847055347</v>
      </c>
      <c r="V4" s="37">
        <f>BDbDT_calcs!V60</f>
        <v>34614.751087411423</v>
      </c>
      <c r="W4" s="37">
        <f>BDbDT_calcs!W60</f>
        <v>34742.592184710993</v>
      </c>
      <c r="X4" s="37">
        <f>BDbDT_calcs!X60</f>
        <v>34829.924011215458</v>
      </c>
      <c r="Y4" s="37">
        <f>BDbDT_calcs!Y60</f>
        <v>34894.508093324621</v>
      </c>
      <c r="Z4" s="37">
        <f>BDbDT_calcs!Z60</f>
        <v>34920.685260900071</v>
      </c>
      <c r="AA4" s="37">
        <f>BDbDT_calcs!AA60</f>
        <v>34906.26193386392</v>
      </c>
      <c r="AB4" s="37">
        <f>BDbDT_calcs!AB60</f>
        <v>34854.17459477482</v>
      </c>
    </row>
    <row r="5" spans="1:28" x14ac:dyDescent="0.25">
      <c r="A5" s="4" t="s">
        <v>218</v>
      </c>
      <c r="B5" s="37">
        <f>BDbDT_calcs!B61</f>
        <v>2559.9921403987987</v>
      </c>
      <c r="C5" s="37">
        <f>BDbDT_calcs!C61</f>
        <v>2602.9343898401994</v>
      </c>
      <c r="D5" s="37">
        <f>BDbDT_calcs!D61</f>
        <v>2629.6111933772845</v>
      </c>
      <c r="E5" s="37">
        <f>BDbDT_calcs!E61</f>
        <v>2656.4575854988011</v>
      </c>
      <c r="F5" s="37">
        <f>BDbDT_calcs!F61</f>
        <v>2684.3433768827331</v>
      </c>
      <c r="G5" s="37">
        <f>BDbDT_calcs!G61</f>
        <v>2713.3382527485755</v>
      </c>
      <c r="H5" s="37">
        <f>BDbDT_calcs!H61</f>
        <v>2743.3745182909752</v>
      </c>
      <c r="I5" s="37">
        <f>BDbDT_calcs!I61</f>
        <v>2778.961582116829</v>
      </c>
      <c r="J5" s="37">
        <f>BDbDT_calcs!J61</f>
        <v>2815.649831330923</v>
      </c>
      <c r="K5" s="37">
        <f>BDbDT_calcs!K61</f>
        <v>2853.265530776589</v>
      </c>
      <c r="L5" s="37">
        <f>BDbDT_calcs!L61</f>
        <v>2891.8189716318716</v>
      </c>
      <c r="M5" s="37">
        <f>BDbDT_calcs!M61</f>
        <v>2931.168504273513</v>
      </c>
      <c r="N5" s="37">
        <f>BDbDT_calcs!N61</f>
        <v>2971.4602154033905</v>
      </c>
      <c r="O5" s="37">
        <f>BDbDT_calcs!O61</f>
        <v>3011.9488788158546</v>
      </c>
      <c r="P5" s="37">
        <f>BDbDT_calcs!P61</f>
        <v>3052.9723789958343</v>
      </c>
      <c r="Q5" s="37">
        <f>BDbDT_calcs!Q61</f>
        <v>3093.9164915718898</v>
      </c>
      <c r="R5" s="37">
        <f>BDbDT_calcs!R61</f>
        <v>3134.7125156746324</v>
      </c>
      <c r="S5" s="37">
        <f>BDbDT_calcs!S61</f>
        <v>3171.6802728938846</v>
      </c>
      <c r="T5" s="37">
        <f>BDbDT_calcs!T61</f>
        <v>3207.8224857322807</v>
      </c>
      <c r="U5" s="37">
        <f>BDbDT_calcs!U61</f>
        <v>3243.1889856202251</v>
      </c>
      <c r="V5" s="37">
        <f>BDbDT_calcs!V61</f>
        <v>3277.4013150209225</v>
      </c>
      <c r="W5" s="37">
        <f>BDbDT_calcs!W61</f>
        <v>3309.8505849543712</v>
      </c>
      <c r="X5" s="37">
        <f>BDbDT_calcs!X61</f>
        <v>3340.3128165776902</v>
      </c>
      <c r="Y5" s="37">
        <f>BDbDT_calcs!Y61</f>
        <v>3369.6290568969393</v>
      </c>
      <c r="Z5" s="37">
        <f>BDbDT_calcs!Z61</f>
        <v>3396.8665719717596</v>
      </c>
      <c r="AA5" s="37">
        <f>BDbDT_calcs!AA61</f>
        <v>3421.9924154483087</v>
      </c>
      <c r="AB5" s="37">
        <f>BDbDT_calcs!AB61</f>
        <v>3444.6475253693038</v>
      </c>
    </row>
    <row r="6" spans="1:28" x14ac:dyDescent="0.25">
      <c r="A6" s="4" t="s">
        <v>219</v>
      </c>
      <c r="B6" s="37">
        <f>BDbDT_calcs!B62</f>
        <v>636.74720998482917</v>
      </c>
      <c r="C6" s="37">
        <f>BDbDT_calcs!C62</f>
        <v>652.82340629019473</v>
      </c>
      <c r="D6" s="37">
        <f>BDbDT_calcs!D62</f>
        <v>665.2795857467504</v>
      </c>
      <c r="E6" s="37">
        <f>BDbDT_calcs!E62</f>
        <v>678.67148210209973</v>
      </c>
      <c r="F6" s="37">
        <f>BDbDT_calcs!F62</f>
        <v>693.19035420469822</v>
      </c>
      <c r="G6" s="37">
        <f>BDbDT_calcs!G62</f>
        <v>708.81628864646291</v>
      </c>
      <c r="H6" s="37">
        <f>BDbDT_calcs!H62</f>
        <v>725.59125090356224</v>
      </c>
      <c r="I6" s="37">
        <f>BDbDT_calcs!I62</f>
        <v>744.6948989971894</v>
      </c>
      <c r="J6" s="37">
        <f>BDbDT_calcs!J62</f>
        <v>764.62229394766075</v>
      </c>
      <c r="K6" s="37">
        <f>BDbDT_calcs!K62</f>
        <v>785.22190898959934</v>
      </c>
      <c r="L6" s="37">
        <f>BDbDT_calcs!L62</f>
        <v>806.69583562975663</v>
      </c>
      <c r="M6" s="37">
        <f>BDbDT_calcs!M62</f>
        <v>828.88990667184987</v>
      </c>
      <c r="N6" s="37">
        <f>BDbDT_calcs!N62</f>
        <v>851.70179527699304</v>
      </c>
      <c r="O6" s="37">
        <f>BDbDT_calcs!O62</f>
        <v>874.98500468253349</v>
      </c>
      <c r="P6" s="37">
        <f>BDbDT_calcs!P62</f>
        <v>898.66412783417786</v>
      </c>
      <c r="Q6" s="37">
        <f>BDbDT_calcs!Q62</f>
        <v>922.571682482151</v>
      </c>
      <c r="R6" s="37">
        <f>BDbDT_calcs!R62</f>
        <v>946.62564611550886</v>
      </c>
      <c r="S6" s="37">
        <f>BDbDT_calcs!S62</f>
        <v>969.53742585661882</v>
      </c>
      <c r="T6" s="37">
        <f>BDbDT_calcs!T62</f>
        <v>992.4007430024792</v>
      </c>
      <c r="U6" s="37">
        <f>BDbDT_calcs!U62</f>
        <v>1015.0021549037021</v>
      </c>
      <c r="V6" s="37">
        <f>BDbDT_calcs!V62</f>
        <v>1037.3759476569612</v>
      </c>
      <c r="W6" s="37">
        <f>BDbDT_calcs!W62</f>
        <v>1059.4528550553273</v>
      </c>
      <c r="X6" s="37">
        <f>BDbDT_calcs!X62</f>
        <v>1081.3222488709439</v>
      </c>
      <c r="Y6" s="37">
        <f>BDbDT_calcs!Y62</f>
        <v>1102.9120906925866</v>
      </c>
      <c r="Z6" s="37">
        <f>BDbDT_calcs!Z62</f>
        <v>1124.2547429185872</v>
      </c>
      <c r="AA6" s="37">
        <f>BDbDT_calcs!AA62</f>
        <v>1145.3359111632587</v>
      </c>
      <c r="AB6" s="37">
        <f>BDbDT_calcs!AB62</f>
        <v>1166.0704175151072</v>
      </c>
    </row>
    <row r="7" spans="1:28" x14ac:dyDescent="0.25">
      <c r="A7" s="4" t="s">
        <v>220</v>
      </c>
      <c r="B7" s="37">
        <f>BDbDT_calcs!B63</f>
        <v>2873.2200919208963</v>
      </c>
      <c r="C7" s="37">
        <f>BDbDT_calcs!C63</f>
        <v>2941.636901854497</v>
      </c>
      <c r="D7" s="37">
        <f>BDbDT_calcs!D63</f>
        <v>2994.1932884747316</v>
      </c>
      <c r="E7" s="37">
        <f>BDbDT_calcs!E63</f>
        <v>3052.1235060326303</v>
      </c>
      <c r="F7" s="37">
        <f>BDbDT_calcs!F63</f>
        <v>3110.362154661736</v>
      </c>
      <c r="G7" s="37">
        <f>BDbDT_calcs!G63</f>
        <v>3173.3418944530531</v>
      </c>
      <c r="H7" s="37">
        <f>BDbDT_calcs!H63</f>
        <v>3238.1622121813857</v>
      </c>
      <c r="I7" s="37">
        <f>BDbDT_calcs!I63</f>
        <v>3309.4287372456192</v>
      </c>
      <c r="J7" s="37">
        <f>BDbDT_calcs!J63</f>
        <v>3382.2881408391936</v>
      </c>
      <c r="K7" s="37">
        <f>BDbDT_calcs!K63</f>
        <v>3460.3846625118672</v>
      </c>
      <c r="L7" s="37">
        <f>BDbDT_calcs!L63</f>
        <v>3540.397360263677</v>
      </c>
      <c r="M7" s="37">
        <f>BDbDT_calcs!M63</f>
        <v>3623.4086345923783</v>
      </c>
      <c r="N7" s="37">
        <f>BDbDT_calcs!N63</f>
        <v>3707.8285900442229</v>
      </c>
      <c r="O7" s="37">
        <f>BDbDT_calcs!O63</f>
        <v>3793.9507345077172</v>
      </c>
      <c r="P7" s="37">
        <f>BDbDT_calcs!P63</f>
        <v>3882.7709057164516</v>
      </c>
      <c r="Q7" s="37">
        <f>BDbDT_calcs!Q63</f>
        <v>3973.7804166873784</v>
      </c>
      <c r="R7" s="37">
        <f>BDbDT_calcs!R63</f>
        <v>4066.2203258803042</v>
      </c>
      <c r="S7" s="37">
        <f>BDbDT_calcs!S63</f>
        <v>4154.0325525205599</v>
      </c>
      <c r="T7" s="37">
        <f>BDbDT_calcs!T63</f>
        <v>4242.9947486588226</v>
      </c>
      <c r="U7" s="37">
        <f>BDbDT_calcs!U63</f>
        <v>4331.9932354680313</v>
      </c>
      <c r="V7" s="37">
        <f>BDbDT_calcs!V63</f>
        <v>4419.7792642307768</v>
      </c>
      <c r="W7" s="37">
        <f>BDbDT_calcs!W63</f>
        <v>4509.051699382544</v>
      </c>
      <c r="X7" s="37">
        <f>BDbDT_calcs!X63</f>
        <v>4597.6351893577939</v>
      </c>
      <c r="Y7" s="37">
        <f>BDbDT_calcs!Y63</f>
        <v>4686.8343972718703</v>
      </c>
      <c r="Z7" s="37">
        <f>BDbDT_calcs!Z63</f>
        <v>4774.845222862944</v>
      </c>
      <c r="AA7" s="37">
        <f>BDbDT_calcs!AA63</f>
        <v>4862.3663845889278</v>
      </c>
      <c r="AB7" s="37">
        <f>BDbDT_calcs!AB63</f>
        <v>4950.1308964511545</v>
      </c>
    </row>
    <row r="8" spans="1:28" x14ac:dyDescent="0.25">
      <c r="A8" s="4" t="s">
        <v>221</v>
      </c>
      <c r="B8" s="37">
        <f>BDbDT_calcs!B64</f>
        <v>2100.7168707015985</v>
      </c>
      <c r="C8" s="37">
        <f>BDbDT_calcs!C64</f>
        <v>2178.4127487407036</v>
      </c>
      <c r="D8" s="37">
        <f>BDbDT_calcs!D64</f>
        <v>2243.8630564433611</v>
      </c>
      <c r="E8" s="37">
        <f>BDbDT_calcs!E64</f>
        <v>2310.7322716672807</v>
      </c>
      <c r="F8" s="37">
        <f>BDbDT_calcs!F64</f>
        <v>2379.0431172229723</v>
      </c>
      <c r="G8" s="37">
        <f>BDbDT_calcs!G64</f>
        <v>2449.0825684856072</v>
      </c>
      <c r="H8" s="37">
        <f>BDbDT_calcs!H64</f>
        <v>2521.6438568768153</v>
      </c>
      <c r="I8" s="37">
        <f>BDbDT_calcs!I64</f>
        <v>2600.8539720001936</v>
      </c>
      <c r="J8" s="37">
        <f>BDbDT_calcs!J64</f>
        <v>2682.1745317634245</v>
      </c>
      <c r="K8" s="37">
        <f>BDbDT_calcs!K64</f>
        <v>2766.2285897781308</v>
      </c>
      <c r="L8" s="37">
        <f>BDbDT_calcs!L64</f>
        <v>2853.4918316145454</v>
      </c>
      <c r="M8" s="37">
        <f>BDbDT_calcs!M64</f>
        <v>2943.2718232255625</v>
      </c>
      <c r="N8" s="37">
        <f>BDbDT_calcs!N64</f>
        <v>3036.3400815363093</v>
      </c>
      <c r="O8" s="37">
        <f>BDbDT_calcs!O64</f>
        <v>3132.1977999185674</v>
      </c>
      <c r="P8" s="37">
        <f>BDbDT_calcs!P64</f>
        <v>3230.7140813767373</v>
      </c>
      <c r="Q8" s="37">
        <f>BDbDT_calcs!Q64</f>
        <v>3332.0390002493768</v>
      </c>
      <c r="R8" s="37">
        <f>BDbDT_calcs!R64</f>
        <v>3435.5082640519204</v>
      </c>
      <c r="S8" s="37">
        <f>BDbDT_calcs!S64</f>
        <v>3536.9999498660695</v>
      </c>
      <c r="T8" s="37">
        <f>BDbDT_calcs!T64</f>
        <v>3640.3359723597687</v>
      </c>
      <c r="U8" s="37">
        <f>BDbDT_calcs!U64</f>
        <v>3745.2745212760642</v>
      </c>
      <c r="V8" s="37">
        <f>BDbDT_calcs!V64</f>
        <v>3851.3178888405723</v>
      </c>
      <c r="W8" s="37">
        <f>BDbDT_calcs!W64</f>
        <v>3957.9359689577732</v>
      </c>
      <c r="X8" s="37">
        <f>BDbDT_calcs!X64</f>
        <v>4065.6082568975785</v>
      </c>
      <c r="Y8" s="37">
        <f>BDbDT_calcs!Y64</f>
        <v>4173.5165527275576</v>
      </c>
      <c r="Z8" s="37">
        <f>BDbDT_calcs!Z64</f>
        <v>4281.6030020624758</v>
      </c>
      <c r="AA8" s="37">
        <f>BDbDT_calcs!AA64</f>
        <v>4388.90402604057</v>
      </c>
      <c r="AB8" s="37">
        <f>BDbDT_calcs!AB64</f>
        <v>4495.2962893749263</v>
      </c>
    </row>
    <row r="9" spans="1:28" x14ac:dyDescent="0.25">
      <c r="A9" s="4" t="s">
        <v>222</v>
      </c>
      <c r="B9" s="37">
        <f>BDbDT_calcs!B65</f>
        <v>34628.763630966016</v>
      </c>
      <c r="C9" s="37">
        <f>BDbDT_calcs!C65</f>
        <v>35213.751647341283</v>
      </c>
      <c r="D9" s="37">
        <f>BDbDT_calcs!D65</f>
        <v>35573.272582450474</v>
      </c>
      <c r="E9" s="37">
        <f>BDbDT_calcs!E65</f>
        <v>35937.846733664221</v>
      </c>
      <c r="F9" s="37">
        <f>BDbDT_calcs!F65</f>
        <v>36314.51647279811</v>
      </c>
      <c r="G9" s="37">
        <f>BDbDT_calcs!G65</f>
        <v>36704.345804085155</v>
      </c>
      <c r="H9" s="37">
        <f>BDbDT_calcs!H65</f>
        <v>37106.342605959006</v>
      </c>
      <c r="I9" s="37">
        <f>BDbDT_calcs!I65</f>
        <v>37576.619885796987</v>
      </c>
      <c r="J9" s="37">
        <f>BDbDT_calcs!J65</f>
        <v>38054.278933971247</v>
      </c>
      <c r="K9" s="37">
        <f>BDbDT_calcs!K65</f>
        <v>38532.773746726438</v>
      </c>
      <c r="L9" s="37">
        <f>BDbDT_calcs!L65</f>
        <v>39009.104334390933</v>
      </c>
      <c r="M9" s="37">
        <f>BDbDT_calcs!M65</f>
        <v>39482.738455758074</v>
      </c>
      <c r="N9" s="37">
        <f>BDbDT_calcs!N65</f>
        <v>39945.641821837846</v>
      </c>
      <c r="O9" s="37">
        <f>BDbDT_calcs!O65</f>
        <v>40393.45051319195</v>
      </c>
      <c r="P9" s="37">
        <f>BDbDT_calcs!P65</f>
        <v>40822.50772109536</v>
      </c>
      <c r="Q9" s="37">
        <f>BDbDT_calcs!Q65</f>
        <v>41226.005550751543</v>
      </c>
      <c r="R9" s="37">
        <f>BDbDT_calcs!R65</f>
        <v>41599.742084833597</v>
      </c>
      <c r="S9" s="37">
        <f>BDbDT_calcs!S65</f>
        <v>41890.994300429549</v>
      </c>
      <c r="T9" s="37">
        <f>BDbDT_calcs!T65</f>
        <v>42145.249984736045</v>
      </c>
      <c r="U9" s="37">
        <f>BDbDT_calcs!U65</f>
        <v>42362.086750229355</v>
      </c>
      <c r="V9" s="37">
        <f>BDbDT_calcs!V65</f>
        <v>42531.098759872024</v>
      </c>
      <c r="W9" s="37">
        <f>BDbDT_calcs!W65</f>
        <v>42649.754881640169</v>
      </c>
      <c r="X9" s="37">
        <f>BDbDT_calcs!X65</f>
        <v>42717.277124297034</v>
      </c>
      <c r="Y9" s="37">
        <f>BDbDT_calcs!Y65</f>
        <v>42756.481843544374</v>
      </c>
      <c r="Z9" s="37">
        <f>BDbDT_calcs!Z65</f>
        <v>42747.83676572112</v>
      </c>
      <c r="AA9" s="37">
        <f>BDbDT_calcs!AA65</f>
        <v>42690.519028648152</v>
      </c>
      <c r="AB9" s="37">
        <f>BDbDT_calcs!AB65</f>
        <v>42587.334960763648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2026-08-17T20:29:26Z</dcterms:modified>
</cp:coreProperties>
</file>