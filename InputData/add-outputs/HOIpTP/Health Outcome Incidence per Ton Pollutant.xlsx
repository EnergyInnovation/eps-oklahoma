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K\add-outputs\HOIpTP\"/>
    </mc:Choice>
  </mc:AlternateContent>
  <xr:revisionPtr revIDLastSave="0" documentId="8_{A61B6396-14AC-4420-83B6-48D60129BC3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K8" i="19"/>
  <c r="B8" i="19"/>
  <c r="L8" i="19" s="1"/>
  <c r="U7" i="19"/>
  <c r="L7" i="19"/>
  <c r="B7" i="19"/>
  <c r="AA7" i="19" s="1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V3" i="19"/>
  <c r="J3" i="19"/>
  <c r="E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M17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U8" i="18"/>
  <c r="R8" i="18"/>
  <c r="Q8" i="18"/>
  <c r="N8" i="18"/>
  <c r="F8" i="18"/>
  <c r="E8" i="18"/>
  <c r="B8" i="18"/>
  <c r="Y8" i="18" s="1"/>
  <c r="AB7" i="18"/>
  <c r="C7" i="18"/>
  <c r="B7" i="18"/>
  <c r="AA7" i="18" s="1"/>
  <c r="AA6" i="18"/>
  <c r="X6" i="18"/>
  <c r="P6" i="18"/>
  <c r="E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N3" i="18"/>
  <c r="J3" i="18"/>
  <c r="I3" i="18"/>
  <c r="H3" i="18"/>
  <c r="B3" i="18"/>
  <c r="Z3" i="18" s="1"/>
  <c r="Y2" i="18"/>
  <c r="V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W8" i="17"/>
  <c r="V8" i="17"/>
  <c r="T8" i="17"/>
  <c r="S8" i="17"/>
  <c r="P8" i="17"/>
  <c r="F8" i="17"/>
  <c r="D8" i="17"/>
  <c r="C8" i="17"/>
  <c r="B8" i="17"/>
  <c r="AB8" i="17" s="1"/>
  <c r="Y7" i="17"/>
  <c r="X7" i="17"/>
  <c r="B7" i="17"/>
  <c r="Q6" i="17"/>
  <c r="M6" i="17"/>
  <c r="L6" i="17"/>
  <c r="G6" i="17"/>
  <c r="E6" i="17"/>
  <c r="C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L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B17" i="16"/>
  <c r="B16" i="16"/>
  <c r="AA15" i="16"/>
  <c r="X15" i="16"/>
  <c r="K15" i="16"/>
  <c r="B15" i="16"/>
  <c r="Y15" i="16" s="1"/>
  <c r="G14" i="16"/>
  <c r="F14" i="16"/>
  <c r="C14" i="16"/>
  <c r="B14" i="16"/>
  <c r="X13" i="16"/>
  <c r="W13" i="16"/>
  <c r="J13" i="16"/>
  <c r="D13" i="16"/>
  <c r="B13" i="16"/>
  <c r="Y12" i="16"/>
  <c r="X12" i="16"/>
  <c r="W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E7" i="16"/>
  <c r="D7" i="16"/>
  <c r="B7" i="16"/>
  <c r="W6" i="16"/>
  <c r="T6" i="16"/>
  <c r="S6" i="16"/>
  <c r="Q6" i="16"/>
  <c r="N6" i="16"/>
  <c r="J6" i="16"/>
  <c r="I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T3" i="16"/>
  <c r="R3" i="16"/>
  <c r="O3" i="16"/>
  <c r="B3" i="16"/>
  <c r="Z3" i="16" s="1"/>
  <c r="Y2" i="16"/>
  <c r="T2" i="16"/>
  <c r="Q2" i="16"/>
  <c r="B2" i="16"/>
  <c r="AA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S15" i="15"/>
  <c r="K15" i="15"/>
  <c r="B15" i="15"/>
  <c r="O14" i="15"/>
  <c r="B14" i="15"/>
  <c r="M14" i="15" s="1"/>
  <c r="W13" i="15"/>
  <c r="V13" i="15"/>
  <c r="T13" i="15"/>
  <c r="S13" i="15"/>
  <c r="R13" i="15"/>
  <c r="Q13" i="15"/>
  <c r="O13" i="15"/>
  <c r="N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L12" i="15"/>
  <c r="K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H8" i="15"/>
  <c r="B8" i="15"/>
  <c r="AB7" i="15"/>
  <c r="AA7" i="15"/>
  <c r="G7" i="15"/>
  <c r="B7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T3" i="15"/>
  <c r="Q3" i="15"/>
  <c r="N3" i="15"/>
  <c r="K3" i="15"/>
  <c r="I3" i="15"/>
  <c r="B3" i="15"/>
  <c r="AA3" i="15" s="1"/>
  <c r="S2" i="15"/>
  <c r="R2" i="15"/>
  <c r="Q2" i="15"/>
  <c r="P2" i="15"/>
  <c r="O2" i="15"/>
  <c r="N2" i="15"/>
  <c r="M2" i="15"/>
  <c r="L2" i="15"/>
  <c r="J2" i="15"/>
  <c r="G2" i="15"/>
  <c r="F2" i="15"/>
  <c r="E2" i="15"/>
  <c r="B2" i="15"/>
  <c r="AB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Z15" i="14"/>
  <c r="Y15" i="14"/>
  <c r="W15" i="14"/>
  <c r="V15" i="14"/>
  <c r="U15" i="14"/>
  <c r="S15" i="14"/>
  <c r="R15" i="14"/>
  <c r="O15" i="14"/>
  <c r="N15" i="14"/>
  <c r="M15" i="14"/>
  <c r="J15" i="14"/>
  <c r="E15" i="14"/>
  <c r="B15" i="14"/>
  <c r="AB14" i="14"/>
  <c r="S14" i="14"/>
  <c r="R14" i="14"/>
  <c r="B14" i="14"/>
  <c r="Y14" i="14" s="1"/>
  <c r="R13" i="14"/>
  <c r="Q13" i="14"/>
  <c r="N13" i="14"/>
  <c r="B13" i="14"/>
  <c r="AB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W7" i="14"/>
  <c r="V7" i="14"/>
  <c r="S7" i="14"/>
  <c r="R7" i="14"/>
  <c r="N7" i="14"/>
  <c r="M7" i="14"/>
  <c r="I7" i="14"/>
  <c r="E7" i="14"/>
  <c r="C7" i="14"/>
  <c r="B7" i="14"/>
  <c r="T6" i="14"/>
  <c r="S6" i="14"/>
  <c r="O6" i="14"/>
  <c r="N6" i="14"/>
  <c r="M6" i="14"/>
  <c r="E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W3" i="14"/>
  <c r="V3" i="14"/>
  <c r="U3" i="14"/>
  <c r="P3" i="14"/>
  <c r="N3" i="14"/>
  <c r="M3" i="14"/>
  <c r="B3" i="14"/>
  <c r="AB3" i="14" s="1"/>
  <c r="AB2" i="14"/>
  <c r="M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U16" i="13"/>
  <c r="T16" i="13"/>
  <c r="H16" i="13"/>
  <c r="G16" i="13"/>
  <c r="B16" i="13"/>
  <c r="AA16" i="13" s="1"/>
  <c r="M15" i="13"/>
  <c r="L15" i="13"/>
  <c r="G15" i="13"/>
  <c r="F15" i="13"/>
  <c r="E15" i="13"/>
  <c r="B15" i="13"/>
  <c r="AB15" i="13" s="1"/>
  <c r="AA14" i="13"/>
  <c r="Y14" i="13"/>
  <c r="J14" i="13"/>
  <c r="F14" i="13"/>
  <c r="B14" i="13"/>
  <c r="Z13" i="13"/>
  <c r="Y13" i="13"/>
  <c r="X13" i="13"/>
  <c r="V13" i="13"/>
  <c r="S13" i="13"/>
  <c r="O13" i="13"/>
  <c r="N13" i="13"/>
  <c r="H13" i="13"/>
  <c r="F13" i="13"/>
  <c r="B13" i="13"/>
  <c r="T12" i="13"/>
  <c r="S12" i="13"/>
  <c r="L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W7" i="13"/>
  <c r="U7" i="13"/>
  <c r="D7" i="13"/>
  <c r="C7" i="13"/>
  <c r="B7" i="13"/>
  <c r="O6" i="13"/>
  <c r="M6" i="13"/>
  <c r="K6" i="13"/>
  <c r="J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N3" i="13"/>
  <c r="M3" i="13"/>
  <c r="L3" i="13"/>
  <c r="K3" i="13"/>
  <c r="J3" i="13"/>
  <c r="I3" i="13"/>
  <c r="F3" i="13"/>
  <c r="E3" i="13"/>
  <c r="B3" i="13"/>
  <c r="B2" i="13"/>
  <c r="Z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Q15" i="12"/>
  <c r="O15" i="12"/>
  <c r="B15" i="12"/>
  <c r="AB14" i="12"/>
  <c r="W14" i="12"/>
  <c r="R14" i="12"/>
  <c r="Q14" i="12"/>
  <c r="B14" i="12"/>
  <c r="L14" i="12" s="1"/>
  <c r="B13" i="12"/>
  <c r="AB12" i="12"/>
  <c r="AA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S8" i="12"/>
  <c r="P8" i="12"/>
  <c r="M8" i="12"/>
  <c r="J8" i="12"/>
  <c r="C8" i="12"/>
  <c r="B8" i="12"/>
  <c r="Z7" i="12"/>
  <c r="Y7" i="12"/>
  <c r="X7" i="12"/>
  <c r="W7" i="12"/>
  <c r="K7" i="12"/>
  <c r="I7" i="12"/>
  <c r="G7" i="12"/>
  <c r="F7" i="12"/>
  <c r="B7" i="12"/>
  <c r="D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B15" i="11"/>
  <c r="R15" i="11" s="1"/>
  <c r="X14" i="11"/>
  <c r="T14" i="11"/>
  <c r="B14" i="11"/>
  <c r="AA13" i="11"/>
  <c r="Z13" i="11"/>
  <c r="Y13" i="11"/>
  <c r="X13" i="11"/>
  <c r="V13" i="11"/>
  <c r="U13" i="11"/>
  <c r="R13" i="11"/>
  <c r="Q13" i="11"/>
  <c r="M13" i="11"/>
  <c r="L13" i="11"/>
  <c r="K13" i="11"/>
  <c r="B13" i="11"/>
  <c r="AB13" i="11" s="1"/>
  <c r="T12" i="11"/>
  <c r="P12" i="11"/>
  <c r="O12" i="11"/>
  <c r="L12" i="11"/>
  <c r="K12" i="11"/>
  <c r="I12" i="11"/>
  <c r="G12" i="11"/>
  <c r="F12" i="11"/>
  <c r="B12" i="11"/>
  <c r="M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D8" i="11"/>
  <c r="B8" i="11"/>
  <c r="X7" i="11"/>
  <c r="W7" i="11"/>
  <c r="O7" i="11"/>
  <c r="N7" i="11"/>
  <c r="D7" i="11"/>
  <c r="C7" i="11"/>
  <c r="B7" i="11"/>
  <c r="AB7" i="11" s="1"/>
  <c r="X6" i="11"/>
  <c r="U6" i="11"/>
  <c r="T6" i="11"/>
  <c r="R6" i="11"/>
  <c r="Q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L3" i="11"/>
  <c r="K3" i="11"/>
  <c r="J3" i="11"/>
  <c r="I3" i="11"/>
  <c r="H3" i="11"/>
  <c r="E3" i="11"/>
  <c r="D3" i="11"/>
  <c r="C3" i="11"/>
  <c r="B3" i="11"/>
  <c r="P3" i="11" s="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A15" i="10"/>
  <c r="Z15" i="10"/>
  <c r="U15" i="10"/>
  <c r="T15" i="10"/>
  <c r="C15" i="10"/>
  <c r="B15" i="10"/>
  <c r="F14" i="10"/>
  <c r="E14" i="10"/>
  <c r="D14" i="10"/>
  <c r="B14" i="10"/>
  <c r="AB14" i="10" s="1"/>
  <c r="AA13" i="10"/>
  <c r="P13" i="10"/>
  <c r="M13" i="10"/>
  <c r="H13" i="10"/>
  <c r="B13" i="10"/>
  <c r="Z13" i="10" s="1"/>
  <c r="Z12" i="10"/>
  <c r="G12" i="10"/>
  <c r="B12" i="10"/>
  <c r="AB12" i="10" s="1"/>
  <c r="C11" i="10"/>
  <c r="B11" i="10"/>
  <c r="B10" i="10"/>
  <c r="B9" i="10"/>
  <c r="AB8" i="10"/>
  <c r="Z8" i="10"/>
  <c r="N8" i="10"/>
  <c r="K8" i="10"/>
  <c r="I8" i="10"/>
  <c r="G8" i="10"/>
  <c r="B8" i="10"/>
  <c r="Q8" i="10" s="1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U2" i="10"/>
  <c r="L2" i="10"/>
  <c r="K2" i="10"/>
  <c r="J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O17" i="9"/>
  <c r="M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B15" i="9"/>
  <c r="T14" i="9"/>
  <c r="C14" i="9"/>
  <c r="B14" i="9"/>
  <c r="AB14" i="9" s="1"/>
  <c r="X13" i="9"/>
  <c r="W13" i="9"/>
  <c r="S13" i="9"/>
  <c r="B13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I8" i="9"/>
  <c r="G8" i="9"/>
  <c r="B8" i="9"/>
  <c r="U7" i="9"/>
  <c r="G7" i="9"/>
  <c r="F7" i="9"/>
  <c r="D7" i="9"/>
  <c r="C7" i="9"/>
  <c r="B7" i="9"/>
  <c r="T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C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K15" i="8"/>
  <c r="J15" i="8"/>
  <c r="B15" i="8"/>
  <c r="E15" i="8" s="1"/>
  <c r="Z14" i="8"/>
  <c r="Y14" i="8"/>
  <c r="W14" i="8"/>
  <c r="V14" i="8"/>
  <c r="U14" i="8"/>
  <c r="T14" i="8"/>
  <c r="S14" i="8"/>
  <c r="R14" i="8"/>
  <c r="O14" i="8"/>
  <c r="L14" i="8"/>
  <c r="K14" i="8"/>
  <c r="J14" i="8"/>
  <c r="E14" i="8"/>
  <c r="D14" i="8"/>
  <c r="B14" i="8"/>
  <c r="AB13" i="8"/>
  <c r="AA13" i="8"/>
  <c r="X13" i="8"/>
  <c r="W13" i="8"/>
  <c r="V13" i="8"/>
  <c r="U13" i="8"/>
  <c r="R13" i="8"/>
  <c r="Q13" i="8"/>
  <c r="P13" i="8"/>
  <c r="M13" i="8"/>
  <c r="L13" i="8"/>
  <c r="K13" i="8"/>
  <c r="F13" i="8"/>
  <c r="E13" i="8"/>
  <c r="B13" i="8"/>
  <c r="AB12" i="8"/>
  <c r="AA12" i="8"/>
  <c r="Z12" i="8"/>
  <c r="Y12" i="8"/>
  <c r="V12" i="8"/>
  <c r="U12" i="8"/>
  <c r="T12" i="8"/>
  <c r="S12" i="8"/>
  <c r="R12" i="8"/>
  <c r="N12" i="8"/>
  <c r="H12" i="8"/>
  <c r="E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Z7" i="8"/>
  <c r="Y7" i="8"/>
  <c r="W7" i="8"/>
  <c r="U7" i="8"/>
  <c r="T7" i="8"/>
  <c r="S7" i="8"/>
  <c r="O7" i="8"/>
  <c r="M7" i="8"/>
  <c r="K7" i="8"/>
  <c r="B7" i="8"/>
  <c r="Q7" i="8" s="1"/>
  <c r="F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B3" i="8"/>
  <c r="R3" i="8" s="1"/>
  <c r="V2" i="8"/>
  <c r="U2" i="8"/>
  <c r="R2" i="8"/>
  <c r="P2" i="8"/>
  <c r="B2" i="8"/>
  <c r="AA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T17" i="7" s="1"/>
  <c r="N16" i="7"/>
  <c r="M16" i="7"/>
  <c r="L16" i="7"/>
  <c r="J16" i="7"/>
  <c r="H16" i="7"/>
  <c r="G16" i="7"/>
  <c r="B16" i="7"/>
  <c r="AA16" i="7" s="1"/>
  <c r="Z15" i="7"/>
  <c r="Y15" i="7"/>
  <c r="W15" i="7"/>
  <c r="T15" i="7"/>
  <c r="P15" i="7"/>
  <c r="O15" i="7"/>
  <c r="M15" i="7"/>
  <c r="L15" i="7"/>
  <c r="K15" i="7"/>
  <c r="J15" i="7"/>
  <c r="I15" i="7"/>
  <c r="H15" i="7"/>
  <c r="G15" i="7"/>
  <c r="F15" i="7"/>
  <c r="E15" i="7"/>
  <c r="D15" i="7"/>
  <c r="B15" i="7"/>
  <c r="V15" i="7" s="1"/>
  <c r="AB14" i="7"/>
  <c r="AA14" i="7"/>
  <c r="Y14" i="7"/>
  <c r="L14" i="7"/>
  <c r="J14" i="7"/>
  <c r="I14" i="7"/>
  <c r="H14" i="7"/>
  <c r="F14" i="7"/>
  <c r="D14" i="7"/>
  <c r="B14" i="7"/>
  <c r="T13" i="7"/>
  <c r="Q13" i="7"/>
  <c r="B13" i="7"/>
  <c r="AB12" i="7"/>
  <c r="Y12" i="7"/>
  <c r="X12" i="7"/>
  <c r="W12" i="7"/>
  <c r="V12" i="7"/>
  <c r="T12" i="7"/>
  <c r="S12" i="7"/>
  <c r="M12" i="7"/>
  <c r="L12" i="7"/>
  <c r="K12" i="7"/>
  <c r="G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T8" i="7"/>
  <c r="R8" i="7"/>
  <c r="Q8" i="7"/>
  <c r="P8" i="7"/>
  <c r="N8" i="7"/>
  <c r="M8" i="7"/>
  <c r="L8" i="7"/>
  <c r="K8" i="7"/>
  <c r="H8" i="7"/>
  <c r="G8" i="7"/>
  <c r="F8" i="7"/>
  <c r="E8" i="7"/>
  <c r="D8" i="7"/>
  <c r="C8" i="7"/>
  <c r="B8" i="7"/>
  <c r="AB7" i="7"/>
  <c r="Z7" i="7"/>
  <c r="Y7" i="7"/>
  <c r="W7" i="7"/>
  <c r="V7" i="7"/>
  <c r="U7" i="7"/>
  <c r="S7" i="7"/>
  <c r="R7" i="7"/>
  <c r="Q7" i="7"/>
  <c r="P7" i="7"/>
  <c r="O7" i="7"/>
  <c r="N7" i="7"/>
  <c r="K7" i="7"/>
  <c r="J7" i="7"/>
  <c r="I7" i="7"/>
  <c r="H7" i="7"/>
  <c r="F7" i="7"/>
  <c r="E7" i="7"/>
  <c r="D7" i="7"/>
  <c r="B7" i="7"/>
  <c r="AA7" i="7" s="1"/>
  <c r="W6" i="7"/>
  <c r="S6" i="7"/>
  <c r="R6" i="7"/>
  <c r="Q6" i="7"/>
  <c r="P6" i="7"/>
  <c r="O6" i="7"/>
  <c r="I6" i="7"/>
  <c r="B6" i="7"/>
  <c r="F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T3" i="7"/>
  <c r="S3" i="7"/>
  <c r="P3" i="7"/>
  <c r="O3" i="7"/>
  <c r="N3" i="7"/>
  <c r="M3" i="7"/>
  <c r="K3" i="7"/>
  <c r="J3" i="7"/>
  <c r="H3" i="7"/>
  <c r="G3" i="7"/>
  <c r="B3" i="7"/>
  <c r="B2" i="7"/>
  <c r="H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X17" i="6"/>
  <c r="W17" i="6"/>
  <c r="V17" i="6"/>
  <c r="P17" i="6"/>
  <c r="F17" i="6"/>
  <c r="E17" i="6"/>
  <c r="B17" i="6"/>
  <c r="E16" i="6"/>
  <c r="D16" i="6"/>
  <c r="C16" i="6"/>
  <c r="B16" i="6"/>
  <c r="AB15" i="6"/>
  <c r="Y15" i="6"/>
  <c r="V15" i="6"/>
  <c r="U15" i="6"/>
  <c r="S15" i="6"/>
  <c r="R15" i="6"/>
  <c r="Q15" i="6"/>
  <c r="P15" i="6"/>
  <c r="O15" i="6"/>
  <c r="N15" i="6"/>
  <c r="M15" i="6"/>
  <c r="L15" i="6"/>
  <c r="K15" i="6"/>
  <c r="J15" i="6"/>
  <c r="I15" i="6"/>
  <c r="G15" i="6"/>
  <c r="F15" i="6"/>
  <c r="E15" i="6"/>
  <c r="D15" i="6"/>
  <c r="B15" i="6"/>
  <c r="W15" i="6" s="1"/>
  <c r="AB14" i="6"/>
  <c r="Y14" i="6"/>
  <c r="W14" i="6"/>
  <c r="T14" i="6"/>
  <c r="S14" i="6"/>
  <c r="R14" i="6"/>
  <c r="Q14" i="6"/>
  <c r="P14" i="6"/>
  <c r="O14" i="6"/>
  <c r="N14" i="6"/>
  <c r="M14" i="6"/>
  <c r="L14" i="6"/>
  <c r="K14" i="6"/>
  <c r="J14" i="6"/>
  <c r="H14" i="6"/>
  <c r="F14" i="6"/>
  <c r="E14" i="6"/>
  <c r="D14" i="6"/>
  <c r="B14" i="6"/>
  <c r="AA14" i="6" s="1"/>
  <c r="B13" i="6"/>
  <c r="R13" i="6" s="1"/>
  <c r="AB12" i="6"/>
  <c r="V12" i="6"/>
  <c r="U12" i="6"/>
  <c r="T12" i="6"/>
  <c r="K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C8" i="6"/>
  <c r="B8" i="6"/>
  <c r="B7" i="6"/>
  <c r="J7" i="6" s="1"/>
  <c r="M6" i="6"/>
  <c r="J6" i="6"/>
  <c r="I6" i="6"/>
  <c r="E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M3" i="6"/>
  <c r="L3" i="6"/>
  <c r="K3" i="6"/>
  <c r="B3" i="6"/>
  <c r="P3" i="6" s="1"/>
  <c r="Z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T17" i="5"/>
  <c r="S17" i="5"/>
  <c r="R17" i="5"/>
  <c r="J17" i="5"/>
  <c r="B17" i="5"/>
  <c r="V17" i="5" s="1"/>
  <c r="B16" i="5"/>
  <c r="B15" i="5"/>
  <c r="D15" i="5" s="1"/>
  <c r="AB14" i="5"/>
  <c r="AA14" i="5"/>
  <c r="Z14" i="5"/>
  <c r="Y14" i="5"/>
  <c r="B14" i="5"/>
  <c r="G13" i="5"/>
  <c r="B13" i="5"/>
  <c r="D13" i="5" s="1"/>
  <c r="G12" i="5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Z7" i="5"/>
  <c r="Y7" i="5"/>
  <c r="X7" i="5"/>
  <c r="V7" i="5"/>
  <c r="N7" i="5"/>
  <c r="I7" i="5"/>
  <c r="B7" i="5"/>
  <c r="D7" i="5" s="1"/>
  <c r="X6" i="5"/>
  <c r="J6" i="5"/>
  <c r="I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T3" i="5" s="1"/>
  <c r="E2" i="5"/>
  <c r="D2" i="5"/>
  <c r="C2" i="5"/>
  <c r="B2" i="5"/>
  <c r="F2" i="5" s="1"/>
  <c r="B2" i="1"/>
  <c r="J3" i="12" l="1"/>
  <c r="I3" i="12"/>
  <c r="G3" i="12"/>
  <c r="Y3" i="12"/>
  <c r="U3" i="12"/>
  <c r="T3" i="12"/>
  <c r="P3" i="12"/>
  <c r="N3" i="12"/>
  <c r="M3" i="12"/>
  <c r="L3" i="12"/>
  <c r="K3" i="12"/>
  <c r="F3" i="12"/>
  <c r="G2" i="13"/>
  <c r="F17" i="13"/>
  <c r="E17" i="13"/>
  <c r="W2" i="8"/>
  <c r="W14" i="9"/>
  <c r="G14" i="10"/>
  <c r="Z3" i="12"/>
  <c r="H2" i="13"/>
  <c r="C17" i="13"/>
  <c r="AA3" i="9"/>
  <c r="AB3" i="9"/>
  <c r="Z3" i="9"/>
  <c r="Y3" i="9"/>
  <c r="I13" i="6"/>
  <c r="G15" i="5"/>
  <c r="K13" i="6"/>
  <c r="Z2" i="8"/>
  <c r="F3" i="9"/>
  <c r="I7" i="9"/>
  <c r="Y12" i="9"/>
  <c r="X12" i="9"/>
  <c r="AA12" i="9"/>
  <c r="O12" i="9"/>
  <c r="Z12" i="9"/>
  <c r="W12" i="9"/>
  <c r="S12" i="9"/>
  <c r="U12" i="9"/>
  <c r="J12" i="9"/>
  <c r="H12" i="9"/>
  <c r="Y14" i="9"/>
  <c r="J14" i="10"/>
  <c r="V7" i="11"/>
  <c r="AA3" i="12"/>
  <c r="F6" i="12"/>
  <c r="U14" i="9"/>
  <c r="Y2" i="7"/>
  <c r="M2" i="7"/>
  <c r="L2" i="7"/>
  <c r="Z2" i="7"/>
  <c r="S2" i="7"/>
  <c r="R2" i="7"/>
  <c r="P2" i="7"/>
  <c r="O2" i="7"/>
  <c r="V14" i="9"/>
  <c r="F15" i="5"/>
  <c r="G2" i="7"/>
  <c r="V3" i="5"/>
  <c r="I15" i="5"/>
  <c r="AB8" i="6"/>
  <c r="G8" i="6"/>
  <c r="E8" i="6"/>
  <c r="M13" i="6"/>
  <c r="I2" i="7"/>
  <c r="G3" i="9"/>
  <c r="Z14" i="9"/>
  <c r="K14" i="10"/>
  <c r="X15" i="5"/>
  <c r="S15" i="5"/>
  <c r="R15" i="5"/>
  <c r="N15" i="5"/>
  <c r="M15" i="5"/>
  <c r="J15" i="5"/>
  <c r="L15" i="5"/>
  <c r="K15" i="5"/>
  <c r="H15" i="5"/>
  <c r="AA14" i="9"/>
  <c r="P15" i="5"/>
  <c r="D8" i="6"/>
  <c r="O13" i="6"/>
  <c r="N2" i="7"/>
  <c r="C17" i="7"/>
  <c r="C3" i="8"/>
  <c r="O3" i="9"/>
  <c r="W8" i="9"/>
  <c r="Y8" i="9"/>
  <c r="X8" i="9"/>
  <c r="U8" i="9"/>
  <c r="Q8" i="9"/>
  <c r="T8" i="9"/>
  <c r="S8" i="9"/>
  <c r="R8" i="9"/>
  <c r="P8" i="9"/>
  <c r="O8" i="9"/>
  <c r="N8" i="9"/>
  <c r="E12" i="9"/>
  <c r="W2" i="10"/>
  <c r="X2" i="10"/>
  <c r="V2" i="10"/>
  <c r="F2" i="10"/>
  <c r="E2" i="10"/>
  <c r="D2" i="10"/>
  <c r="AA2" i="10"/>
  <c r="Z2" i="10"/>
  <c r="Y2" i="10"/>
  <c r="U14" i="10"/>
  <c r="AA7" i="11"/>
  <c r="C15" i="5"/>
  <c r="K2" i="7"/>
  <c r="Q15" i="5"/>
  <c r="H8" i="6"/>
  <c r="N17" i="6"/>
  <c r="M17" i="6"/>
  <c r="AA17" i="6"/>
  <c r="Z17" i="6"/>
  <c r="U17" i="6"/>
  <c r="T17" i="6"/>
  <c r="S17" i="6"/>
  <c r="R17" i="6"/>
  <c r="Q17" i="6"/>
  <c r="O17" i="6"/>
  <c r="L17" i="6"/>
  <c r="Q2" i="7"/>
  <c r="Q17" i="7"/>
  <c r="D3" i="8"/>
  <c r="S3" i="9"/>
  <c r="C8" i="9"/>
  <c r="AB12" i="9"/>
  <c r="C2" i="10"/>
  <c r="Z14" i="10"/>
  <c r="X15" i="12"/>
  <c r="P15" i="12"/>
  <c r="E15" i="12"/>
  <c r="AB15" i="12"/>
  <c r="D15" i="12"/>
  <c r="AA15" i="12"/>
  <c r="C15" i="12"/>
  <c r="H15" i="12"/>
  <c r="F15" i="12"/>
  <c r="G15" i="12"/>
  <c r="Z15" i="12"/>
  <c r="Y15" i="12"/>
  <c r="W15" i="12"/>
  <c r="V15" i="12"/>
  <c r="T15" i="12"/>
  <c r="S15" i="12"/>
  <c r="R15" i="12"/>
  <c r="N15" i="12"/>
  <c r="M15" i="12"/>
  <c r="L15" i="12"/>
  <c r="T14" i="10"/>
  <c r="Z13" i="7"/>
  <c r="S13" i="7"/>
  <c r="R13" i="7"/>
  <c r="X13" i="7"/>
  <c r="W13" i="7"/>
  <c r="O13" i="7"/>
  <c r="M13" i="7"/>
  <c r="I13" i="7"/>
  <c r="N13" i="7"/>
  <c r="J13" i="7"/>
  <c r="K13" i="7"/>
  <c r="H13" i="7"/>
  <c r="F13" i="7"/>
  <c r="S17" i="7"/>
  <c r="H3" i="8"/>
  <c r="E8" i="9"/>
  <c r="M13" i="9"/>
  <c r="D13" i="9"/>
  <c r="C13" i="9"/>
  <c r="G2" i="10"/>
  <c r="AA14" i="10"/>
  <c r="AB8" i="11"/>
  <c r="E8" i="11"/>
  <c r="T8" i="11"/>
  <c r="S8" i="11"/>
  <c r="R8" i="11"/>
  <c r="P8" i="11"/>
  <c r="Q8" i="11"/>
  <c r="O8" i="11"/>
  <c r="N8" i="11"/>
  <c r="K8" i="11"/>
  <c r="J8" i="11"/>
  <c r="I8" i="11"/>
  <c r="I15" i="12"/>
  <c r="H13" i="6"/>
  <c r="O15" i="5"/>
  <c r="N13" i="6"/>
  <c r="AB13" i="5"/>
  <c r="Y13" i="5"/>
  <c r="X13" i="5"/>
  <c r="R13" i="5"/>
  <c r="M13" i="5"/>
  <c r="K13" i="5"/>
  <c r="I13" i="5"/>
  <c r="T15" i="5"/>
  <c r="I8" i="6"/>
  <c r="C17" i="6"/>
  <c r="AB6" i="5"/>
  <c r="Z6" i="5"/>
  <c r="W6" i="5"/>
  <c r="F13" i="5"/>
  <c r="U15" i="5"/>
  <c r="J8" i="6"/>
  <c r="D17" i="6"/>
  <c r="E13" i="7"/>
  <c r="F8" i="9"/>
  <c r="Q13" i="9"/>
  <c r="H2" i="10"/>
  <c r="C8" i="11"/>
  <c r="J15" i="12"/>
  <c r="AB13" i="6"/>
  <c r="T13" i="6"/>
  <c r="Y13" i="6"/>
  <c r="S13" i="6"/>
  <c r="V13" i="6"/>
  <c r="Q13" i="6"/>
  <c r="P13" i="6"/>
  <c r="G13" i="6"/>
  <c r="V15" i="5"/>
  <c r="X15" i="10"/>
  <c r="E15" i="10"/>
  <c r="D15" i="10"/>
  <c r="Y15" i="10"/>
  <c r="W15" i="10"/>
  <c r="V15" i="10"/>
  <c r="R15" i="10"/>
  <c r="P15" i="10"/>
  <c r="Q15" i="10"/>
  <c r="O15" i="10"/>
  <c r="N15" i="10"/>
  <c r="M15" i="10"/>
  <c r="L15" i="10"/>
  <c r="K15" i="10"/>
  <c r="K15" i="12"/>
  <c r="W15" i="5"/>
  <c r="G6" i="15"/>
  <c r="N6" i="15"/>
  <c r="AA6" i="15"/>
  <c r="X6" i="15"/>
  <c r="W6" i="15"/>
  <c r="U6" i="15"/>
  <c r="T6" i="15"/>
  <c r="S6" i="15"/>
  <c r="R6" i="15"/>
  <c r="Q6" i="15"/>
  <c r="P6" i="15"/>
  <c r="O6" i="15"/>
  <c r="M6" i="15"/>
  <c r="L6" i="15"/>
  <c r="K6" i="15"/>
  <c r="J6" i="15"/>
  <c r="I6" i="15"/>
  <c r="E6" i="15"/>
  <c r="D6" i="15"/>
  <c r="Z17" i="17"/>
  <c r="W17" i="17"/>
  <c r="U17" i="17"/>
  <c r="Q17" i="17"/>
  <c r="O17" i="17"/>
  <c r="M17" i="17"/>
  <c r="L17" i="17"/>
  <c r="Y17" i="17"/>
  <c r="X17" i="17"/>
  <c r="R17" i="17"/>
  <c r="AB17" i="7"/>
  <c r="H17" i="7"/>
  <c r="G17" i="7"/>
  <c r="V17" i="7"/>
  <c r="U17" i="7"/>
  <c r="M17" i="7"/>
  <c r="K17" i="7"/>
  <c r="F17" i="7"/>
  <c r="L17" i="7"/>
  <c r="I17" i="7"/>
  <c r="J17" i="7"/>
  <c r="E17" i="7"/>
  <c r="D17" i="7"/>
  <c r="H13" i="5"/>
  <c r="S14" i="11"/>
  <c r="AA14" i="11"/>
  <c r="L14" i="11"/>
  <c r="K14" i="11"/>
  <c r="W14" i="11"/>
  <c r="V14" i="11"/>
  <c r="U14" i="11"/>
  <c r="Q14" i="11"/>
  <c r="O14" i="11"/>
  <c r="P14" i="11"/>
  <c r="N14" i="11"/>
  <c r="M14" i="11"/>
  <c r="J14" i="11"/>
  <c r="I14" i="11"/>
  <c r="H14" i="11"/>
  <c r="G14" i="11"/>
  <c r="C14" i="11"/>
  <c r="V6" i="15"/>
  <c r="E17" i="17"/>
  <c r="E15" i="5"/>
  <c r="J3" i="8"/>
  <c r="G3" i="8"/>
  <c r="E3" i="8"/>
  <c r="Z3" i="8"/>
  <c r="W3" i="8"/>
  <c r="Q3" i="8"/>
  <c r="O3" i="8"/>
  <c r="L3" i="8"/>
  <c r="P3" i="8"/>
  <c r="M3" i="8"/>
  <c r="N3" i="8"/>
  <c r="K3" i="8"/>
  <c r="I3" i="8"/>
  <c r="Z17" i="7"/>
  <c r="AA3" i="8"/>
  <c r="H17" i="6"/>
  <c r="L8" i="9"/>
  <c r="Y13" i="9"/>
  <c r="M2" i="10"/>
  <c r="G15" i="10"/>
  <c r="E14" i="11"/>
  <c r="AB6" i="15"/>
  <c r="AA17" i="17"/>
  <c r="W3" i="5"/>
  <c r="S3" i="5"/>
  <c r="Q3" i="5"/>
  <c r="N3" i="5"/>
  <c r="L3" i="5"/>
  <c r="M3" i="5"/>
  <c r="S2" i="13"/>
  <c r="D2" i="13"/>
  <c r="P2" i="13"/>
  <c r="O2" i="13"/>
  <c r="N2" i="13"/>
  <c r="AB2" i="13"/>
  <c r="Y2" i="13"/>
  <c r="X2" i="13"/>
  <c r="V2" i="13"/>
  <c r="U2" i="13"/>
  <c r="R2" i="13"/>
  <c r="Q2" i="13"/>
  <c r="M2" i="13"/>
  <c r="L2" i="13"/>
  <c r="J2" i="13"/>
  <c r="I2" i="13"/>
  <c r="F2" i="13"/>
  <c r="E2" i="13"/>
  <c r="C2" i="13"/>
  <c r="K3" i="9"/>
  <c r="AA17" i="7"/>
  <c r="K8" i="9"/>
  <c r="F15" i="10"/>
  <c r="K6" i="5"/>
  <c r="Z13" i="5"/>
  <c r="Z15" i="5"/>
  <c r="D14" i="5"/>
  <c r="W14" i="5"/>
  <c r="V14" i="5"/>
  <c r="AA15" i="5"/>
  <c r="J17" i="6"/>
  <c r="AB13" i="7"/>
  <c r="M8" i="9"/>
  <c r="Z13" i="9"/>
  <c r="N2" i="10"/>
  <c r="H15" i="10"/>
  <c r="F14" i="11"/>
  <c r="AB12" i="13"/>
  <c r="X12" i="13"/>
  <c r="I12" i="13"/>
  <c r="H12" i="13"/>
  <c r="D12" i="13"/>
  <c r="W12" i="13"/>
  <c r="V12" i="13"/>
  <c r="U12" i="13"/>
  <c r="R12" i="13"/>
  <c r="O12" i="13"/>
  <c r="M12" i="13"/>
  <c r="X7" i="15"/>
  <c r="K7" i="15"/>
  <c r="V7" i="15"/>
  <c r="U7" i="15"/>
  <c r="T7" i="15"/>
  <c r="Z7" i="15"/>
  <c r="Y7" i="15"/>
  <c r="W7" i="15"/>
  <c r="S7" i="15"/>
  <c r="R7" i="15"/>
  <c r="Q7" i="15"/>
  <c r="P7" i="15"/>
  <c r="O7" i="15"/>
  <c r="N7" i="15"/>
  <c r="M7" i="15"/>
  <c r="L7" i="15"/>
  <c r="J7" i="15"/>
  <c r="I7" i="15"/>
  <c r="H7" i="15"/>
  <c r="E7" i="15"/>
  <c r="D7" i="15"/>
  <c r="C7" i="15"/>
  <c r="AB17" i="17"/>
  <c r="U3" i="5"/>
  <c r="S3" i="8"/>
  <c r="V3" i="8"/>
  <c r="J13" i="5"/>
  <c r="Y15" i="5"/>
  <c r="G17" i="6"/>
  <c r="V13" i="7"/>
  <c r="AA6" i="7"/>
  <c r="N6" i="7"/>
  <c r="K6" i="7"/>
  <c r="AB6" i="7"/>
  <c r="Z6" i="7"/>
  <c r="X6" i="7"/>
  <c r="V6" i="7"/>
  <c r="U6" i="7"/>
  <c r="AA13" i="7"/>
  <c r="AB3" i="8"/>
  <c r="M6" i="5"/>
  <c r="R6" i="5"/>
  <c r="O14" i="5"/>
  <c r="AB15" i="5"/>
  <c r="X12" i="6"/>
  <c r="O12" i="6"/>
  <c r="Y12" i="6"/>
  <c r="W12" i="6"/>
  <c r="S12" i="6"/>
  <c r="R12" i="6"/>
  <c r="P12" i="6"/>
  <c r="N12" i="6"/>
  <c r="L12" i="6"/>
  <c r="J12" i="6"/>
  <c r="D12" i="6"/>
  <c r="K17" i="6"/>
  <c r="H6" i="7"/>
  <c r="Z14" i="7"/>
  <c r="V14" i="7"/>
  <c r="U14" i="7"/>
  <c r="X14" i="7"/>
  <c r="S14" i="7"/>
  <c r="Q14" i="7"/>
  <c r="T14" i="7"/>
  <c r="R14" i="7"/>
  <c r="O14" i="7"/>
  <c r="N14" i="7"/>
  <c r="M14" i="7"/>
  <c r="AB8" i="9"/>
  <c r="AA13" i="9"/>
  <c r="P2" i="10"/>
  <c r="I15" i="10"/>
  <c r="R14" i="11"/>
  <c r="J12" i="13"/>
  <c r="F7" i="15"/>
  <c r="X14" i="9"/>
  <c r="I14" i="9"/>
  <c r="H14" i="9"/>
  <c r="R14" i="9"/>
  <c r="Q14" i="9"/>
  <c r="P14" i="9"/>
  <c r="M14" i="9"/>
  <c r="L14" i="9"/>
  <c r="K14" i="9"/>
  <c r="J14" i="9"/>
  <c r="G14" i="9"/>
  <c r="F14" i="9"/>
  <c r="E14" i="9"/>
  <c r="D14" i="9"/>
  <c r="Q2" i="14"/>
  <c r="G2" i="14"/>
  <c r="AA2" i="14"/>
  <c r="Z2" i="14"/>
  <c r="Y2" i="14"/>
  <c r="L2" i="14"/>
  <c r="F2" i="14"/>
  <c r="E2" i="14"/>
  <c r="V2" i="14"/>
  <c r="U2" i="14"/>
  <c r="R2" i="14"/>
  <c r="O2" i="8"/>
  <c r="F2" i="8"/>
  <c r="D2" i="8"/>
  <c r="T2" i="8"/>
  <c r="S2" i="8"/>
  <c r="N2" i="8"/>
  <c r="L2" i="8"/>
  <c r="I2" i="8"/>
  <c r="M2" i="8"/>
  <c r="K2" i="8"/>
  <c r="H2" i="8"/>
  <c r="G2" i="8"/>
  <c r="C2" i="8"/>
  <c r="N14" i="9"/>
  <c r="AB14" i="11"/>
  <c r="O2" i="14"/>
  <c r="O14" i="9"/>
  <c r="X14" i="10"/>
  <c r="I14" i="10"/>
  <c r="H14" i="10"/>
  <c r="Y14" i="10"/>
  <c r="V14" i="10"/>
  <c r="W14" i="10"/>
  <c r="S14" i="10"/>
  <c r="Q14" i="10"/>
  <c r="R14" i="10"/>
  <c r="P14" i="10"/>
  <c r="O14" i="10"/>
  <c r="N14" i="10"/>
  <c r="M14" i="10"/>
  <c r="L14" i="10"/>
  <c r="P2" i="14"/>
  <c r="G8" i="15"/>
  <c r="X8" i="15"/>
  <c r="W8" i="15"/>
  <c r="T8" i="15"/>
  <c r="AB8" i="15"/>
  <c r="AA8" i="15"/>
  <c r="Z8" i="15"/>
  <c r="Y8" i="15"/>
  <c r="R8" i="15"/>
  <c r="O8" i="15"/>
  <c r="N8" i="15"/>
  <c r="M8" i="15"/>
  <c r="L8" i="15"/>
  <c r="K8" i="15"/>
  <c r="J8" i="15"/>
  <c r="E8" i="15"/>
  <c r="D8" i="15"/>
  <c r="C8" i="15"/>
  <c r="AA6" i="6"/>
  <c r="AB6" i="6"/>
  <c r="P6" i="6"/>
  <c r="O6" i="6"/>
  <c r="N6" i="6"/>
  <c r="L6" i="6"/>
  <c r="K6" i="6"/>
  <c r="Q2" i="8"/>
  <c r="Y7" i="9"/>
  <c r="W7" i="9"/>
  <c r="V7" i="9"/>
  <c r="AB7" i="9"/>
  <c r="AA7" i="9"/>
  <c r="X7" i="9"/>
  <c r="S7" i="9"/>
  <c r="R7" i="9"/>
  <c r="Q7" i="9"/>
  <c r="M7" i="9"/>
  <c r="N7" i="9"/>
  <c r="P7" i="9"/>
  <c r="L7" i="9"/>
  <c r="J7" i="9"/>
  <c r="S14" i="9"/>
  <c r="C14" i="10"/>
  <c r="AB15" i="10"/>
  <c r="Q7" i="11"/>
  <c r="H7" i="11"/>
  <c r="S7" i="11"/>
  <c r="R7" i="11"/>
  <c r="U7" i="11"/>
  <c r="T7" i="11"/>
  <c r="P7" i="11"/>
  <c r="M7" i="11"/>
  <c r="K7" i="11"/>
  <c r="L7" i="11"/>
  <c r="J7" i="11"/>
  <c r="I7" i="11"/>
  <c r="G7" i="11"/>
  <c r="F7" i="11"/>
  <c r="E7" i="11"/>
  <c r="Z7" i="11"/>
  <c r="W15" i="11"/>
  <c r="Z12" i="12"/>
  <c r="H12" i="12"/>
  <c r="C12" i="12"/>
  <c r="X2" i="14"/>
  <c r="F8" i="15"/>
  <c r="J12" i="11"/>
  <c r="J7" i="12"/>
  <c r="I15" i="13"/>
  <c r="P6" i="14"/>
  <c r="S13" i="14"/>
  <c r="U3" i="15"/>
  <c r="U14" i="13"/>
  <c r="H14" i="13"/>
  <c r="T14" i="13"/>
  <c r="S14" i="13"/>
  <c r="R14" i="13"/>
  <c r="J15" i="13"/>
  <c r="Q6" i="14"/>
  <c r="X13" i="14"/>
  <c r="W3" i="15"/>
  <c r="Z7" i="16"/>
  <c r="AB7" i="16"/>
  <c r="U7" i="16"/>
  <c r="R7" i="16"/>
  <c r="P7" i="16"/>
  <c r="L7" i="16"/>
  <c r="J7" i="16"/>
  <c r="I7" i="16"/>
  <c r="Y7" i="13"/>
  <c r="N7" i="13"/>
  <c r="E14" i="13"/>
  <c r="K15" i="13"/>
  <c r="R6" i="14"/>
  <c r="C7" i="16"/>
  <c r="E7" i="13"/>
  <c r="K14" i="13"/>
  <c r="N15" i="13"/>
  <c r="L3" i="14"/>
  <c r="Z3" i="14"/>
  <c r="Y3" i="14"/>
  <c r="X3" i="14"/>
  <c r="W6" i="14"/>
  <c r="F7" i="16"/>
  <c r="R17" i="16"/>
  <c r="J17" i="16"/>
  <c r="H17" i="16"/>
  <c r="C17" i="16"/>
  <c r="X14" i="8"/>
  <c r="Q14" i="8"/>
  <c r="P14" i="8"/>
  <c r="AA14" i="8"/>
  <c r="AA15" i="9"/>
  <c r="Y15" i="9"/>
  <c r="M15" i="9"/>
  <c r="U12" i="11"/>
  <c r="AA7" i="12"/>
  <c r="F7" i="13"/>
  <c r="L14" i="13"/>
  <c r="O15" i="13"/>
  <c r="C3" i="14"/>
  <c r="X6" i="14"/>
  <c r="X15" i="14"/>
  <c r="T15" i="14"/>
  <c r="I15" i="14"/>
  <c r="H15" i="14"/>
  <c r="G15" i="14"/>
  <c r="Z2" i="15"/>
  <c r="D14" i="15"/>
  <c r="G7" i="16"/>
  <c r="D17" i="16"/>
  <c r="T13" i="8"/>
  <c r="S13" i="8"/>
  <c r="D17" i="5"/>
  <c r="T2" i="6"/>
  <c r="O12" i="7"/>
  <c r="N12" i="7"/>
  <c r="N15" i="7"/>
  <c r="E6" i="8"/>
  <c r="C13" i="8"/>
  <c r="C14" i="8"/>
  <c r="AB14" i="8"/>
  <c r="K15" i="9"/>
  <c r="X12" i="11"/>
  <c r="AB7" i="12"/>
  <c r="K14" i="12"/>
  <c r="G7" i="13"/>
  <c r="M14" i="13"/>
  <c r="P15" i="13"/>
  <c r="D3" i="14"/>
  <c r="C15" i="14"/>
  <c r="AA2" i="15"/>
  <c r="E14" i="15"/>
  <c r="H7" i="16"/>
  <c r="G17" i="16"/>
  <c r="Y12" i="11"/>
  <c r="G8" i="12"/>
  <c r="W8" i="12"/>
  <c r="V8" i="12"/>
  <c r="U8" i="12"/>
  <c r="H7" i="13"/>
  <c r="W13" i="13"/>
  <c r="R13" i="13"/>
  <c r="Q13" i="13"/>
  <c r="P13" i="13"/>
  <c r="N14" i="13"/>
  <c r="T15" i="13"/>
  <c r="E3" i="14"/>
  <c r="Z7" i="14"/>
  <c r="AB7" i="14"/>
  <c r="L7" i="14"/>
  <c r="K7" i="14"/>
  <c r="J7" i="14"/>
  <c r="D15" i="14"/>
  <c r="N14" i="15"/>
  <c r="M7" i="16"/>
  <c r="U17" i="16"/>
  <c r="I7" i="13"/>
  <c r="O14" i="13"/>
  <c r="V15" i="13"/>
  <c r="F3" i="14"/>
  <c r="P3" i="15"/>
  <c r="J3" i="15"/>
  <c r="Z3" i="15"/>
  <c r="Y3" i="15"/>
  <c r="X3" i="15"/>
  <c r="O7" i="16"/>
  <c r="W7" i="17"/>
  <c r="V7" i="17"/>
  <c r="U7" i="17"/>
  <c r="R7" i="17"/>
  <c r="K7" i="17"/>
  <c r="J7" i="17"/>
  <c r="G7" i="17"/>
  <c r="F7" i="17"/>
  <c r="E7" i="17"/>
  <c r="D7" i="17"/>
  <c r="W2" i="18"/>
  <c r="X2" i="18"/>
  <c r="S2" i="18"/>
  <c r="R2" i="18"/>
  <c r="O2" i="18"/>
  <c r="N2" i="18"/>
  <c r="M2" i="18"/>
  <c r="L2" i="18"/>
  <c r="G2" i="18"/>
  <c r="F2" i="18"/>
  <c r="AA2" i="6"/>
  <c r="O6" i="8"/>
  <c r="G2" i="11"/>
  <c r="Z12" i="11"/>
  <c r="L17" i="5"/>
  <c r="AB2" i="6"/>
  <c r="F12" i="7"/>
  <c r="Q15" i="7"/>
  <c r="P6" i="8"/>
  <c r="G13" i="8"/>
  <c r="F14" i="8"/>
  <c r="F15" i="8"/>
  <c r="F17" i="9"/>
  <c r="J3" i="10"/>
  <c r="AA12" i="10"/>
  <c r="I2" i="11"/>
  <c r="AB12" i="11"/>
  <c r="D8" i="12"/>
  <c r="V14" i="12"/>
  <c r="L7" i="13"/>
  <c r="G13" i="13"/>
  <c r="P14" i="13"/>
  <c r="W15" i="13"/>
  <c r="G3" i="14"/>
  <c r="D7" i="14"/>
  <c r="F15" i="14"/>
  <c r="C3" i="15"/>
  <c r="AB14" i="15"/>
  <c r="S7" i="16"/>
  <c r="Y17" i="16"/>
  <c r="H7" i="17"/>
  <c r="D2" i="18"/>
  <c r="K17" i="5"/>
  <c r="E17" i="9"/>
  <c r="G14" i="8"/>
  <c r="G17" i="9"/>
  <c r="F8" i="12"/>
  <c r="M7" i="13"/>
  <c r="Q14" i="13"/>
  <c r="Y15" i="13"/>
  <c r="I3" i="14"/>
  <c r="X2" i="15"/>
  <c r="K2" i="15"/>
  <c r="Y2" i="15"/>
  <c r="V2" i="15"/>
  <c r="U2" i="15"/>
  <c r="D3" i="15"/>
  <c r="G15" i="15"/>
  <c r="AA15" i="15"/>
  <c r="T7" i="16"/>
  <c r="Z17" i="16"/>
  <c r="O7" i="17"/>
  <c r="J2" i="18"/>
  <c r="Z15" i="8"/>
  <c r="O15" i="8"/>
  <c r="N15" i="8"/>
  <c r="X12" i="8"/>
  <c r="W12" i="8"/>
  <c r="H13" i="8"/>
  <c r="G15" i="8"/>
  <c r="C3" i="6"/>
  <c r="U14" i="6"/>
  <c r="X14" i="6"/>
  <c r="X3" i="7"/>
  <c r="V3" i="7"/>
  <c r="U3" i="7"/>
  <c r="G7" i="7"/>
  <c r="M7" i="7"/>
  <c r="L7" i="7"/>
  <c r="X8" i="7"/>
  <c r="J8" i="7"/>
  <c r="I8" i="7"/>
  <c r="H12" i="7"/>
  <c r="U15" i="7"/>
  <c r="G7" i="8"/>
  <c r="C12" i="8"/>
  <c r="I13" i="8"/>
  <c r="H14" i="8"/>
  <c r="H15" i="8"/>
  <c r="J17" i="9"/>
  <c r="D13" i="10"/>
  <c r="Q2" i="11"/>
  <c r="H8" i="12"/>
  <c r="X14" i="12"/>
  <c r="R7" i="13"/>
  <c r="K13" i="13"/>
  <c r="V14" i="13"/>
  <c r="Z15" i="13"/>
  <c r="J3" i="14"/>
  <c r="G7" i="14"/>
  <c r="K15" i="14"/>
  <c r="C2" i="15"/>
  <c r="E3" i="15"/>
  <c r="C15" i="15"/>
  <c r="V7" i="16"/>
  <c r="AB17" i="16"/>
  <c r="P7" i="17"/>
  <c r="K2" i="18"/>
  <c r="O17" i="5"/>
  <c r="P17" i="5"/>
  <c r="X15" i="6"/>
  <c r="T15" i="6"/>
  <c r="Z15" i="6"/>
  <c r="U7" i="5"/>
  <c r="Q17" i="5"/>
  <c r="F3" i="6"/>
  <c r="C14" i="6"/>
  <c r="C15" i="6"/>
  <c r="AA15" i="6"/>
  <c r="F3" i="7"/>
  <c r="C7" i="7"/>
  <c r="J12" i="7"/>
  <c r="J7" i="8"/>
  <c r="D12" i="8"/>
  <c r="J13" i="8"/>
  <c r="I14" i="8"/>
  <c r="I15" i="8"/>
  <c r="K17" i="9"/>
  <c r="F13" i="10"/>
  <c r="I8" i="12"/>
  <c r="Y14" i="12"/>
  <c r="S7" i="13"/>
  <c r="M13" i="13"/>
  <c r="W14" i="13"/>
  <c r="AA15" i="13"/>
  <c r="K3" i="14"/>
  <c r="H7" i="14"/>
  <c r="L15" i="14"/>
  <c r="D2" i="15"/>
  <c r="F3" i="15"/>
  <c r="E15" i="15"/>
  <c r="Z6" i="16"/>
  <c r="V6" i="16"/>
  <c r="O6" i="16"/>
  <c r="L6" i="16"/>
  <c r="K6" i="16"/>
  <c r="H6" i="16"/>
  <c r="G6" i="16"/>
  <c r="F6" i="16"/>
  <c r="X7" i="16"/>
  <c r="S7" i="17"/>
  <c r="P2" i="18"/>
  <c r="U6" i="14"/>
  <c r="Z6" i="14"/>
  <c r="L6" i="14"/>
  <c r="K6" i="14"/>
  <c r="J6" i="14"/>
  <c r="G3" i="15"/>
  <c r="I15" i="15"/>
  <c r="Y7" i="16"/>
  <c r="Z2" i="17"/>
  <c r="W2" i="17"/>
  <c r="J2" i="17"/>
  <c r="I2" i="17"/>
  <c r="G2" i="17"/>
  <c r="F2" i="17"/>
  <c r="T7" i="17"/>
  <c r="U2" i="18"/>
  <c r="X17" i="18"/>
  <c r="U17" i="18"/>
  <c r="T17" i="18"/>
  <c r="S17" i="18"/>
  <c r="R17" i="18"/>
  <c r="P17" i="18"/>
  <c r="O17" i="18"/>
  <c r="L17" i="18"/>
  <c r="J17" i="18"/>
  <c r="G17" i="18"/>
  <c r="E17" i="18"/>
  <c r="D17" i="18"/>
  <c r="C17" i="18"/>
  <c r="AB17" i="18"/>
  <c r="AA17" i="18"/>
  <c r="Y17" i="18"/>
  <c r="W17" i="18"/>
  <c r="AB2" i="16"/>
  <c r="X2" i="16"/>
  <c r="W2" i="16"/>
  <c r="U2" i="16"/>
  <c r="D2" i="16"/>
  <c r="L15" i="8"/>
  <c r="P17" i="9"/>
  <c r="X15" i="13"/>
  <c r="H15" i="13"/>
  <c r="S15" i="13"/>
  <c r="R15" i="13"/>
  <c r="Q15" i="13"/>
  <c r="E13" i="14"/>
  <c r="U17" i="5"/>
  <c r="O3" i="6"/>
  <c r="Y13" i="10"/>
  <c r="C12" i="11"/>
  <c r="Q8" i="12"/>
  <c r="AA3" i="13"/>
  <c r="D3" i="13"/>
  <c r="W3" i="13"/>
  <c r="V3" i="13"/>
  <c r="P3" i="13"/>
  <c r="AB6" i="13"/>
  <c r="AA6" i="13"/>
  <c r="Z6" i="13"/>
  <c r="P6" i="13"/>
  <c r="Z7" i="13"/>
  <c r="T13" i="13"/>
  <c r="C15" i="13"/>
  <c r="S3" i="14"/>
  <c r="G6" i="14"/>
  <c r="O7" i="14"/>
  <c r="G13" i="14"/>
  <c r="P15" i="14"/>
  <c r="H2" i="15"/>
  <c r="L3" i="15"/>
  <c r="T15" i="15"/>
  <c r="K2" i="16"/>
  <c r="M6" i="16"/>
  <c r="Z7" i="17"/>
  <c r="Z2" i="18"/>
  <c r="N17" i="18"/>
  <c r="V7" i="12"/>
  <c r="S7" i="12"/>
  <c r="P7" i="12"/>
  <c r="X7" i="13"/>
  <c r="F6" i="14"/>
  <c r="P12" i="7"/>
  <c r="X15" i="7"/>
  <c r="S15" i="7"/>
  <c r="R15" i="7"/>
  <c r="AA15" i="7"/>
  <c r="P7" i="8"/>
  <c r="O12" i="8"/>
  <c r="N13" i="8"/>
  <c r="M14" i="8"/>
  <c r="M15" i="8"/>
  <c r="Q17" i="9"/>
  <c r="AA7" i="5"/>
  <c r="I14" i="6"/>
  <c r="H15" i="6"/>
  <c r="L3" i="7"/>
  <c r="R12" i="7"/>
  <c r="C15" i="7"/>
  <c r="AB15" i="7"/>
  <c r="Q12" i="8"/>
  <c r="O13" i="8"/>
  <c r="N14" i="8"/>
  <c r="P15" i="8"/>
  <c r="R17" i="9"/>
  <c r="C8" i="10"/>
  <c r="E12" i="11"/>
  <c r="E7" i="12"/>
  <c r="R8" i="12"/>
  <c r="C3" i="13"/>
  <c r="G6" i="13"/>
  <c r="AA7" i="13"/>
  <c r="U13" i="13"/>
  <c r="D15" i="13"/>
  <c r="T3" i="14"/>
  <c r="H6" i="14"/>
  <c r="P7" i="14"/>
  <c r="K13" i="14"/>
  <c r="Q15" i="14"/>
  <c r="I2" i="15"/>
  <c r="M3" i="15"/>
  <c r="U15" i="15"/>
  <c r="P2" i="16"/>
  <c r="AB14" i="16"/>
  <c r="Y14" i="16"/>
  <c r="J14" i="16"/>
  <c r="AB6" i="18"/>
  <c r="W6" i="18"/>
  <c r="Q6" i="18"/>
  <c r="O6" i="18"/>
  <c r="K6" i="18"/>
  <c r="J6" i="18"/>
  <c r="I6" i="18"/>
  <c r="Q17" i="18"/>
  <c r="O3" i="19"/>
  <c r="I3" i="19"/>
  <c r="H3" i="19"/>
  <c r="G3" i="19"/>
  <c r="F3" i="19"/>
  <c r="D3" i="19"/>
  <c r="AB3" i="19"/>
  <c r="C3" i="19"/>
  <c r="Y3" i="19"/>
  <c r="W3" i="19"/>
  <c r="U3" i="19"/>
  <c r="T3" i="19"/>
  <c r="S3" i="19"/>
  <c r="R3" i="19"/>
  <c r="Q3" i="19"/>
  <c r="P3" i="19"/>
  <c r="N3" i="19"/>
  <c r="M3" i="19"/>
  <c r="K3" i="19"/>
  <c r="AB8" i="18"/>
  <c r="Y12" i="18"/>
  <c r="E15" i="18"/>
  <c r="H2" i="19"/>
  <c r="N6" i="19"/>
  <c r="M8" i="19"/>
  <c r="C12" i="19"/>
  <c r="K13" i="19"/>
  <c r="T14" i="19"/>
  <c r="Q12" i="17"/>
  <c r="K3" i="18"/>
  <c r="C8" i="18"/>
  <c r="Z12" i="18"/>
  <c r="J15" i="18"/>
  <c r="M2" i="19"/>
  <c r="O6" i="19"/>
  <c r="N8" i="19"/>
  <c r="E12" i="19"/>
  <c r="L13" i="19"/>
  <c r="U14" i="19"/>
  <c r="M3" i="18"/>
  <c r="D8" i="18"/>
  <c r="K15" i="18"/>
  <c r="N2" i="19"/>
  <c r="R6" i="19"/>
  <c r="O8" i="19"/>
  <c r="F12" i="19"/>
  <c r="M13" i="19"/>
  <c r="V14" i="19"/>
  <c r="M15" i="18"/>
  <c r="O2" i="19"/>
  <c r="W6" i="19"/>
  <c r="P8" i="19"/>
  <c r="G12" i="19"/>
  <c r="O13" i="19"/>
  <c r="AB14" i="19"/>
  <c r="Q8" i="19"/>
  <c r="H12" i="19"/>
  <c r="M3" i="11"/>
  <c r="O6" i="11"/>
  <c r="Z12" i="15"/>
  <c r="Z13" i="15"/>
  <c r="H8" i="17"/>
  <c r="U12" i="17"/>
  <c r="H15" i="17"/>
  <c r="Q3" i="18"/>
  <c r="G8" i="18"/>
  <c r="H13" i="18"/>
  <c r="S15" i="18"/>
  <c r="R2" i="19"/>
  <c r="C7" i="19"/>
  <c r="R8" i="19"/>
  <c r="I12" i="19"/>
  <c r="Q13" i="19"/>
  <c r="C15" i="19"/>
  <c r="P6" i="11"/>
  <c r="J13" i="11"/>
  <c r="AA12" i="15"/>
  <c r="AA13" i="15"/>
  <c r="J8" i="17"/>
  <c r="V12" i="17"/>
  <c r="I15" i="17"/>
  <c r="R3" i="18"/>
  <c r="J8" i="18"/>
  <c r="P13" i="18"/>
  <c r="W15" i="18"/>
  <c r="S2" i="19"/>
  <c r="F7" i="19"/>
  <c r="S8" i="19"/>
  <c r="J12" i="19"/>
  <c r="T13" i="19"/>
  <c r="E15" i="19"/>
  <c r="AB13" i="15"/>
  <c r="N8" i="17"/>
  <c r="W12" i="17"/>
  <c r="N15" i="17"/>
  <c r="S3" i="18"/>
  <c r="K8" i="18"/>
  <c r="X15" i="18"/>
  <c r="U2" i="19"/>
  <c r="G7" i="19"/>
  <c r="T8" i="19"/>
  <c r="L12" i="19"/>
  <c r="V13" i="19"/>
  <c r="F15" i="19"/>
  <c r="O8" i="17"/>
  <c r="M8" i="18"/>
  <c r="Y15" i="18"/>
  <c r="V2" i="19"/>
  <c r="H7" i="19"/>
  <c r="V8" i="19"/>
  <c r="P12" i="19"/>
  <c r="W13" i="19"/>
  <c r="G15" i="19"/>
  <c r="Q8" i="17"/>
  <c r="AB12" i="17"/>
  <c r="Y3" i="18"/>
  <c r="O8" i="18"/>
  <c r="L14" i="18"/>
  <c r="AA15" i="18"/>
  <c r="X2" i="19"/>
  <c r="M7" i="19"/>
  <c r="Y8" i="19"/>
  <c r="R12" i="19"/>
  <c r="Z13" i="19"/>
  <c r="L15" i="19"/>
  <c r="C17" i="19"/>
  <c r="C3" i="16"/>
  <c r="R8" i="17"/>
  <c r="P8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S3" i="16"/>
  <c r="K12" i="16"/>
  <c r="U8" i="17"/>
  <c r="E12" i="17"/>
  <c r="N13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E8" i="19"/>
  <c r="AB12" i="19"/>
  <c r="J14" i="19"/>
  <c r="Y15" i="19"/>
  <c r="Q17" i="19"/>
  <c r="Y8" i="17"/>
  <c r="D7" i="18"/>
  <c r="V8" i="18"/>
  <c r="AA14" i="18"/>
  <c r="D6" i="19"/>
  <c r="F8" i="19"/>
  <c r="K14" i="19"/>
  <c r="AA15" i="19"/>
  <c r="R17" i="19"/>
  <c r="O12" i="15"/>
  <c r="M13" i="15"/>
  <c r="AA8" i="17"/>
  <c r="I12" i="17"/>
  <c r="D3" i="18"/>
  <c r="G7" i="18"/>
  <c r="W8" i="18"/>
  <c r="E6" i="19"/>
  <c r="G8" i="19"/>
  <c r="C13" i="19"/>
  <c r="L14" i="19"/>
  <c r="AB15" i="19"/>
  <c r="V17" i="19"/>
  <c r="E3" i="18"/>
  <c r="H7" i="18"/>
  <c r="X8" i="18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<sst xmlns="http://schemas.openxmlformats.org/spreadsheetml/2006/main" count="3113" uniqueCount="587">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</sst>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142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OK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1.663006146119491E-2</v>
      </c>
      <c r="C2" s="7">
        <f>$B2 * IFERROR(VLOOKUP("transport|PM25|Premature mortality", US_national_yearly!$D:$AM, 11, FALSE) / VLOOKUP("transport|PM25|Premature mortality", US_national_yearly!$D:$AM, 10, FALSE), 1)</f>
        <v>1.683623777876463E-2</v>
      </c>
      <c r="D2" s="7">
        <f>$B2 * IFERROR(VLOOKUP("transport|PM25|Premature mortality", US_national_yearly!$D:$AM, 12, FALSE) / VLOOKUP("transport|PM25|Premature mortality", US_national_yearly!$D:$AM, 10, FALSE), 1)</f>
        <v>1.7042414096334342E-2</v>
      </c>
      <c r="E2" s="7">
        <f>$B2 * IFERROR(VLOOKUP("transport|PM25|Premature mortality", US_national_yearly!$D:$AM, 13, FALSE) / VLOOKUP("transport|PM25|Premature mortality", US_national_yearly!$D:$AM, 10, FALSE), 1)</f>
        <v>1.7248590413904058E-2</v>
      </c>
      <c r="F2" s="7">
        <f>$B2 * IFERROR(VLOOKUP("transport|PM25|Premature mortality", US_national_yearly!$D:$AM, 14, FALSE) / VLOOKUP("transport|PM25|Premature mortality", US_national_yearly!$D:$AM, 10, FALSE), 1)</f>
        <v>1.7454766731473774E-2</v>
      </c>
      <c r="G2" s="7">
        <f>$B2 * IFERROR(VLOOKUP("transport|PM25|Premature mortality", US_national_yearly!$D:$AM, 15, FALSE) / VLOOKUP("transport|PM25|Premature mortality", US_national_yearly!$D:$AM, 10, FALSE), 1)</f>
        <v>1.7856293554995815E-2</v>
      </c>
      <c r="H2" s="7">
        <f>$B2 * IFERROR(VLOOKUP("transport|PM25|Premature mortality", US_national_yearly!$D:$AM, 16, FALSE) / VLOOKUP("transport|PM25|Premature mortality", US_national_yearly!$D:$AM, 10, FALSE), 1)</f>
        <v>1.8257820378517857E-2</v>
      </c>
      <c r="I2" s="7">
        <f>$B2 * IFERROR(VLOOKUP("transport|PM25|Premature mortality", US_national_yearly!$D:$AM, 17, FALSE) / VLOOKUP("transport|PM25|Premature mortality", US_national_yearly!$D:$AM, 10, FALSE), 1)</f>
        <v>1.852156009853315E-2</v>
      </c>
      <c r="J2" s="7">
        <f>$B2 * IFERROR(VLOOKUP("transport|PM25|Premature mortality", US_national_yearly!$D:$AM, 18, FALSE) / VLOOKUP("transport|PM25|Premature mortality", US_national_yearly!$D:$AM, 10, FALSE), 1)</f>
        <v>1.878529981854845E-2</v>
      </c>
      <c r="K2" s="7">
        <f>$B2 * IFERROR(VLOOKUP("transport|PM25|Premature mortality", US_national_yearly!$D:$AM, 19, FALSE) / VLOOKUP("transport|PM25|Premature mortality", US_national_yearly!$D:$AM, 10, FALSE), 1)</f>
        <v>1.9049039538563746E-2</v>
      </c>
      <c r="L2" s="7">
        <f>$B2 * IFERROR(VLOOKUP("transport|PM25|Premature mortality", US_national_yearly!$D:$AM, 20, FALSE) / VLOOKUP("transport|PM25|Premature mortality", US_national_yearly!$D:$AM, 10, FALSE), 1)</f>
        <v>1.9312779258579049E-2</v>
      </c>
      <c r="M2" s="7">
        <f>$B2 * IFERROR(VLOOKUP("transport|PM25|Premature mortality", US_national_yearly!$D:$AM, 21, FALSE) / VLOOKUP("transport|PM25|Premature mortality", US_national_yearly!$D:$AM, 10, FALSE), 1)</f>
        <v>1.9576518978594346E-2</v>
      </c>
      <c r="N2" s="7">
        <f>$B2 * IFERROR(VLOOKUP("transport|PM25|Premature mortality", US_national_yearly!$D:$AM, 22, FALSE) / VLOOKUP("transport|PM25|Premature mortality", US_national_yearly!$D:$AM, 10, FALSE), 1)</f>
        <v>1.9781296085725087E-2</v>
      </c>
      <c r="O2" s="7">
        <f>$B2 * IFERROR(VLOOKUP("transport|PM25|Premature mortality", US_national_yearly!$D:$AM, 23, FALSE) / VLOOKUP("transport|PM25|Premature mortality", US_national_yearly!$D:$AM, 10, FALSE), 1)</f>
        <v>1.9986073192855832E-2</v>
      </c>
      <c r="P2" s="7">
        <f>$B2 * IFERROR(VLOOKUP("transport|PM25|Premature mortality", US_national_yearly!$D:$AM, 24, FALSE) / VLOOKUP("transport|PM25|Premature mortality", US_national_yearly!$D:$AM, 10, FALSE), 1)</f>
        <v>2.0190850299986577E-2</v>
      </c>
      <c r="Q2" s="7">
        <f>$B2 * IFERROR(VLOOKUP("transport|PM25|Premature mortality", US_national_yearly!$D:$AM, 25, FALSE) / VLOOKUP("transport|PM25|Premature mortality", US_national_yearly!$D:$AM, 10, FALSE), 1)</f>
        <v>2.0395627407117319E-2</v>
      </c>
      <c r="R2" s="7">
        <f>$B2 * IFERROR(VLOOKUP("transport|PM25|Premature mortality", US_national_yearly!$D:$AM, 26, FALSE) / VLOOKUP("transport|PM25|Premature mortality", US_national_yearly!$D:$AM, 10, FALSE), 1)</f>
        <v>2.0600404514248067E-2</v>
      </c>
      <c r="S2" s="7">
        <f>$B2 * IFERROR(VLOOKUP("transport|PM25|Premature mortality", US_national_yearly!$D:$AM, 27, FALSE) / VLOOKUP("transport|PM25|Premature mortality", US_national_yearly!$D:$AM, 10, FALSE), 1)</f>
        <v>2.0708889341475294E-2</v>
      </c>
      <c r="T2" s="7">
        <f>$B2 * IFERROR(VLOOKUP("transport|PM25|Premature mortality", US_national_yearly!$D:$AM, 28, FALSE) / VLOOKUP("transport|PM25|Premature mortality", US_national_yearly!$D:$AM, 10, FALSE), 1)</f>
        <v>2.0817374168702517E-2</v>
      </c>
      <c r="U2" s="7">
        <f>$B2 * IFERROR(VLOOKUP("transport|PM25|Premature mortality", US_national_yearly!$D:$AM, 29, FALSE) / VLOOKUP("transport|PM25|Premature mortality", US_national_yearly!$D:$AM, 10, FALSE), 1)</f>
        <v>2.0925858995929743E-2</v>
      </c>
      <c r="V2" s="7">
        <f>$B2 * IFERROR(VLOOKUP("transport|PM25|Premature mortality", US_national_yearly!$D:$AM, 30, FALSE) / VLOOKUP("transport|PM25|Premature mortality", US_national_yearly!$D:$AM, 10, FALSE), 1)</f>
        <v>2.1034343823156967E-2</v>
      </c>
      <c r="W2" s="7">
        <f>$B2 * IFERROR(VLOOKUP("transport|PM25|Premature mortality", US_national_yearly!$D:$AM, 31, FALSE) / VLOOKUP("transport|PM25|Premature mortality", US_national_yearly!$D:$AM, 10, FALSE), 1)</f>
        <v>2.114282865038419E-2</v>
      </c>
      <c r="X2" s="7">
        <f>$B2 * IFERROR(VLOOKUP("transport|PM25|Premature mortality", US_national_yearly!$D:$AM, 32, FALSE) / VLOOKUP("transport|PM25|Premature mortality", US_national_yearly!$D:$AM, 10, FALSE), 1)</f>
        <v>2.1161798061613144E-2</v>
      </c>
      <c r="Y2" s="7">
        <f>$B2 * IFERROR(VLOOKUP("transport|PM25|Premature mortality", US_national_yearly!$D:$AM, 33, FALSE) / VLOOKUP("transport|PM25|Premature mortality", US_national_yearly!$D:$AM, 10, FALSE), 1)</f>
        <v>2.1180767472842098E-2</v>
      </c>
      <c r="Z2" s="7">
        <f>$B2 * IFERROR(VLOOKUP("transport|PM25|Premature mortality", US_national_yearly!$D:$AM, 34, FALSE) / VLOOKUP("transport|PM25|Premature mortality", US_national_yearly!$D:$AM, 10, FALSE), 1)</f>
        <v>2.1199736884071053E-2</v>
      </c>
      <c r="AA2" s="7">
        <f>$B2 * IFERROR(VLOOKUP("transport|PM25|Premature mortality", US_national_yearly!$D:$AM, 35, FALSE) / VLOOKUP("transport|PM25|Premature mortality", US_national_yearly!$D:$AM, 10, FALSE), 1)</f>
        <v>2.1218706295300011E-2</v>
      </c>
      <c r="AB2" s="7">
        <f>$B2 * IFERROR(VLOOKUP("transport|PM25|Premature mortality", US_national_yearly!$D:$AM, 36, FALSE) / VLOOKUP("transport|PM25|Premature mortality", US_national_yearly!$D:$AM, 10, FALSE), 1)</f>
        <v>2.1237675706528961E-2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5.7634164052590107E-5</v>
      </c>
      <c r="C3" s="7">
        <f>$B3 * IFERROR(VLOOKUP("transport|PM25|Infant mortality", US_national_yearly!$D:$AM, 11, FALSE) / VLOOKUP("transport|PM25|Infant mortality", US_national_yearly!$D:$AM, 10, FALSE), 1)</f>
        <v>5.7131646733601079E-5</v>
      </c>
      <c r="D3" s="7">
        <f>$B3 * IFERROR(VLOOKUP("transport|PM25|Infant mortality", US_national_yearly!$D:$AM, 12, FALSE) / VLOOKUP("transport|PM25|Infant mortality", US_national_yearly!$D:$AM, 10, FALSE), 1)</f>
        <v>5.6629129414612052E-5</v>
      </c>
      <c r="E3" s="7">
        <f>$B3 * IFERROR(VLOOKUP("transport|PM25|Infant mortality", US_national_yearly!$D:$AM, 13, FALSE) / VLOOKUP("transport|PM25|Infant mortality", US_national_yearly!$D:$AM, 10, FALSE), 1)</f>
        <v>5.6126612095623025E-5</v>
      </c>
      <c r="F3" s="7">
        <f>$B3 * IFERROR(VLOOKUP("transport|PM25|Infant mortality", US_national_yearly!$D:$AM, 14, FALSE) / VLOOKUP("transport|PM25|Infant mortality", US_national_yearly!$D:$AM, 10, FALSE), 1)</f>
        <v>5.5624094776633991E-5</v>
      </c>
      <c r="G3" s="7">
        <f>$B3 * IFERROR(VLOOKUP("transport|PM25|Infant mortality", US_national_yearly!$D:$AM, 15, FALSE) / VLOOKUP("transport|PM25|Infant mortality", US_national_yearly!$D:$AM, 10, FALSE), 1)</f>
        <v>3.6992998468096608E-5</v>
      </c>
      <c r="H3" s="7">
        <f>$B3 * IFERROR(VLOOKUP("transport|PM25|Infant mortality", US_national_yearly!$D:$AM, 16, FALSE) / VLOOKUP("transport|PM25|Infant mortality", US_national_yearly!$D:$AM, 10, FALSE), 1)</f>
        <v>1.8361902159559208E-5</v>
      </c>
      <c r="I3" s="7">
        <f>$B3 * IFERROR(VLOOKUP("transport|PM25|Infant mortality", US_national_yearly!$D:$AM, 17, FALSE) / VLOOKUP("transport|PM25|Infant mortality", US_national_yearly!$D:$AM, 10, FALSE), 1)</f>
        <v>1.8241876797789054E-5</v>
      </c>
      <c r="J3" s="7">
        <f>$B3 * IFERROR(VLOOKUP("transport|PM25|Infant mortality", US_national_yearly!$D:$AM, 18, FALSE) / VLOOKUP("transport|PM25|Infant mortality", US_national_yearly!$D:$AM, 10, FALSE), 1)</f>
        <v>1.81218514360189E-5</v>
      </c>
      <c r="K3" s="7">
        <f>$B3 * IFERROR(VLOOKUP("transport|PM25|Infant mortality", US_national_yearly!$D:$AM, 19, FALSE) / VLOOKUP("transport|PM25|Infant mortality", US_national_yearly!$D:$AM, 10, FALSE), 1)</f>
        <v>1.8001826074248745E-5</v>
      </c>
      <c r="L3" s="7">
        <f>$B3 * IFERROR(VLOOKUP("transport|PM25|Infant mortality", US_national_yearly!$D:$AM, 20, FALSE) / VLOOKUP("transport|PM25|Infant mortality", US_national_yearly!$D:$AM, 10, FALSE), 1)</f>
        <v>1.7881800712478594E-5</v>
      </c>
      <c r="M3" s="7">
        <f>$B3 * IFERROR(VLOOKUP("transport|PM25|Infant mortality", US_national_yearly!$D:$AM, 21, FALSE) / VLOOKUP("transport|PM25|Infant mortality", US_national_yearly!$D:$AM, 10, FALSE), 1)</f>
        <v>1.776177535070844E-5</v>
      </c>
      <c r="N3" s="7">
        <f>$B3 * IFERROR(VLOOKUP("transport|PM25|Infant mortality", US_national_yearly!$D:$AM, 22, FALSE) / VLOOKUP("transport|PM25|Infant mortality", US_national_yearly!$D:$AM, 10, FALSE), 1)</f>
        <v>1.768638613541146E-5</v>
      </c>
      <c r="O3" s="7">
        <f>$B3 * IFERROR(VLOOKUP("transport|PM25|Infant mortality", US_national_yearly!$D:$AM, 23, FALSE) / VLOOKUP("transport|PM25|Infant mortality", US_national_yearly!$D:$AM, 10, FALSE), 1)</f>
        <v>1.7610996920114483E-5</v>
      </c>
      <c r="P3" s="7">
        <f>$B3 * IFERROR(VLOOKUP("transport|PM25|Infant mortality", US_national_yearly!$D:$AM, 24, FALSE) / VLOOKUP("transport|PM25|Infant mortality", US_national_yearly!$D:$AM, 10, FALSE), 1)</f>
        <v>1.7535607704817499E-5</v>
      </c>
      <c r="Q3" s="7">
        <f>$B3 * IFERROR(VLOOKUP("transport|PM25|Infant mortality", US_national_yearly!$D:$AM, 25, FALSE) / VLOOKUP("transport|PM25|Infant mortality", US_national_yearly!$D:$AM, 10, FALSE), 1)</f>
        <v>1.7460218489520522E-5</v>
      </c>
      <c r="R3" s="7">
        <f>$B3 * IFERROR(VLOOKUP("transport|PM25|Infant mortality", US_national_yearly!$D:$AM, 26, FALSE) / VLOOKUP("transport|PM25|Infant mortality", US_national_yearly!$D:$AM, 10, FALSE), 1)</f>
        <v>1.7384829274223541E-5</v>
      </c>
      <c r="S3" s="7">
        <f>$B3 * IFERROR(VLOOKUP("transport|PM25|Infant mortality", US_national_yearly!$D:$AM, 27, FALSE) / VLOOKUP("transport|PM25|Infant mortality", US_national_yearly!$D:$AM, 10, FALSE), 1)</f>
        <v>1.729085507590283E-5</v>
      </c>
      <c r="T3" s="7">
        <f>$B3 * IFERROR(VLOOKUP("transport|PM25|Infant mortality", US_national_yearly!$D:$AM, 28, FALSE) / VLOOKUP("transport|PM25|Infant mortality", US_national_yearly!$D:$AM, 10, FALSE), 1)</f>
        <v>1.7196880877582112E-5</v>
      </c>
      <c r="U3" s="7">
        <f>$B3 * IFERROR(VLOOKUP("transport|PM25|Infant mortality", US_national_yearly!$D:$AM, 29, FALSE) / VLOOKUP("transport|PM25|Infant mortality", US_national_yearly!$D:$AM, 10, FALSE), 1)</f>
        <v>1.7102906679261401E-5</v>
      </c>
      <c r="V3" s="7">
        <f>$B3 * IFERROR(VLOOKUP("transport|PM25|Infant mortality", US_national_yearly!$D:$AM, 30, FALSE) / VLOOKUP("transport|PM25|Infant mortality", US_national_yearly!$D:$AM, 10, FALSE), 1)</f>
        <v>1.7008932480940689E-5</v>
      </c>
      <c r="W3" s="7">
        <f>$B3 * IFERROR(VLOOKUP("transport|PM25|Infant mortality", US_national_yearly!$D:$AM, 31, FALSE) / VLOOKUP("transport|PM25|Infant mortality", US_national_yearly!$D:$AM, 10, FALSE), 1)</f>
        <v>1.6914958282619975E-5</v>
      </c>
      <c r="X3" s="7">
        <f>$B3 * IFERROR(VLOOKUP("transport|PM25|Infant mortality", US_national_yearly!$D:$AM, 32, FALSE) / VLOOKUP("transport|PM25|Infant mortality", US_national_yearly!$D:$AM, 10, FALSE), 1)</f>
        <v>1.6813642285512668E-5</v>
      </c>
      <c r="Y3" s="7">
        <f>$B3 * IFERROR(VLOOKUP("transport|PM25|Infant mortality", US_national_yearly!$D:$AM, 33, FALSE) / VLOOKUP("transport|PM25|Infant mortality", US_national_yearly!$D:$AM, 10, FALSE), 1)</f>
        <v>1.6712326288405354E-5</v>
      </c>
      <c r="Z3" s="7">
        <f>$B3 * IFERROR(VLOOKUP("transport|PM25|Infant mortality", US_national_yearly!$D:$AM, 34, FALSE) / VLOOKUP("transport|PM25|Infant mortality", US_national_yearly!$D:$AM, 10, FALSE), 1)</f>
        <v>1.6611010291298047E-5</v>
      </c>
      <c r="AA3" s="7">
        <f>$B3 * IFERROR(VLOOKUP("transport|PM25|Infant mortality", US_national_yearly!$D:$AM, 35, FALSE) / VLOOKUP("transport|PM25|Infant mortality", US_national_yearly!$D:$AM, 10, FALSE), 1)</f>
        <v>1.6509694294190737E-5</v>
      </c>
      <c r="AB3" s="7">
        <f>$B3 * IFERROR(VLOOKUP("transport|PM25|Infant mortality", US_national_yearly!$D:$AM, 36, FALSE) / VLOOKUP("transport|PM25|Infant mortality", US_national_yearly!$D:$AM, 10, FALSE), 1)</f>
        <v>1.640837829708343E-5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4.5206729290373858E-2</v>
      </c>
      <c r="C6" s="7">
        <f>$B6 * IFERROR(VLOOKUP("transport|PM25|Asthma symptoms cough", US_national_yearly!$D:$AM, 11, FALSE) / VLOOKUP("transport|PM25|Asthma symptoms cough", US_national_yearly!$D:$AM, 10, FALSE), 1)</f>
        <v>4.5206729290373858E-2</v>
      </c>
      <c r="D6" s="7">
        <f>$B6 * IFERROR(VLOOKUP("transport|PM25|Asthma symptoms cough", US_national_yearly!$D:$AM, 12, FALSE) / VLOOKUP("transport|PM25|Asthma symptoms cough", US_national_yearly!$D:$AM, 10, FALSE), 1)</f>
        <v>4.5206729290373858E-2</v>
      </c>
      <c r="E6" s="7">
        <f>$B6 * IFERROR(VLOOKUP("transport|PM25|Asthma symptoms cough", US_national_yearly!$D:$AM, 13, FALSE) / VLOOKUP("transport|PM25|Asthma symptoms cough", US_national_yearly!$D:$AM, 10, FALSE), 1)</f>
        <v>4.5206729290373858E-2</v>
      </c>
      <c r="F6" s="7">
        <f>$B6 * IFERROR(VLOOKUP("transport|PM25|Asthma symptoms cough", US_national_yearly!$D:$AM, 14, FALSE) / VLOOKUP("transport|PM25|Asthma symptoms cough", US_national_yearly!$D:$AM, 10, FALSE), 1)</f>
        <v>4.5206729290373858E-2</v>
      </c>
      <c r="G6" s="7">
        <f>$B6 * IFERROR(VLOOKUP("transport|PM25|Asthma symptoms cough", US_national_yearly!$D:$AM, 15, FALSE) / VLOOKUP("transport|PM25|Asthma symptoms cough", US_national_yearly!$D:$AM, 10, FALSE), 1)</f>
        <v>4.5206729290373858E-2</v>
      </c>
      <c r="H6" s="7">
        <f>$B6 * IFERROR(VLOOKUP("transport|PM25|Asthma symptoms cough", US_national_yearly!$D:$AM, 16, FALSE) / VLOOKUP("transport|PM25|Asthma symptoms cough", US_national_yearly!$D:$AM, 10, FALSE), 1)</f>
        <v>4.5206729290373858E-2</v>
      </c>
      <c r="I6" s="7">
        <f>$B6 * IFERROR(VLOOKUP("transport|PM25|Asthma symptoms cough", US_national_yearly!$D:$AM, 17, FALSE) / VLOOKUP("transport|PM25|Asthma symptoms cough", US_national_yearly!$D:$AM, 10, FALSE), 1)</f>
        <v>4.5206729290373858E-2</v>
      </c>
      <c r="J6" s="7">
        <f>$B6 * IFERROR(VLOOKUP("transport|PM25|Asthma symptoms cough", US_national_yearly!$D:$AM, 18, FALSE) / VLOOKUP("transport|PM25|Asthma symptoms cough", US_national_yearly!$D:$AM, 10, FALSE), 1)</f>
        <v>4.5206729290373858E-2</v>
      </c>
      <c r="K6" s="7">
        <f>$B6 * IFERROR(VLOOKUP("transport|PM25|Asthma symptoms cough", US_national_yearly!$D:$AM, 19, FALSE) / VLOOKUP("transport|PM25|Asthma symptoms cough", US_national_yearly!$D:$AM, 10, FALSE), 1)</f>
        <v>4.5206729290373858E-2</v>
      </c>
      <c r="L6" s="7">
        <f>$B6 * IFERROR(VLOOKUP("transport|PM25|Asthma symptoms cough", US_national_yearly!$D:$AM, 20, FALSE) / VLOOKUP("transport|PM25|Asthma symptoms cough", US_national_yearly!$D:$AM, 10, FALSE), 1)</f>
        <v>4.5206729290373858E-2</v>
      </c>
      <c r="M6" s="7">
        <f>$B6 * IFERROR(VLOOKUP("transport|PM25|Asthma symptoms cough", US_national_yearly!$D:$AM, 21, FALSE) / VLOOKUP("transport|PM25|Asthma symptoms cough", US_national_yearly!$D:$AM, 10, FALSE), 1)</f>
        <v>4.5206729290373858E-2</v>
      </c>
      <c r="N6" s="7">
        <f>$B6 * IFERROR(VLOOKUP("transport|PM25|Asthma symptoms cough", US_national_yearly!$D:$AM, 22, FALSE) / VLOOKUP("transport|PM25|Asthma symptoms cough", US_national_yearly!$D:$AM, 10, FALSE), 1)</f>
        <v>4.5206729290373858E-2</v>
      </c>
      <c r="O6" s="7">
        <f>$B6 * IFERROR(VLOOKUP("transport|PM25|Asthma symptoms cough", US_national_yearly!$D:$AM, 23, FALSE) / VLOOKUP("transport|PM25|Asthma symptoms cough", US_national_yearly!$D:$AM, 10, FALSE), 1)</f>
        <v>4.5206729290373858E-2</v>
      </c>
      <c r="P6" s="7">
        <f>$B6 * IFERROR(VLOOKUP("transport|PM25|Asthma symptoms cough", US_national_yearly!$D:$AM, 24, FALSE) / VLOOKUP("transport|PM25|Asthma symptoms cough", US_national_yearly!$D:$AM, 10, FALSE), 1)</f>
        <v>4.5206729290373858E-2</v>
      </c>
      <c r="Q6" s="7">
        <f>$B6 * IFERROR(VLOOKUP("transport|PM25|Asthma symptoms cough", US_national_yearly!$D:$AM, 25, FALSE) / VLOOKUP("transport|PM25|Asthma symptoms cough", US_national_yearly!$D:$AM, 10, FALSE), 1)</f>
        <v>4.5206729290373858E-2</v>
      </c>
      <c r="R6" s="7">
        <f>$B6 * IFERROR(VLOOKUP("transport|PM25|Asthma symptoms cough", US_national_yearly!$D:$AM, 26, FALSE) / VLOOKUP("transport|PM25|Asthma symptoms cough", US_national_yearly!$D:$AM, 10, FALSE), 1)</f>
        <v>4.5206729290373858E-2</v>
      </c>
      <c r="S6" s="7">
        <f>$B6 * IFERROR(VLOOKUP("transport|PM25|Asthma symptoms cough", US_national_yearly!$D:$AM, 27, FALSE) / VLOOKUP("transport|PM25|Asthma symptoms cough", US_national_yearly!$D:$AM, 10, FALSE), 1)</f>
        <v>4.5206729290373858E-2</v>
      </c>
      <c r="T6" s="7">
        <f>$B6 * IFERROR(VLOOKUP("transport|PM25|Asthma symptoms cough", US_national_yearly!$D:$AM, 28, FALSE) / VLOOKUP("transport|PM25|Asthma symptoms cough", US_national_yearly!$D:$AM, 10, FALSE), 1)</f>
        <v>4.5206729290373858E-2</v>
      </c>
      <c r="U6" s="7">
        <f>$B6 * IFERROR(VLOOKUP("transport|PM25|Asthma symptoms cough", US_national_yearly!$D:$AM, 29, FALSE) / VLOOKUP("transport|PM25|Asthma symptoms cough", US_national_yearly!$D:$AM, 10, FALSE), 1)</f>
        <v>4.5206729290373858E-2</v>
      </c>
      <c r="V6" s="7">
        <f>$B6 * IFERROR(VLOOKUP("transport|PM25|Asthma symptoms cough", US_national_yearly!$D:$AM, 30, FALSE) / VLOOKUP("transport|PM25|Asthma symptoms cough", US_national_yearly!$D:$AM, 10, FALSE), 1)</f>
        <v>4.5206729290373858E-2</v>
      </c>
      <c r="W6" s="7">
        <f>$B6 * IFERROR(VLOOKUP("transport|PM25|Asthma symptoms cough", US_national_yearly!$D:$AM, 31, FALSE) / VLOOKUP("transport|PM25|Asthma symptoms cough", US_national_yearly!$D:$AM, 10, FALSE), 1)</f>
        <v>4.5206729290373858E-2</v>
      </c>
      <c r="X6" s="7">
        <f>$B6 * IFERROR(VLOOKUP("transport|PM25|Asthma symptoms cough", US_national_yearly!$D:$AM, 32, FALSE) / VLOOKUP("transport|PM25|Asthma symptoms cough", US_national_yearly!$D:$AM, 10, FALSE), 1)</f>
        <v>4.5206729290373858E-2</v>
      </c>
      <c r="Y6" s="7">
        <f>$B6 * IFERROR(VLOOKUP("transport|PM25|Asthma symptoms cough", US_national_yearly!$D:$AM, 33, FALSE) / VLOOKUP("transport|PM25|Asthma symptoms cough", US_national_yearly!$D:$AM, 10, FALSE), 1)</f>
        <v>4.5206729290373858E-2</v>
      </c>
      <c r="Z6" s="7">
        <f>$B6 * IFERROR(VLOOKUP("transport|PM25|Asthma symptoms cough", US_national_yearly!$D:$AM, 34, FALSE) / VLOOKUP("transport|PM25|Asthma symptoms cough", US_national_yearly!$D:$AM, 10, FALSE), 1)</f>
        <v>4.5206729290373858E-2</v>
      </c>
      <c r="AA6" s="7">
        <f>$B6 * IFERROR(VLOOKUP("transport|PM25|Asthma symptoms cough", US_national_yearly!$D:$AM, 35, FALSE) / VLOOKUP("transport|PM25|Asthma symptoms cough", US_national_yearly!$D:$AM, 10, FALSE), 1)</f>
        <v>4.5206729290373858E-2</v>
      </c>
      <c r="AB6" s="7">
        <f>$B6 * IFERROR(VLOOKUP("transport|PM25|Asthma symptoms cough", US_national_yearly!$D:$AM, 36, FALSE) / VLOOKUP("transport|PM25|Asthma symptoms cough", US_national_yearly!$D:$AM, 10, FALSE), 1)</f>
        <v>4.5206729290373858E-2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6.0876154778375692E-2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6.0876154778375692E-2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6.0876154778375692E-2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6.0876154778375692E-2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6.0876154778375692E-2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6.0876154778375692E-2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6.0876154778375692E-2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6.0876154778375692E-2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6.0876154778375692E-2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6.0876154778375692E-2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6.0876154778375692E-2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6.0876154778375692E-2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6.0876154778375692E-2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6.0876154778375692E-2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6.0876154778375692E-2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6.0876154778375692E-2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6.0876154778375692E-2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6.0876154778375692E-2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6.0876154778375692E-2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6.0876154778375692E-2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6.0876154778375692E-2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6.0876154778375692E-2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6.0876154778375692E-2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6.0876154778375692E-2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6.0876154778375692E-2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6.0876154778375692E-2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6.0876154778375692E-2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9.3012961657652451E-2</v>
      </c>
      <c r="C8" s="7">
        <f>$B8 * IFERROR(VLOOKUP("transport|PM25|Asthma symptoms wheeze", US_national_yearly!$D:$AM, 11, FALSE) / VLOOKUP("transport|PM25|Asthma symptoms wheeze", US_national_yearly!$D:$AM, 10, FALSE), 1)</f>
        <v>9.3012961657652451E-2</v>
      </c>
      <c r="D8" s="7">
        <f>$B8 * IFERROR(VLOOKUP("transport|PM25|Asthma symptoms wheeze", US_national_yearly!$D:$AM, 12, FALSE) / VLOOKUP("transport|PM25|Asthma symptoms wheeze", US_national_yearly!$D:$AM, 10, FALSE), 1)</f>
        <v>9.3012961657652451E-2</v>
      </c>
      <c r="E8" s="7">
        <f>$B8 * IFERROR(VLOOKUP("transport|PM25|Asthma symptoms wheeze", US_national_yearly!$D:$AM, 13, FALSE) / VLOOKUP("transport|PM25|Asthma symptoms wheeze", US_national_yearly!$D:$AM, 10, FALSE), 1)</f>
        <v>9.3012961657652451E-2</v>
      </c>
      <c r="F8" s="7">
        <f>$B8 * IFERROR(VLOOKUP("transport|PM25|Asthma symptoms wheeze", US_national_yearly!$D:$AM, 14, FALSE) / VLOOKUP("transport|PM25|Asthma symptoms wheeze", US_national_yearly!$D:$AM, 10, FALSE), 1)</f>
        <v>9.3012961657652451E-2</v>
      </c>
      <c r="G8" s="7">
        <f>$B8 * IFERROR(VLOOKUP("transport|PM25|Asthma symptoms wheeze", US_national_yearly!$D:$AM, 15, FALSE) / VLOOKUP("transport|PM25|Asthma symptoms wheeze", US_national_yearly!$D:$AM, 10, FALSE), 1)</f>
        <v>9.3012961657652451E-2</v>
      </c>
      <c r="H8" s="7">
        <f>$B8 * IFERROR(VLOOKUP("transport|PM25|Asthma symptoms wheeze", US_national_yearly!$D:$AM, 16, FALSE) / VLOOKUP("transport|PM25|Asthma symptoms wheeze", US_national_yearly!$D:$AM, 10, FALSE), 1)</f>
        <v>9.3012961657652451E-2</v>
      </c>
      <c r="I8" s="7">
        <f>$B8 * IFERROR(VLOOKUP("transport|PM25|Asthma symptoms wheeze", US_national_yearly!$D:$AM, 17, FALSE) / VLOOKUP("transport|PM25|Asthma symptoms wheeze", US_national_yearly!$D:$AM, 10, FALSE), 1)</f>
        <v>9.3012961657652451E-2</v>
      </c>
      <c r="J8" s="7">
        <f>$B8 * IFERROR(VLOOKUP("transport|PM25|Asthma symptoms wheeze", US_national_yearly!$D:$AM, 18, FALSE) / VLOOKUP("transport|PM25|Asthma symptoms wheeze", US_national_yearly!$D:$AM, 10, FALSE), 1)</f>
        <v>9.3012961657652451E-2</v>
      </c>
      <c r="K8" s="7">
        <f>$B8 * IFERROR(VLOOKUP("transport|PM25|Asthma symptoms wheeze", US_national_yearly!$D:$AM, 19, FALSE) / VLOOKUP("transport|PM25|Asthma symptoms wheeze", US_national_yearly!$D:$AM, 10, FALSE), 1)</f>
        <v>9.3012961657652451E-2</v>
      </c>
      <c r="L8" s="7">
        <f>$B8 * IFERROR(VLOOKUP("transport|PM25|Asthma symptoms wheeze", US_national_yearly!$D:$AM, 20, FALSE) / VLOOKUP("transport|PM25|Asthma symptoms wheeze", US_national_yearly!$D:$AM, 10, FALSE), 1)</f>
        <v>9.3012961657652451E-2</v>
      </c>
      <c r="M8" s="7">
        <f>$B8 * IFERROR(VLOOKUP("transport|PM25|Asthma symptoms wheeze", US_national_yearly!$D:$AM, 21, FALSE) / VLOOKUP("transport|PM25|Asthma symptoms wheeze", US_national_yearly!$D:$AM, 10, FALSE), 1)</f>
        <v>9.3012961657652451E-2</v>
      </c>
      <c r="N8" s="7">
        <f>$B8 * IFERROR(VLOOKUP("transport|PM25|Asthma symptoms wheeze", US_national_yearly!$D:$AM, 22, FALSE) / VLOOKUP("transport|PM25|Asthma symptoms wheeze", US_national_yearly!$D:$AM, 10, FALSE), 1)</f>
        <v>9.3012961657652451E-2</v>
      </c>
      <c r="O8" s="7">
        <f>$B8 * IFERROR(VLOOKUP("transport|PM25|Asthma symptoms wheeze", US_national_yearly!$D:$AM, 23, FALSE) / VLOOKUP("transport|PM25|Asthma symptoms wheeze", US_national_yearly!$D:$AM, 10, FALSE), 1)</f>
        <v>9.3012961657652451E-2</v>
      </c>
      <c r="P8" s="7">
        <f>$B8 * IFERROR(VLOOKUP("transport|PM25|Asthma symptoms wheeze", US_national_yearly!$D:$AM, 24, FALSE) / VLOOKUP("transport|PM25|Asthma symptoms wheeze", US_national_yearly!$D:$AM, 10, FALSE), 1)</f>
        <v>9.3012961657652451E-2</v>
      </c>
      <c r="Q8" s="7">
        <f>$B8 * IFERROR(VLOOKUP("transport|PM25|Asthma symptoms wheeze", US_national_yearly!$D:$AM, 25, FALSE) / VLOOKUP("transport|PM25|Asthma symptoms wheeze", US_national_yearly!$D:$AM, 10, FALSE), 1)</f>
        <v>9.3012961657652451E-2</v>
      </c>
      <c r="R8" s="7">
        <f>$B8 * IFERROR(VLOOKUP("transport|PM25|Asthma symptoms wheeze", US_national_yearly!$D:$AM, 26, FALSE) / VLOOKUP("transport|PM25|Asthma symptoms wheeze", US_national_yearly!$D:$AM, 10, FALSE), 1)</f>
        <v>9.3012961657652451E-2</v>
      </c>
      <c r="S8" s="7">
        <f>$B8 * IFERROR(VLOOKUP("transport|PM25|Asthma symptoms wheeze", US_national_yearly!$D:$AM, 27, FALSE) / VLOOKUP("transport|PM25|Asthma symptoms wheeze", US_national_yearly!$D:$AM, 10, FALSE), 1)</f>
        <v>9.3012961657652451E-2</v>
      </c>
      <c r="T8" s="7">
        <f>$B8 * IFERROR(VLOOKUP("transport|PM25|Asthma symptoms wheeze", US_national_yearly!$D:$AM, 28, FALSE) / VLOOKUP("transport|PM25|Asthma symptoms wheeze", US_national_yearly!$D:$AM, 10, FALSE), 1)</f>
        <v>9.3012961657652451E-2</v>
      </c>
      <c r="U8" s="7">
        <f>$B8 * IFERROR(VLOOKUP("transport|PM25|Asthma symptoms wheeze", US_national_yearly!$D:$AM, 29, FALSE) / VLOOKUP("transport|PM25|Asthma symptoms wheeze", US_national_yearly!$D:$AM, 10, FALSE), 1)</f>
        <v>9.3012961657652451E-2</v>
      </c>
      <c r="V8" s="7">
        <f>$B8 * IFERROR(VLOOKUP("transport|PM25|Asthma symptoms wheeze", US_national_yearly!$D:$AM, 30, FALSE) / VLOOKUP("transport|PM25|Asthma symptoms wheeze", US_national_yearly!$D:$AM, 10, FALSE), 1)</f>
        <v>9.3012961657652451E-2</v>
      </c>
      <c r="W8" s="7">
        <f>$B8 * IFERROR(VLOOKUP("transport|PM25|Asthma symptoms wheeze", US_national_yearly!$D:$AM, 31, FALSE) / VLOOKUP("transport|PM25|Asthma symptoms wheeze", US_national_yearly!$D:$AM, 10, FALSE), 1)</f>
        <v>9.3012961657652451E-2</v>
      </c>
      <c r="X8" s="7">
        <f>$B8 * IFERROR(VLOOKUP("transport|PM25|Asthma symptoms wheeze", US_national_yearly!$D:$AM, 32, FALSE) / VLOOKUP("transport|PM25|Asthma symptoms wheeze", US_national_yearly!$D:$AM, 10, FALSE), 1)</f>
        <v>9.3012961657652451E-2</v>
      </c>
      <c r="Y8" s="7">
        <f>$B8 * IFERROR(VLOOKUP("transport|PM25|Asthma symptoms wheeze", US_national_yearly!$D:$AM, 33, FALSE) / VLOOKUP("transport|PM25|Asthma symptoms wheeze", US_national_yearly!$D:$AM, 10, FALSE), 1)</f>
        <v>9.3012961657652451E-2</v>
      </c>
      <c r="Z8" s="7">
        <f>$B8 * IFERROR(VLOOKUP("transport|PM25|Asthma symptoms wheeze", US_national_yearly!$D:$AM, 34, FALSE) / VLOOKUP("transport|PM25|Asthma symptoms wheeze", US_national_yearly!$D:$AM, 10, FALSE), 1)</f>
        <v>9.3012961657652451E-2</v>
      </c>
      <c r="AA8" s="7">
        <f>$B8 * IFERROR(VLOOKUP("transport|PM25|Asthma symptoms wheeze", US_national_yearly!$D:$AM, 35, FALSE) / VLOOKUP("transport|PM25|Asthma symptoms wheeze", US_national_yearly!$D:$AM, 10, FALSE), 1)</f>
        <v>9.3012961657652451E-2</v>
      </c>
      <c r="AB8" s="7">
        <f>$B8 * IFERROR(VLOOKUP("transport|PM25|Asthma symptoms wheeze", US_national_yearly!$D:$AM, 36, FALSE) / VLOOKUP("transport|PM25|Asthma symptoms wheeze", US_national_yearly!$D:$AM, 10, FALSE), 1)</f>
        <v>9.3012961657652451E-2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1.1552032594830759E-3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1.1618244189537277E-3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1.1684455784243793E-3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1.1750667378950311E-3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1.1816878973656827E-3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1.188839032021369E-3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1.1959901666770553E-3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1.2028228041438434E-3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1.209655441610632E-3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1.2164880790774203E-3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1.2233207165442089E-3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1.2301533540109971E-3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1.2350573373097694E-3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1.2399613206085416E-3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1.2448653039073133E-3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1.2497692872060855E-3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1.2546732705048579E-3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1.2593425087927231E-3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1.2640117470805888E-3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1.268680985368454E-3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1.2733502236563195E-3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1.2780194619441848E-3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1.2825113287387095E-3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1.2870031955332338E-3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1.2914950623277583E-3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1.2959869291222824E-3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1.3004787959168069E-3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6.4841774838785369E-3</v>
      </c>
      <c r="C13" s="7">
        <f>$B13 * IFERROR(VLOOKUP("transport|PM25|Non-fatal heart attacks", US_national_yearly!$D:$AM, 11, FALSE) / VLOOKUP("transport|PM25|Non-fatal heart attacks", US_national_yearly!$D:$AM, 10, FALSE), 1)</f>
        <v>6.6726897303725835E-3</v>
      </c>
      <c r="D13" s="7">
        <f>$B13 * IFERROR(VLOOKUP("transport|PM25|Non-fatal heart attacks", US_national_yearly!$D:$AM, 12, FALSE) / VLOOKUP("transport|PM25|Non-fatal heart attacks", US_national_yearly!$D:$AM, 10, FALSE), 1)</f>
        <v>6.8612019768666309E-3</v>
      </c>
      <c r="E13" s="7">
        <f>$B13 * IFERROR(VLOOKUP("transport|PM25|Non-fatal heart attacks", US_national_yearly!$D:$AM, 13, FALSE) / VLOOKUP("transport|PM25|Non-fatal heart attacks", US_national_yearly!$D:$AM, 10, FALSE), 1)</f>
        <v>7.0497142233606766E-3</v>
      </c>
      <c r="F13" s="7">
        <f>$B13 * IFERROR(VLOOKUP("transport|PM25|Non-fatal heart attacks", US_national_yearly!$D:$AM, 14, FALSE) / VLOOKUP("transport|PM25|Non-fatal heart attacks", US_national_yearly!$D:$AM, 10, FALSE), 1)</f>
        <v>7.238226469854725E-3</v>
      </c>
      <c r="G13" s="7">
        <f>$B13 * IFERROR(VLOOKUP("transport|PM25|Non-fatal heart attacks", US_national_yearly!$D:$AM, 15, FALSE) / VLOOKUP("transport|PM25|Non-fatal heart attacks", US_national_yearly!$D:$AM, 10, FALSE), 1)</f>
        <v>7.4160054358117884E-3</v>
      </c>
      <c r="H13" s="7">
        <f>$B13 * IFERROR(VLOOKUP("transport|PM25|Non-fatal heart attacks", US_national_yearly!$D:$AM, 16, FALSE) / VLOOKUP("transport|PM25|Non-fatal heart attacks", US_national_yearly!$D:$AM, 10, FALSE), 1)</f>
        <v>7.5937844017688501E-3</v>
      </c>
      <c r="I13" s="7">
        <f>$B13 * IFERROR(VLOOKUP("transport|PM25|Non-fatal heart attacks", US_national_yearly!$D:$AM, 17, FALSE) / VLOOKUP("transport|PM25|Non-fatal heart attacks", US_national_yearly!$D:$AM, 10, FALSE), 1)</f>
        <v>7.7366595335575175E-3</v>
      </c>
      <c r="J13" s="7">
        <f>$B13 * IFERROR(VLOOKUP("transport|PM25|Non-fatal heart attacks", US_national_yearly!$D:$AM, 18, FALSE) / VLOOKUP("transport|PM25|Non-fatal heart attacks", US_national_yearly!$D:$AM, 10, FALSE), 1)</f>
        <v>7.8795346653461849E-3</v>
      </c>
      <c r="K13" s="7">
        <f>$B13 * IFERROR(VLOOKUP("transport|PM25|Non-fatal heart attacks", US_national_yearly!$D:$AM, 19, FALSE) / VLOOKUP("transport|PM25|Non-fatal heart attacks", US_national_yearly!$D:$AM, 10, FALSE), 1)</f>
        <v>8.0224097971348524E-3</v>
      </c>
      <c r="L13" s="7">
        <f>$B13 * IFERROR(VLOOKUP("transport|PM25|Non-fatal heart attacks", US_national_yearly!$D:$AM, 20, FALSE) / VLOOKUP("transport|PM25|Non-fatal heart attacks", US_national_yearly!$D:$AM, 10, FALSE), 1)</f>
        <v>8.1652849289235198E-3</v>
      </c>
      <c r="M13" s="7">
        <f>$B13 * IFERROR(VLOOKUP("transport|PM25|Non-fatal heart attacks", US_national_yearly!$D:$AM, 21, FALSE) / VLOOKUP("transport|PM25|Non-fatal heart attacks", US_national_yearly!$D:$AM, 10, FALSE), 1)</f>
        <v>8.3081600607121889E-3</v>
      </c>
      <c r="N13" s="7">
        <f>$B13 * IFERROR(VLOOKUP("transport|PM25|Non-fatal heart attacks", US_national_yearly!$D:$AM, 22, FALSE) / VLOOKUP("transport|PM25|Non-fatal heart attacks", US_national_yearly!$D:$AM, 10, FALSE), 1)</f>
        <v>8.4003004124424564E-3</v>
      </c>
      <c r="O13" s="7">
        <f>$B13 * IFERROR(VLOOKUP("transport|PM25|Non-fatal heart attacks", US_national_yearly!$D:$AM, 23, FALSE) / VLOOKUP("transport|PM25|Non-fatal heart attacks", US_national_yearly!$D:$AM, 10, FALSE), 1)</f>
        <v>8.4924407641727272E-3</v>
      </c>
      <c r="P13" s="7">
        <f>$B13 * IFERROR(VLOOKUP("transport|PM25|Non-fatal heart attacks", US_national_yearly!$D:$AM, 24, FALSE) / VLOOKUP("transport|PM25|Non-fatal heart attacks", US_national_yearly!$D:$AM, 10, FALSE), 1)</f>
        <v>8.5845811159029964E-3</v>
      </c>
      <c r="Q13" s="7">
        <f>$B13 * IFERROR(VLOOKUP("transport|PM25|Non-fatal heart attacks", US_national_yearly!$D:$AM, 25, FALSE) / VLOOKUP("transport|PM25|Non-fatal heart attacks", US_national_yearly!$D:$AM, 10, FALSE), 1)</f>
        <v>8.6767214676332638E-3</v>
      </c>
      <c r="R13" s="7">
        <f>$B13 * IFERROR(VLOOKUP("transport|PM25|Non-fatal heart attacks", US_national_yearly!$D:$AM, 26, FALSE) / VLOOKUP("transport|PM25|Non-fatal heart attacks", US_national_yearly!$D:$AM, 10, FALSE), 1)</f>
        <v>8.7688618193635347E-3</v>
      </c>
      <c r="S13" s="7">
        <f>$B13 * IFERROR(VLOOKUP("transport|PM25|Non-fatal heart attacks", US_national_yearly!$D:$AM, 27, FALSE) / VLOOKUP("transport|PM25|Non-fatal heart attacks", US_national_yearly!$D:$AM, 10, FALSE), 1)</f>
        <v>8.8173855610144524E-3</v>
      </c>
      <c r="T13" s="7">
        <f>$B13 * IFERROR(VLOOKUP("transport|PM25|Non-fatal heart attacks", US_national_yearly!$D:$AM, 28, FALSE) / VLOOKUP("transport|PM25|Non-fatal heart attacks", US_national_yearly!$D:$AM, 10, FALSE), 1)</f>
        <v>8.8659093026653736E-3</v>
      </c>
      <c r="U13" s="7">
        <f>$B13 * IFERROR(VLOOKUP("transport|PM25|Non-fatal heart attacks", US_national_yearly!$D:$AM, 29, FALSE) / VLOOKUP("transport|PM25|Non-fatal heart attacks", US_national_yearly!$D:$AM, 10, FALSE), 1)</f>
        <v>8.9144330443162948E-3</v>
      </c>
      <c r="V13" s="7">
        <f>$B13 * IFERROR(VLOOKUP("transport|PM25|Non-fatal heart attacks", US_national_yearly!$D:$AM, 30, FALSE) / VLOOKUP("transport|PM25|Non-fatal heart attacks", US_national_yearly!$D:$AM, 10, FALSE), 1)</f>
        <v>8.9629567859672143E-3</v>
      </c>
      <c r="W13" s="7">
        <f>$B13 * IFERROR(VLOOKUP("transport|PM25|Non-fatal heart attacks", US_national_yearly!$D:$AM, 31, FALSE) / VLOOKUP("transport|PM25|Non-fatal heart attacks", US_national_yearly!$D:$AM, 10, FALSE), 1)</f>
        <v>9.0114805276181337E-3</v>
      </c>
      <c r="X13" s="7">
        <f>$B13 * IFERROR(VLOOKUP("transport|PM25|Non-fatal heart attacks", US_national_yearly!$D:$AM, 32, FALSE) / VLOOKUP("transport|PM25|Non-fatal heart attacks", US_national_yearly!$D:$AM, 10, FALSE), 1)</f>
        <v>9.048317063920024E-3</v>
      </c>
      <c r="Y13" s="7">
        <f>$B13 * IFERROR(VLOOKUP("transport|PM25|Non-fatal heart attacks", US_national_yearly!$D:$AM, 33, FALSE) / VLOOKUP("transport|PM25|Non-fatal heart attacks", US_national_yearly!$D:$AM, 10, FALSE), 1)</f>
        <v>9.0851536002219142E-3</v>
      </c>
      <c r="Z13" s="7">
        <f>$B13 * IFERROR(VLOOKUP("transport|PM25|Non-fatal heart attacks", US_national_yearly!$D:$AM, 34, FALSE) / VLOOKUP("transport|PM25|Non-fatal heart attacks", US_national_yearly!$D:$AM, 10, FALSE), 1)</f>
        <v>9.1219901365238044E-3</v>
      </c>
      <c r="AA13" s="7">
        <f>$B13 * IFERROR(VLOOKUP("transport|PM25|Non-fatal heart attacks", US_national_yearly!$D:$AM, 35, FALSE) / VLOOKUP("transport|PM25|Non-fatal heart attacks", US_national_yearly!$D:$AM, 10, FALSE), 1)</f>
        <v>9.1588266728256963E-3</v>
      </c>
      <c r="AB13" s="7">
        <f>$B13 * IFERROR(VLOOKUP("transport|PM25|Non-fatal heart attacks", US_national_yearly!$D:$AM, 36, FALSE) / VLOOKUP("transport|PM25|Non-fatal heart attacks", US_national_yearly!$D:$AM, 10, FALSE), 1)</f>
        <v>9.1956632091275865E-3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4.9656882542430054</v>
      </c>
      <c r="C14" s="7">
        <f>$B14 * IFERROR(VLOOKUP("transport|PM25|Minor restricted activity days", US_national_yearly!$D:$AM, 11, FALSE) / VLOOKUP("transport|PM25|Minor restricted activity days", US_national_yearly!$D:$AM, 10, FALSE), 1)</f>
        <v>4.9778150538452257</v>
      </c>
      <c r="D14" s="7">
        <f>$B14 * IFERROR(VLOOKUP("transport|PM25|Minor restricted activity days", US_national_yearly!$D:$AM, 12, FALSE) / VLOOKUP("transport|PM25|Minor restricted activity days", US_national_yearly!$D:$AM, 10, FALSE), 1)</f>
        <v>4.989941853447446</v>
      </c>
      <c r="E14" s="7">
        <f>$B14 * IFERROR(VLOOKUP("transport|PM25|Minor restricted activity days", US_national_yearly!$D:$AM, 13, FALSE) / VLOOKUP("transport|PM25|Minor restricted activity days", US_national_yearly!$D:$AM, 10, FALSE), 1)</f>
        <v>5.0020686530496672</v>
      </c>
      <c r="F14" s="7">
        <f>$B14 * IFERROR(VLOOKUP("transport|PM25|Minor restricted activity days", US_national_yearly!$D:$AM, 14, FALSE) / VLOOKUP("transport|PM25|Minor restricted activity days", US_national_yearly!$D:$AM, 10, FALSE), 1)</f>
        <v>5.0141954526518866</v>
      </c>
      <c r="G14" s="7">
        <f>$B14 * IFERROR(VLOOKUP("transport|PM25|Minor restricted activity days", US_national_yearly!$D:$AM, 15, FALSE) / VLOOKUP("transport|PM25|Minor restricted activity days", US_national_yearly!$D:$AM, 10, FALSE), 1)</f>
        <v>5.0320881825413011</v>
      </c>
      <c r="H14" s="7">
        <f>$B14 * IFERROR(VLOOKUP("transport|PM25|Minor restricted activity days", US_national_yearly!$D:$AM, 16, FALSE) / VLOOKUP("transport|PM25|Minor restricted activity days", US_national_yearly!$D:$AM, 10, FALSE), 1)</f>
        <v>5.0499809124307156</v>
      </c>
      <c r="I14" s="7">
        <f>$B14 * IFERROR(VLOOKUP("transport|PM25|Minor restricted activity days", US_national_yearly!$D:$AM, 17, FALSE) / VLOOKUP("transport|PM25|Minor restricted activity days", US_national_yearly!$D:$AM, 10, FALSE), 1)</f>
        <v>5.0805692869386796</v>
      </c>
      <c r="J14" s="7">
        <f>$B14 * IFERROR(VLOOKUP("transport|PM25|Minor restricted activity days", US_national_yearly!$D:$AM, 18, FALSE) / VLOOKUP("transport|PM25|Minor restricted activity days", US_national_yearly!$D:$AM, 10, FALSE), 1)</f>
        <v>5.1111576614466427</v>
      </c>
      <c r="K14" s="7">
        <f>$B14 * IFERROR(VLOOKUP("transport|PM25|Minor restricted activity days", US_national_yearly!$D:$AM, 19, FALSE) / VLOOKUP("transport|PM25|Minor restricted activity days", US_national_yearly!$D:$AM, 10, FALSE), 1)</f>
        <v>5.1417460359546068</v>
      </c>
      <c r="L14" s="7">
        <f>$B14 * IFERROR(VLOOKUP("transport|PM25|Minor restricted activity days", US_national_yearly!$D:$AM, 20, FALSE) / VLOOKUP("transport|PM25|Minor restricted activity days", US_national_yearly!$D:$AM, 10, FALSE), 1)</f>
        <v>5.1723344104625708</v>
      </c>
      <c r="M14" s="7">
        <f>$B14 * IFERROR(VLOOKUP("transport|PM25|Minor restricted activity days", US_national_yearly!$D:$AM, 21, FALSE) / VLOOKUP("transport|PM25|Minor restricted activity days", US_national_yearly!$D:$AM, 10, FALSE), 1)</f>
        <v>5.202922784970534</v>
      </c>
      <c r="N14" s="7">
        <f>$B14 * IFERROR(VLOOKUP("transport|PM25|Minor restricted activity days", US_national_yearly!$D:$AM, 22, FALSE) / VLOOKUP("transport|PM25|Minor restricted activity days", US_national_yearly!$D:$AM, 10, FALSE), 1)</f>
        <v>5.2445902411849143</v>
      </c>
      <c r="O14" s="7">
        <f>$B14 * IFERROR(VLOOKUP("transport|PM25|Minor restricted activity days", US_national_yearly!$D:$AM, 23, FALSE) / VLOOKUP("transport|PM25|Minor restricted activity days", US_national_yearly!$D:$AM, 10, FALSE), 1)</f>
        <v>5.2862576973992939</v>
      </c>
      <c r="P14" s="7">
        <f>$B14 * IFERROR(VLOOKUP("transport|PM25|Minor restricted activity days", US_national_yearly!$D:$AM, 24, FALSE) / VLOOKUP("transport|PM25|Minor restricted activity days", US_national_yearly!$D:$AM, 10, FALSE), 1)</f>
        <v>5.3279251536136742</v>
      </c>
      <c r="Q14" s="7">
        <f>$B14 * IFERROR(VLOOKUP("transport|PM25|Minor restricted activity days", US_national_yearly!$D:$AM, 25, FALSE) / VLOOKUP("transport|PM25|Minor restricted activity days", US_national_yearly!$D:$AM, 10, FALSE), 1)</f>
        <v>5.3695926098280538</v>
      </c>
      <c r="R14" s="7">
        <f>$B14 * IFERROR(VLOOKUP("transport|PM25|Minor restricted activity days", US_national_yearly!$D:$AM, 26, FALSE) / VLOOKUP("transport|PM25|Minor restricted activity days", US_national_yearly!$D:$AM, 10, FALSE), 1)</f>
        <v>5.4112600660424333</v>
      </c>
      <c r="S14" s="7">
        <f>$B14 * IFERROR(VLOOKUP("transport|PM25|Minor restricted activity days", US_national_yearly!$D:$AM, 27, FALSE) / VLOOKUP("transport|PM25|Minor restricted activity days", US_national_yearly!$D:$AM, 10, FALSE), 1)</f>
        <v>5.453214472374194</v>
      </c>
      <c r="T14" s="7">
        <f>$B14 * IFERROR(VLOOKUP("transport|PM25|Minor restricted activity days", US_national_yearly!$D:$AM, 28, FALSE) / VLOOKUP("transport|PM25|Minor restricted activity days", US_national_yearly!$D:$AM, 10, FALSE), 1)</f>
        <v>5.4951688787059556</v>
      </c>
      <c r="U14" s="7">
        <f>$B14 * IFERROR(VLOOKUP("transport|PM25|Minor restricted activity days", US_national_yearly!$D:$AM, 29, FALSE) / VLOOKUP("transport|PM25|Minor restricted activity days", US_national_yearly!$D:$AM, 10, FALSE), 1)</f>
        <v>5.5371232850377172</v>
      </c>
      <c r="V14" s="7">
        <f>$B14 * IFERROR(VLOOKUP("transport|PM25|Minor restricted activity days", US_national_yearly!$D:$AM, 30, FALSE) / VLOOKUP("transport|PM25|Minor restricted activity days", US_national_yearly!$D:$AM, 10, FALSE), 1)</f>
        <v>5.5790776913694788</v>
      </c>
      <c r="W14" s="7">
        <f>$B14 * IFERROR(VLOOKUP("transport|PM25|Minor restricted activity days", US_national_yearly!$D:$AM, 31, FALSE) / VLOOKUP("transport|PM25|Minor restricted activity days", US_national_yearly!$D:$AM, 10, FALSE), 1)</f>
        <v>5.6210320977012396</v>
      </c>
      <c r="X14" s="7">
        <f>$B14 * IFERROR(VLOOKUP("transport|PM25|Minor restricted activity days", US_national_yearly!$D:$AM, 32, FALSE) / VLOOKUP("transport|PM25|Minor restricted activity days", US_national_yearly!$D:$AM, 10, FALSE), 1)</f>
        <v>5.657452743090789</v>
      </c>
      <c r="Y14" s="7">
        <f>$B14 * IFERROR(VLOOKUP("transport|PM25|Minor restricted activity days", US_national_yearly!$D:$AM, 33, FALSE) / VLOOKUP("transport|PM25|Minor restricted activity days", US_national_yearly!$D:$AM, 10, FALSE), 1)</f>
        <v>5.6938733884803385</v>
      </c>
      <c r="Z14" s="7">
        <f>$B14 * IFERROR(VLOOKUP("transport|PM25|Minor restricted activity days", US_national_yearly!$D:$AM, 34, FALSE) / VLOOKUP("transport|PM25|Minor restricted activity days", US_national_yearly!$D:$AM, 10, FALSE), 1)</f>
        <v>5.730294033869888</v>
      </c>
      <c r="AA14" s="7">
        <f>$B14 * IFERROR(VLOOKUP("transport|PM25|Minor restricted activity days", US_national_yearly!$D:$AM, 35, FALSE) / VLOOKUP("transport|PM25|Minor restricted activity days", US_national_yearly!$D:$AM, 10, FALSE), 1)</f>
        <v>5.7667146792594366</v>
      </c>
      <c r="AB14" s="7">
        <f>$B14 * IFERROR(VLOOKUP("transport|PM25|Minor restricted activity days", US_national_yearly!$D:$AM, 36, FALSE) / VLOOKUP("transport|PM25|Minor restricted activity days", US_national_yearly!$D:$AM, 10, FALSE), 1)</f>
        <v>5.8031353246489861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0.84512255981205986</v>
      </c>
      <c r="C15" s="7">
        <f>$B15 * IFERROR(VLOOKUP("transport|PM25|Work loss days", US_national_yearly!$D:$AM, 11, FALSE) / VLOOKUP("transport|PM25|Work loss days", US_national_yearly!$D:$AM, 10, FALSE), 1)</f>
        <v>0.84774213535901277</v>
      </c>
      <c r="D15" s="7">
        <f>$B15 * IFERROR(VLOOKUP("transport|PM25|Work loss days", US_national_yearly!$D:$AM, 12, FALSE) / VLOOKUP("transport|PM25|Work loss days", US_national_yearly!$D:$AM, 10, FALSE), 1)</f>
        <v>0.8503617109059658</v>
      </c>
      <c r="E15" s="7">
        <f>$B15 * IFERROR(VLOOKUP("transport|PM25|Work loss days", US_national_yearly!$D:$AM, 13, FALSE) / VLOOKUP("transport|PM25|Work loss days", US_national_yearly!$D:$AM, 10, FALSE), 1)</f>
        <v>0.85298128645291871</v>
      </c>
      <c r="F15" s="7">
        <f>$B15 * IFERROR(VLOOKUP("transport|PM25|Work loss days", US_national_yearly!$D:$AM, 14, FALSE) / VLOOKUP("transport|PM25|Work loss days", US_national_yearly!$D:$AM, 10, FALSE), 1)</f>
        <v>0.85560086199987162</v>
      </c>
      <c r="G15" s="7">
        <f>$B15 * IFERROR(VLOOKUP("transport|PM25|Work loss days", US_national_yearly!$D:$AM, 15, FALSE) / VLOOKUP("transport|PM25|Work loss days", US_national_yearly!$D:$AM, 10, FALSE), 1)</f>
        <v>0.85903529269955492</v>
      </c>
      <c r="H15" s="7">
        <f>$B15 * IFERROR(VLOOKUP("transport|PM25|Work loss days", US_national_yearly!$D:$AM, 16, FALSE) / VLOOKUP("transport|PM25|Work loss days", US_national_yearly!$D:$AM, 10, FALSE), 1)</f>
        <v>0.86246972339923844</v>
      </c>
      <c r="I15" s="7">
        <f>$B15 * IFERROR(VLOOKUP("transport|PM25|Work loss days", US_national_yearly!$D:$AM, 17, FALSE) / VLOOKUP("transport|PM25|Work loss days", US_national_yearly!$D:$AM, 10, FALSE), 1)</f>
        <v>0.86752730034006642</v>
      </c>
      <c r="J15" s="7">
        <f>$B15 * IFERROR(VLOOKUP("transport|PM25|Work loss days", US_national_yearly!$D:$AM, 18, FALSE) / VLOOKUP("transport|PM25|Work loss days", US_national_yearly!$D:$AM, 10, FALSE), 1)</f>
        <v>0.87258487728089429</v>
      </c>
      <c r="K15" s="7">
        <f>$B15 * IFERROR(VLOOKUP("transport|PM25|Work loss days", US_national_yearly!$D:$AM, 19, FALSE) / VLOOKUP("transport|PM25|Work loss days", US_national_yearly!$D:$AM, 10, FALSE), 1)</f>
        <v>0.87764245422172227</v>
      </c>
      <c r="L15" s="7">
        <f>$B15 * IFERROR(VLOOKUP("transport|PM25|Work loss days", US_national_yearly!$D:$AM, 20, FALSE) / VLOOKUP("transport|PM25|Work loss days", US_national_yearly!$D:$AM, 10, FALSE), 1)</f>
        <v>0.88270003116255014</v>
      </c>
      <c r="M15" s="7">
        <f>$B15 * IFERROR(VLOOKUP("transport|PM25|Work loss days", US_national_yearly!$D:$AM, 21, FALSE) / VLOOKUP("transport|PM25|Work loss days", US_national_yearly!$D:$AM, 10, FALSE), 1)</f>
        <v>0.88775760810337812</v>
      </c>
      <c r="N15" s="7">
        <f>$B15 * IFERROR(VLOOKUP("transport|PM25|Work loss days", US_national_yearly!$D:$AM, 22, FALSE) / VLOOKUP("transport|PM25|Work loss days", US_national_yearly!$D:$AM, 10, FALSE), 1)</f>
        <v>0.89412295148534504</v>
      </c>
      <c r="O15" s="7">
        <f>$B15 * IFERROR(VLOOKUP("transport|PM25|Work loss days", US_national_yearly!$D:$AM, 23, FALSE) / VLOOKUP("transport|PM25|Work loss days", US_national_yearly!$D:$AM, 10, FALSE), 1)</f>
        <v>0.90048829486731186</v>
      </c>
      <c r="P15" s="7">
        <f>$B15 * IFERROR(VLOOKUP("transport|PM25|Work loss days", US_national_yearly!$D:$AM, 24, FALSE) / VLOOKUP("transport|PM25|Work loss days", US_national_yearly!$D:$AM, 10, FALSE), 1)</f>
        <v>0.90685363824927878</v>
      </c>
      <c r="Q15" s="7">
        <f>$B15 * IFERROR(VLOOKUP("transport|PM25|Work loss days", US_national_yearly!$D:$AM, 25, FALSE) / VLOOKUP("transport|PM25|Work loss days", US_national_yearly!$D:$AM, 10, FALSE), 1)</f>
        <v>0.9132189816312456</v>
      </c>
      <c r="R15" s="7">
        <f>$B15 * IFERROR(VLOOKUP("transport|PM25|Work loss days", US_national_yearly!$D:$AM, 26, FALSE) / VLOOKUP("transport|PM25|Work loss days", US_national_yearly!$D:$AM, 10, FALSE), 1)</f>
        <v>0.91958432501321263</v>
      </c>
      <c r="S15" s="7">
        <f>$B15 * IFERROR(VLOOKUP("transport|PM25|Work loss days", US_national_yearly!$D:$AM, 27, FALSE) / VLOOKUP("transport|PM25|Work loss days", US_national_yearly!$D:$AM, 10, FALSE), 1)</f>
        <v>0.92662466655215703</v>
      </c>
      <c r="T15" s="7">
        <f>$B15 * IFERROR(VLOOKUP("transport|PM25|Work loss days", US_national_yearly!$D:$AM, 28, FALSE) / VLOOKUP("transport|PM25|Work loss days", US_national_yearly!$D:$AM, 10, FALSE), 1)</f>
        <v>0.93366500809110176</v>
      </c>
      <c r="U15" s="7">
        <f>$B15 * IFERROR(VLOOKUP("transport|PM25|Work loss days", US_national_yearly!$D:$AM, 29, FALSE) / VLOOKUP("transport|PM25|Work loss days", US_national_yearly!$D:$AM, 10, FALSE), 1)</f>
        <v>0.94070534963004604</v>
      </c>
      <c r="V15" s="7">
        <f>$B15 * IFERROR(VLOOKUP("transport|PM25|Work loss days", US_national_yearly!$D:$AM, 30, FALSE) / VLOOKUP("transport|PM25|Work loss days", US_national_yearly!$D:$AM, 10, FALSE), 1)</f>
        <v>0.94774569116899077</v>
      </c>
      <c r="W15" s="7">
        <f>$B15 * IFERROR(VLOOKUP("transport|PM25|Work loss days", US_national_yearly!$D:$AM, 31, FALSE) / VLOOKUP("transport|PM25|Work loss days", US_national_yearly!$D:$AM, 10, FALSE), 1)</f>
        <v>0.95478603270793516</v>
      </c>
      <c r="X15" s="7">
        <f>$B15 * IFERROR(VLOOKUP("transport|PM25|Work loss days", US_national_yearly!$D:$AM, 32, FALSE) / VLOOKUP("transport|PM25|Work loss days", US_national_yearly!$D:$AM, 10, FALSE), 1)</f>
        <v>0.96103271445859484</v>
      </c>
      <c r="Y15" s="7">
        <f>$B15 * IFERROR(VLOOKUP("transport|PM25|Work loss days", US_national_yearly!$D:$AM, 33, FALSE) / VLOOKUP("transport|PM25|Work loss days", US_national_yearly!$D:$AM, 10, FALSE), 1)</f>
        <v>0.96727939620925452</v>
      </c>
      <c r="Z15" s="7">
        <f>$B15 * IFERROR(VLOOKUP("transport|PM25|Work loss days", US_national_yearly!$D:$AM, 34, FALSE) / VLOOKUP("transport|PM25|Work loss days", US_national_yearly!$D:$AM, 10, FALSE), 1)</f>
        <v>0.97352607795991442</v>
      </c>
      <c r="AA15" s="7">
        <f>$B15 * IFERROR(VLOOKUP("transport|PM25|Work loss days", US_national_yearly!$D:$AM, 35, FALSE) / VLOOKUP("transport|PM25|Work loss days", US_national_yearly!$D:$AM, 10, FALSE), 1)</f>
        <v>0.9797727597105742</v>
      </c>
      <c r="AB15" s="7">
        <f>$B15 * IFERROR(VLOOKUP("transport|PM25|Work loss days", US_national_yearly!$D:$AM, 36, FALSE) / VLOOKUP("transport|PM25|Work loss days", US_national_yearly!$D:$AM, 10, FALSE), 1)</f>
        <v>0.98601944146123388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1.6192780359566632E-3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1.6676631928209177E-3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1.7160483496851723E-3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1.7644335065494271E-3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1.812818663413682E-3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1.8591630008062939E-3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1.9055073381989069E-3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1.9451435599431893E-3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1.9847797816874716E-3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2.0244160034317538E-3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2.0640522251760365E-3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2.1036884469203187E-3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2.1301148209050143E-3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2.1565411948897104E-3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2.182967568874406E-3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2.209393942859102E-3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2.2358203168437976E-3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2.24980233587622E-3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2.2637843549086424E-3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2.277766373941064E-3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2.2917483929734859E-3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2.3057304120059079E-3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2.3151432911375953E-3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2.3245561702692824E-3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2.3339690494009694E-3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2.3433819285326564E-3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2.3527948076643439E-3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5.1294907648102178E-4</v>
      </c>
      <c r="C2" s="7">
        <f>$B2 * IFERROR(VLOOKUP("transport|NOx|Premature mortality", US_national_yearly!$D:$AM, 11, FALSE) / VLOOKUP("transport|NOx|Premature mortality", US_national_yearly!$D:$AM, 10, FALSE), 1)</f>
        <v>5.2048343140067264E-4</v>
      </c>
      <c r="D2" s="7">
        <f>$B2 * IFERROR(VLOOKUP("transport|NOx|Premature mortality", US_national_yearly!$D:$AM, 12, FALSE) / VLOOKUP("transport|NOx|Premature mortality", US_national_yearly!$D:$AM, 10, FALSE), 1)</f>
        <v>5.2801778632032351E-4</v>
      </c>
      <c r="E2" s="7">
        <f>$B2 * IFERROR(VLOOKUP("transport|NOx|Premature mortality", US_national_yearly!$D:$AM, 13, FALSE) / VLOOKUP("transport|NOx|Premature mortality", US_national_yearly!$D:$AM, 10, FALSE), 1)</f>
        <v>5.3555214123997437E-4</v>
      </c>
      <c r="F2" s="7">
        <f>$B2 * IFERROR(VLOOKUP("transport|NOx|Premature mortality", US_national_yearly!$D:$AM, 14, FALSE) / VLOOKUP("transport|NOx|Premature mortality", US_national_yearly!$D:$AM, 10, FALSE), 1)</f>
        <v>5.4308649615962524E-4</v>
      </c>
      <c r="G2" s="7">
        <f>$B2 * IFERROR(VLOOKUP("transport|NOx|Premature mortality", US_national_yearly!$D:$AM, 15, FALSE) / VLOOKUP("transport|NOx|Premature mortality", US_national_yearly!$D:$AM, 10, FALSE), 1)</f>
        <v>5.5661997889918519E-4</v>
      </c>
      <c r="H2" s="7">
        <f>$B2 * IFERROR(VLOOKUP("transport|NOx|Premature mortality", US_national_yearly!$D:$AM, 16, FALSE) / VLOOKUP("transport|NOx|Premature mortality", US_national_yearly!$D:$AM, 10, FALSE), 1)</f>
        <v>5.7015346163874535E-4</v>
      </c>
      <c r="I2" s="7">
        <f>$B2 * IFERROR(VLOOKUP("transport|NOx|Premature mortality", US_national_yearly!$D:$AM, 17, FALSE) / VLOOKUP("transport|NOx|Premature mortality", US_national_yearly!$D:$AM, 10, FALSE), 1)</f>
        <v>5.7888958145882572E-4</v>
      </c>
      <c r="J2" s="7">
        <f>$B2 * IFERROR(VLOOKUP("transport|NOx|Premature mortality", US_national_yearly!$D:$AM, 18, FALSE) / VLOOKUP("transport|NOx|Premature mortality", US_national_yearly!$D:$AM, 10, FALSE), 1)</f>
        <v>5.8762570127890608E-4</v>
      </c>
      <c r="K2" s="7">
        <f>$B2 * IFERROR(VLOOKUP("transport|NOx|Premature mortality", US_national_yearly!$D:$AM, 19, FALSE) / VLOOKUP("transport|NOx|Premature mortality", US_national_yearly!$D:$AM, 10, FALSE), 1)</f>
        <v>5.9636182109898633E-4</v>
      </c>
      <c r="L2" s="7">
        <f>$B2 * IFERROR(VLOOKUP("transport|NOx|Premature mortality", US_national_yearly!$D:$AM, 20, FALSE) / VLOOKUP("transport|NOx|Premature mortality", US_national_yearly!$D:$AM, 10, FALSE), 1)</f>
        <v>6.0509794091906659E-4</v>
      </c>
      <c r="M2" s="7">
        <f>$B2 * IFERROR(VLOOKUP("transport|NOx|Premature mortality", US_national_yearly!$D:$AM, 21, FALSE) / VLOOKUP("transport|NOx|Premature mortality", US_national_yearly!$D:$AM, 10, FALSE), 1)</f>
        <v>6.1383406073914695E-4</v>
      </c>
      <c r="N2" s="7">
        <f>$B2 * IFERROR(VLOOKUP("transport|NOx|Premature mortality", US_national_yearly!$D:$AM, 22, FALSE) / VLOOKUP("transport|NOx|Premature mortality", US_national_yearly!$D:$AM, 10, FALSE), 1)</f>
        <v>6.2030574433981486E-4</v>
      </c>
      <c r="O2" s="7">
        <f>$B2 * IFERROR(VLOOKUP("transport|NOx|Premature mortality", US_national_yearly!$D:$AM, 23, FALSE) / VLOOKUP("transport|NOx|Premature mortality", US_national_yearly!$D:$AM, 10, FALSE), 1)</f>
        <v>6.2677742794048277E-4</v>
      </c>
      <c r="P2" s="7">
        <f>$B2 * IFERROR(VLOOKUP("transport|NOx|Premature mortality", US_national_yearly!$D:$AM, 24, FALSE) / VLOOKUP("transport|NOx|Premature mortality", US_national_yearly!$D:$AM, 10, FALSE), 1)</f>
        <v>6.3324911154115078E-4</v>
      </c>
      <c r="Q2" s="7">
        <f>$B2 * IFERROR(VLOOKUP("transport|NOx|Premature mortality", US_national_yearly!$D:$AM, 25, FALSE) / VLOOKUP("transport|NOx|Premature mortality", US_national_yearly!$D:$AM, 10, FALSE), 1)</f>
        <v>6.397207951418188E-4</v>
      </c>
      <c r="R2" s="7">
        <f>$B2 * IFERROR(VLOOKUP("transport|NOx|Premature mortality", US_national_yearly!$D:$AM, 26, FALSE) / VLOOKUP("transport|NOx|Premature mortality", US_national_yearly!$D:$AM, 10, FALSE), 1)</f>
        <v>6.461924787424867E-4</v>
      </c>
      <c r="S2" s="7">
        <f>$B2 * IFERROR(VLOOKUP("transport|NOx|Premature mortality", US_national_yearly!$D:$AM, 27, FALSE) / VLOOKUP("transport|NOx|Premature mortality", US_national_yearly!$D:$AM, 10, FALSE), 1)</f>
        <v>6.4913392410797805E-4</v>
      </c>
      <c r="T2" s="7">
        <f>$B2 * IFERROR(VLOOKUP("transport|NOx|Premature mortality", US_national_yearly!$D:$AM, 28, FALSE) / VLOOKUP("transport|NOx|Premature mortality", US_national_yearly!$D:$AM, 10, FALSE), 1)</f>
        <v>6.5207536947346951E-4</v>
      </c>
      <c r="U2" s="7">
        <f>$B2 * IFERROR(VLOOKUP("transport|NOx|Premature mortality", US_national_yearly!$D:$AM, 29, FALSE) / VLOOKUP("transport|NOx|Premature mortality", US_national_yearly!$D:$AM, 10, FALSE), 1)</f>
        <v>6.5501681483896097E-4</v>
      </c>
      <c r="V2" s="7">
        <f>$B2 * IFERROR(VLOOKUP("transport|NOx|Premature mortality", US_national_yearly!$D:$AM, 30, FALSE) / VLOOKUP("transport|NOx|Premature mortality", US_national_yearly!$D:$AM, 10, FALSE), 1)</f>
        <v>6.5795826020445232E-4</v>
      </c>
      <c r="W2" s="7">
        <f>$B2 * IFERROR(VLOOKUP("transport|NOx|Premature mortality", US_national_yearly!$D:$AM, 31, FALSE) / VLOOKUP("transport|NOx|Premature mortality", US_national_yearly!$D:$AM, 10, FALSE), 1)</f>
        <v>6.6089970556994378E-4</v>
      </c>
      <c r="X2" s="7">
        <f>$B2 * IFERROR(VLOOKUP("transport|NOx|Premature mortality", US_national_yearly!$D:$AM, 32, FALSE) / VLOOKUP("transport|NOx|Premature mortality", US_national_yearly!$D:$AM, 10, FALSE), 1)</f>
        <v>6.6100159554900132E-4</v>
      </c>
      <c r="Y2" s="7">
        <f>$B2 * IFERROR(VLOOKUP("transport|NOx|Premature mortality", US_national_yearly!$D:$AM, 33, FALSE) / VLOOKUP("transport|NOx|Premature mortality", US_national_yearly!$D:$AM, 10, FALSE), 1)</f>
        <v>6.6110348552805875E-4</v>
      </c>
      <c r="Z2" s="7">
        <f>$B2 * IFERROR(VLOOKUP("transport|NOx|Premature mortality", US_national_yearly!$D:$AM, 34, FALSE) / VLOOKUP("transport|NOx|Premature mortality", US_national_yearly!$D:$AM, 10, FALSE), 1)</f>
        <v>6.6120537550711617E-4</v>
      </c>
      <c r="AA2" s="7">
        <f>$B2 * IFERROR(VLOOKUP("transport|NOx|Premature mortality", US_national_yearly!$D:$AM, 35, FALSE) / VLOOKUP("transport|NOx|Premature mortality", US_national_yearly!$D:$AM, 10, FALSE), 1)</f>
        <v>6.6130726548617371E-4</v>
      </c>
      <c r="AB2" s="7">
        <f>$B2 * IFERROR(VLOOKUP("transport|NOx|Premature mortality", US_national_yearly!$D:$AM, 36, FALSE) / VLOOKUP("transport|NOx|Premature mortality", US_national_yearly!$D:$AM, 10, FALSE), 1)</f>
        <v>6.6140915546523125E-4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1.72872947514185E-6</v>
      </c>
      <c r="C3" s="7">
        <f>$B3 * IFERROR(VLOOKUP("transport|NOx|Infant mortality", US_national_yearly!$D:$AM, 11, FALSE) / VLOOKUP("transport|NOx|Infant mortality", US_national_yearly!$D:$AM, 10, FALSE), 1)</f>
        <v>1.7122589218074975E-6</v>
      </c>
      <c r="D3" s="7">
        <f>$B3 * IFERROR(VLOOKUP("transport|NOx|Infant mortality", US_national_yearly!$D:$AM, 12, FALSE) / VLOOKUP("transport|NOx|Infant mortality", US_national_yearly!$D:$AM, 10, FALSE), 1)</f>
        <v>1.6957883684731449E-6</v>
      </c>
      <c r="E3" s="7">
        <f>$B3 * IFERROR(VLOOKUP("transport|NOx|Infant mortality", US_national_yearly!$D:$AM, 13, FALSE) / VLOOKUP("transport|NOx|Infant mortality", US_national_yearly!$D:$AM, 10, FALSE), 1)</f>
        <v>1.6793178151387922E-6</v>
      </c>
      <c r="F3" s="7">
        <f>$B3 * IFERROR(VLOOKUP("transport|NOx|Infant mortality", US_national_yearly!$D:$AM, 14, FALSE) / VLOOKUP("transport|NOx|Infant mortality", US_national_yearly!$D:$AM, 10, FALSE), 1)</f>
        <v>1.6628472618044397E-6</v>
      </c>
      <c r="G3" s="7">
        <f>$B3 * IFERROR(VLOOKUP("transport|NOx|Infant mortality", US_national_yearly!$D:$AM, 15, FALSE) / VLOOKUP("transport|NOx|Infant mortality", US_national_yearly!$D:$AM, 10, FALSE), 1)</f>
        <v>1.103880125417562E-6</v>
      </c>
      <c r="H3" s="7">
        <f>$B3 * IFERROR(VLOOKUP("transport|NOx|Infant mortality", US_national_yearly!$D:$AM, 16, FALSE) / VLOOKUP("transport|NOx|Infant mortality", US_national_yearly!$D:$AM, 10, FALSE), 1)</f>
        <v>5.4491298903068426E-7</v>
      </c>
      <c r="I3" s="7">
        <f>$B3 * IFERROR(VLOOKUP("transport|NOx|Infant mortality", US_national_yearly!$D:$AM, 17, FALSE) / VLOOKUP("transport|NOx|Infant mortality", US_national_yearly!$D:$AM, 10, FALSE), 1)</f>
        <v>5.4105993391319524E-7</v>
      </c>
      <c r="J3" s="7">
        <f>$B3 * IFERROR(VLOOKUP("transport|NOx|Infant mortality", US_national_yearly!$D:$AM, 18, FALSE) / VLOOKUP("transport|NOx|Infant mortality", US_national_yearly!$D:$AM, 10, FALSE), 1)</f>
        <v>5.3720687879570612E-7</v>
      </c>
      <c r="K3" s="7">
        <f>$B3 * IFERROR(VLOOKUP("transport|NOx|Infant mortality", US_national_yearly!$D:$AM, 19, FALSE) / VLOOKUP("transport|NOx|Infant mortality", US_national_yearly!$D:$AM, 10, FALSE), 1)</f>
        <v>5.333538236782171E-7</v>
      </c>
      <c r="L3" s="7">
        <f>$B3 * IFERROR(VLOOKUP("transport|NOx|Infant mortality", US_national_yearly!$D:$AM, 20, FALSE) / VLOOKUP("transport|NOx|Infant mortality", US_national_yearly!$D:$AM, 10, FALSE), 1)</f>
        <v>5.2950076856072819E-7</v>
      </c>
      <c r="M3" s="7">
        <f>$B3 * IFERROR(VLOOKUP("transport|NOx|Infant mortality", US_national_yearly!$D:$AM, 21, FALSE) / VLOOKUP("transport|NOx|Infant mortality", US_national_yearly!$D:$AM, 10, FALSE), 1)</f>
        <v>5.2564771344323907E-7</v>
      </c>
      <c r="N3" s="7">
        <f>$B3 * IFERROR(VLOOKUP("transport|NOx|Infant mortality", US_national_yearly!$D:$AM, 22, FALSE) / VLOOKUP("transport|NOx|Infant mortality", US_national_yearly!$D:$AM, 10, FALSE), 1)</f>
        <v>5.2309021656205771E-7</v>
      </c>
      <c r="O3" s="7">
        <f>$B3 * IFERROR(VLOOKUP("transport|NOx|Infant mortality", US_national_yearly!$D:$AM, 23, FALSE) / VLOOKUP("transport|NOx|Infant mortality", US_national_yearly!$D:$AM, 10, FALSE), 1)</f>
        <v>5.2053271968087635E-7</v>
      </c>
      <c r="P3" s="7">
        <f>$B3 * IFERROR(VLOOKUP("transport|NOx|Infant mortality", US_national_yearly!$D:$AM, 24, FALSE) / VLOOKUP("transport|NOx|Infant mortality", US_national_yearly!$D:$AM, 10, FALSE), 1)</f>
        <v>5.1797522279969499E-7</v>
      </c>
      <c r="Q3" s="7">
        <f>$B3 * IFERROR(VLOOKUP("transport|NOx|Infant mortality", US_national_yearly!$D:$AM, 25, FALSE) / VLOOKUP("transport|NOx|Infant mortality", US_national_yearly!$D:$AM, 10, FALSE), 1)</f>
        <v>5.1541772591851363E-7</v>
      </c>
      <c r="R3" s="7">
        <f>$B3 * IFERROR(VLOOKUP("transport|NOx|Infant mortality", US_national_yearly!$D:$AM, 26, FALSE) / VLOOKUP("transport|NOx|Infant mortality", US_national_yearly!$D:$AM, 10, FALSE), 1)</f>
        <v>5.1286022903733227E-7</v>
      </c>
      <c r="S3" s="7">
        <f>$B3 * IFERROR(VLOOKUP("transport|NOx|Infant mortality", US_national_yearly!$D:$AM, 27, FALSE) / VLOOKUP("transport|NOx|Infant mortality", US_national_yearly!$D:$AM, 10, FALSE), 1)</f>
        <v>5.0978571108321391E-7</v>
      </c>
      <c r="T3" s="7">
        <f>$B3 * IFERROR(VLOOKUP("transport|NOx|Infant mortality", US_national_yearly!$D:$AM, 28, FALSE) / VLOOKUP("transport|NOx|Infant mortality", US_national_yearly!$D:$AM, 10, FALSE), 1)</f>
        <v>5.0671119312909555E-7</v>
      </c>
      <c r="U3" s="7">
        <f>$B3 * IFERROR(VLOOKUP("transport|NOx|Infant mortality", US_national_yearly!$D:$AM, 29, FALSE) / VLOOKUP("transport|NOx|Infant mortality", US_national_yearly!$D:$AM, 10, FALSE), 1)</f>
        <v>5.0363667517497709E-7</v>
      </c>
      <c r="V3" s="7">
        <f>$B3 * IFERROR(VLOOKUP("transport|NOx|Infant mortality", US_national_yearly!$D:$AM, 30, FALSE) / VLOOKUP("transport|NOx|Infant mortality", US_national_yearly!$D:$AM, 10, FALSE), 1)</f>
        <v>5.0056215722085873E-7</v>
      </c>
      <c r="W3" s="7">
        <f>$B3 * IFERROR(VLOOKUP("transport|NOx|Infant mortality", US_national_yearly!$D:$AM, 31, FALSE) / VLOOKUP("transport|NOx|Infant mortality", US_national_yearly!$D:$AM, 10, FALSE), 1)</f>
        <v>4.9748763926674036E-7</v>
      </c>
      <c r="X3" s="7">
        <f>$B3 * IFERROR(VLOOKUP("transport|NOx|Infant mortality", US_national_yearly!$D:$AM, 32, FALSE) / VLOOKUP("transport|NOx|Infant mortality", US_national_yearly!$D:$AM, 10, FALSE), 1)</f>
        <v>4.9423157607570902E-7</v>
      </c>
      <c r="Y3" s="7">
        <f>$B3 * IFERROR(VLOOKUP("transport|NOx|Infant mortality", US_national_yearly!$D:$AM, 33, FALSE) / VLOOKUP("transport|NOx|Infant mortality", US_national_yearly!$D:$AM, 10, FALSE), 1)</f>
        <v>4.9097551288467747E-7</v>
      </c>
      <c r="Z3" s="7">
        <f>$B3 * IFERROR(VLOOKUP("transport|NOx|Infant mortality", US_national_yearly!$D:$AM, 34, FALSE) / VLOOKUP("transport|NOx|Infant mortality", US_national_yearly!$D:$AM, 10, FALSE), 1)</f>
        <v>4.8771944969364602E-7</v>
      </c>
      <c r="AA3" s="7">
        <f>$B3 * IFERROR(VLOOKUP("transport|NOx|Infant mortality", US_national_yearly!$D:$AM, 35, FALSE) / VLOOKUP("transport|NOx|Infant mortality", US_national_yearly!$D:$AM, 10, FALSE), 1)</f>
        <v>4.8446338650261457E-7</v>
      </c>
      <c r="AB3" s="7">
        <f>$B3 * IFERROR(VLOOKUP("transport|NOx|Infant mortality", US_national_yearly!$D:$AM, 36, FALSE) / VLOOKUP("transport|NOx|Infant mortality", US_national_yearly!$D:$AM, 10, FALSE), 1)</f>
        <v>4.8120732331158312E-7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1.361438328362248E-3</v>
      </c>
      <c r="C6" s="7">
        <f>$B6 * IFERROR(VLOOKUP("transport|NOx|Asthma symptoms cough", US_national_yearly!$D:$AM, 11, FALSE) / VLOOKUP("transport|NOx|Asthma symptoms cough", US_national_yearly!$D:$AM, 10, FALSE), 1)</f>
        <v>1.3800514161745167E-3</v>
      </c>
      <c r="D6" s="7">
        <f>$B6 * IFERROR(VLOOKUP("transport|NOx|Asthma symptoms cough", US_national_yearly!$D:$AM, 12, FALSE) / VLOOKUP("transport|NOx|Asthma symptoms cough", US_national_yearly!$D:$AM, 10, FALSE), 1)</f>
        <v>1.3986645039867854E-3</v>
      </c>
      <c r="E6" s="7">
        <f>$B6 * IFERROR(VLOOKUP("transport|NOx|Asthma symptoms cough", US_national_yearly!$D:$AM, 13, FALSE) / VLOOKUP("transport|NOx|Asthma symptoms cough", US_national_yearly!$D:$AM, 10, FALSE), 1)</f>
        <v>1.4172775917990544E-3</v>
      </c>
      <c r="F6" s="7">
        <f>$B6 * IFERROR(VLOOKUP("transport|NOx|Asthma symptoms cough", US_national_yearly!$D:$AM, 14, FALSE) / VLOOKUP("transport|NOx|Asthma symptoms cough", US_national_yearly!$D:$AM, 10, FALSE), 1)</f>
        <v>1.4358906796113232E-3</v>
      </c>
      <c r="G6" s="7">
        <f>$B6 * IFERROR(VLOOKUP("transport|NOx|Asthma symptoms cough", US_national_yearly!$D:$AM, 15, FALSE) / VLOOKUP("transport|NOx|Asthma symptoms cough", US_national_yearly!$D:$AM, 10, FALSE), 1)</f>
        <v>1.4507506292261206E-3</v>
      </c>
      <c r="H6" s="7">
        <f>$B6 * IFERROR(VLOOKUP("transport|NOx|Asthma symptoms cough", US_national_yearly!$D:$AM, 16, FALSE) / VLOOKUP("transport|NOx|Asthma symptoms cough", US_national_yearly!$D:$AM, 10, FALSE), 1)</f>
        <v>1.4656105788409186E-3</v>
      </c>
      <c r="I6" s="7">
        <f>$B6 * IFERROR(VLOOKUP("transport|NOx|Asthma symptoms cough", US_national_yearly!$D:$AM, 17, FALSE) / VLOOKUP("transport|NOx|Asthma symptoms cough", US_national_yearly!$D:$AM, 10, FALSE), 1)</f>
        <v>1.4707251610641876E-3</v>
      </c>
      <c r="J6" s="7">
        <f>$B6 * IFERROR(VLOOKUP("transport|NOx|Asthma symptoms cough", US_national_yearly!$D:$AM, 18, FALSE) / VLOOKUP("transport|NOx|Asthma symptoms cough", US_national_yearly!$D:$AM, 10, FALSE), 1)</f>
        <v>1.475839743287457E-3</v>
      </c>
      <c r="K6" s="7">
        <f>$B6 * IFERROR(VLOOKUP("transport|NOx|Asthma symptoms cough", US_national_yearly!$D:$AM, 19, FALSE) / VLOOKUP("transport|NOx|Asthma symptoms cough", US_national_yearly!$D:$AM, 10, FALSE), 1)</f>
        <v>1.4809543255107263E-3</v>
      </c>
      <c r="L6" s="7">
        <f>$B6 * IFERROR(VLOOKUP("transport|NOx|Asthma symptoms cough", US_national_yearly!$D:$AM, 20, FALSE) / VLOOKUP("transport|NOx|Asthma symptoms cough", US_national_yearly!$D:$AM, 10, FALSE), 1)</f>
        <v>1.4860689077339953E-3</v>
      </c>
      <c r="M6" s="7">
        <f>$B6 * IFERROR(VLOOKUP("transport|NOx|Asthma symptoms cough", US_national_yearly!$D:$AM, 21, FALSE) / VLOOKUP("transport|NOx|Asthma symptoms cough", US_national_yearly!$D:$AM, 10, FALSE), 1)</f>
        <v>1.4911834899572647E-3</v>
      </c>
      <c r="N6" s="7">
        <f>$B6 * IFERROR(VLOOKUP("transport|NOx|Asthma symptoms cough", US_national_yearly!$D:$AM, 22, FALSE) / VLOOKUP("transport|NOx|Asthma symptoms cough", US_national_yearly!$D:$AM, 10, FALSE), 1)</f>
        <v>1.4971142289141187E-3</v>
      </c>
      <c r="O6" s="7">
        <f>$B6 * IFERROR(VLOOKUP("transport|NOx|Asthma symptoms cough", US_national_yearly!$D:$AM, 23, FALSE) / VLOOKUP("transport|NOx|Asthma symptoms cough", US_national_yearly!$D:$AM, 10, FALSE), 1)</f>
        <v>1.5030449678709729E-3</v>
      </c>
      <c r="P6" s="7">
        <f>$B6 * IFERROR(VLOOKUP("transport|NOx|Asthma symptoms cough", US_national_yearly!$D:$AM, 24, FALSE) / VLOOKUP("transport|NOx|Asthma symptoms cough", US_national_yearly!$D:$AM, 10, FALSE), 1)</f>
        <v>1.5089757068278268E-3</v>
      </c>
      <c r="Q6" s="7">
        <f>$B6 * IFERROR(VLOOKUP("transport|NOx|Asthma symptoms cough", US_national_yearly!$D:$AM, 25, FALSE) / VLOOKUP("transport|NOx|Asthma symptoms cough", US_national_yearly!$D:$AM, 10, FALSE), 1)</f>
        <v>1.5149064457846812E-3</v>
      </c>
      <c r="R6" s="7">
        <f>$B6 * IFERROR(VLOOKUP("transport|NOx|Asthma symptoms cough", US_national_yearly!$D:$AM, 26, FALSE) / VLOOKUP("transport|NOx|Asthma symptoms cough", US_national_yearly!$D:$AM, 10, FALSE), 1)</f>
        <v>1.5208371847415351E-3</v>
      </c>
      <c r="S6" s="7">
        <f>$B6 * IFERROR(VLOOKUP("transport|NOx|Asthma symptoms cough", US_national_yearly!$D:$AM, 27, FALSE) / VLOOKUP("transport|NOx|Asthma symptoms cough", US_national_yearly!$D:$AM, 10, FALSE), 1)</f>
        <v>1.5285846187455476E-3</v>
      </c>
      <c r="T6" s="7">
        <f>$B6 * IFERROR(VLOOKUP("transport|NOx|Asthma symptoms cough", US_national_yearly!$D:$AM, 28, FALSE) / VLOOKUP("transport|NOx|Asthma symptoms cough", US_national_yearly!$D:$AM, 10, FALSE), 1)</f>
        <v>1.5363320527495598E-3</v>
      </c>
      <c r="U6" s="7">
        <f>$B6 * IFERROR(VLOOKUP("transport|NOx|Asthma symptoms cough", US_national_yearly!$D:$AM, 29, FALSE) / VLOOKUP("transport|NOx|Asthma symptoms cough", US_national_yearly!$D:$AM, 10, FALSE), 1)</f>
        <v>1.5440794867535715E-3</v>
      </c>
      <c r="V6" s="7">
        <f>$B6 * IFERROR(VLOOKUP("transport|NOx|Asthma symptoms cough", US_national_yearly!$D:$AM, 30, FALSE) / VLOOKUP("transport|NOx|Asthma symptoms cough", US_national_yearly!$D:$AM, 10, FALSE), 1)</f>
        <v>1.5518269207575837E-3</v>
      </c>
      <c r="W6" s="7">
        <f>$B6 * IFERROR(VLOOKUP("transport|NOx|Asthma symptoms cough", US_national_yearly!$D:$AM, 31, FALSE) / VLOOKUP("transport|NOx|Asthma symptoms cough", US_national_yearly!$D:$AM, 10, FALSE), 1)</f>
        <v>1.559574354761596E-3</v>
      </c>
      <c r="X6" s="7">
        <f>$B6 * IFERROR(VLOOKUP("transport|NOx|Asthma symptoms cough", US_national_yearly!$D:$AM, 32, FALSE) / VLOOKUP("transport|NOx|Asthma symptoms cough", US_national_yearly!$D:$AM, 10, FALSE), 1)</f>
        <v>1.5667728341456212E-3</v>
      </c>
      <c r="Y6" s="7">
        <f>$B6 * IFERROR(VLOOKUP("transport|NOx|Asthma symptoms cough", US_national_yearly!$D:$AM, 33, FALSE) / VLOOKUP("transport|NOx|Asthma symptoms cough", US_national_yearly!$D:$AM, 10, FALSE), 1)</f>
        <v>1.5739713135296467E-3</v>
      </c>
      <c r="Z6" s="7">
        <f>$B6 * IFERROR(VLOOKUP("transport|NOx|Asthma symptoms cough", US_national_yearly!$D:$AM, 34, FALSE) / VLOOKUP("transport|NOx|Asthma symptoms cough", US_national_yearly!$D:$AM, 10, FALSE), 1)</f>
        <v>1.5811697929136719E-3</v>
      </c>
      <c r="AA6" s="7">
        <f>$B6 * IFERROR(VLOOKUP("transport|NOx|Asthma symptoms cough", US_national_yearly!$D:$AM, 35, FALSE) / VLOOKUP("transport|NOx|Asthma symptoms cough", US_national_yearly!$D:$AM, 10, FALSE), 1)</f>
        <v>1.5883682722976974E-3</v>
      </c>
      <c r="AB6" s="7">
        <f>$B6 * IFERROR(VLOOKUP("transport|NOx|Asthma symptoms cough", US_national_yearly!$D:$AM, 36, FALSE) / VLOOKUP("transport|NOx|Asthma symptoms cough", US_national_yearly!$D:$AM, 10, FALSE), 1)</f>
        <v>1.5955667516817228E-3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1.833329146616672E-3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1.8583937534058183E-3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1.8834583601949643E-3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1.9085229669841106E-3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1.9335875737732571E-3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1.9535981597348373E-3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1.9736087456964173E-3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1.9804961032837418E-3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1.9873834608710663E-3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1.9942708184583903E-3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2.0011581760457147E-3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2.0080455336330392E-3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2.0160319376652911E-3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2.0240183416975433E-3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2.0320047457297948E-3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2.0399911497620466E-3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2.0479775537942985E-3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2.0584103411404923E-3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2.0688431284866865E-3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2.0792759158328802E-3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2.0897087031790736E-3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2.1001414905252669E-3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2.1098350490042577E-3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2.119528607483248E-3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2.1292221659622392E-3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2.1389157244412296E-3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2.1486092829202203E-3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2.8011770947591894E-3</v>
      </c>
      <c r="C8" s="7">
        <f>$B8 * IFERROR(VLOOKUP("transport|NOx|Asthma symptoms wheeze", US_national_yearly!$D:$AM, 11, FALSE) / VLOOKUP("transport|NOx|Asthma symptoms wheeze", US_national_yearly!$D:$AM, 10, FALSE), 1)</f>
        <v>2.8394737654406192E-3</v>
      </c>
      <c r="D8" s="7">
        <f>$B8 * IFERROR(VLOOKUP("transport|NOx|Asthma symptoms wheeze", US_national_yearly!$D:$AM, 12, FALSE) / VLOOKUP("transport|NOx|Asthma symptoms wheeze", US_national_yearly!$D:$AM, 10, FALSE), 1)</f>
        <v>2.8777704361220499E-3</v>
      </c>
      <c r="E8" s="7">
        <f>$B8 * IFERROR(VLOOKUP("transport|NOx|Asthma symptoms wheeze", US_national_yearly!$D:$AM, 13, FALSE) / VLOOKUP("transport|NOx|Asthma symptoms wheeze", US_national_yearly!$D:$AM, 10, FALSE), 1)</f>
        <v>2.9160671068034797E-3</v>
      </c>
      <c r="F8" s="7">
        <f>$B8 * IFERROR(VLOOKUP("transport|NOx|Asthma symptoms wheeze", US_national_yearly!$D:$AM, 14, FALSE) / VLOOKUP("transport|NOx|Asthma symptoms wheeze", US_national_yearly!$D:$AM, 10, FALSE), 1)</f>
        <v>2.9543637774849091E-3</v>
      </c>
      <c r="G8" s="7">
        <f>$B8 * IFERROR(VLOOKUP("transport|NOx|Asthma symptoms wheeze", US_national_yearly!$D:$AM, 15, FALSE) / VLOOKUP("transport|NOx|Asthma symptoms wheeze", US_national_yearly!$D:$AM, 10, FALSE), 1)</f>
        <v>2.9849383174486328E-3</v>
      </c>
      <c r="H8" s="7">
        <f>$B8 * IFERROR(VLOOKUP("transport|NOx|Asthma symptoms wheeze", US_national_yearly!$D:$AM, 16, FALSE) / VLOOKUP("transport|NOx|Asthma symptoms wheeze", US_national_yearly!$D:$AM, 10, FALSE), 1)</f>
        <v>3.0155128574123561E-3</v>
      </c>
      <c r="I8" s="7">
        <f>$B8 * IFERROR(VLOOKUP("transport|NOx|Asthma symptoms wheeze", US_national_yearly!$D:$AM, 17, FALSE) / VLOOKUP("transport|NOx|Asthma symptoms wheeze", US_national_yearly!$D:$AM, 10, FALSE), 1)</f>
        <v>3.0260361770207155E-3</v>
      </c>
      <c r="J8" s="7">
        <f>$B8 * IFERROR(VLOOKUP("transport|NOx|Asthma symptoms wheeze", US_national_yearly!$D:$AM, 18, FALSE) / VLOOKUP("transport|NOx|Asthma symptoms wheeze", US_national_yearly!$D:$AM, 10, FALSE), 1)</f>
        <v>3.0365594966290754E-3</v>
      </c>
      <c r="K8" s="7">
        <f>$B8 * IFERROR(VLOOKUP("transport|NOx|Asthma symptoms wheeze", US_national_yearly!$D:$AM, 19, FALSE) / VLOOKUP("transport|NOx|Asthma symptoms wheeze", US_national_yearly!$D:$AM, 10, FALSE), 1)</f>
        <v>3.0470828162374344E-3</v>
      </c>
      <c r="L8" s="7">
        <f>$B8 * IFERROR(VLOOKUP("transport|NOx|Asthma symptoms wheeze", US_national_yearly!$D:$AM, 20, FALSE) / VLOOKUP("transport|NOx|Asthma symptoms wheeze", US_national_yearly!$D:$AM, 10, FALSE), 1)</f>
        <v>3.0576061358457943E-3</v>
      </c>
      <c r="M8" s="7">
        <f>$B8 * IFERROR(VLOOKUP("transport|NOx|Asthma symptoms wheeze", US_national_yearly!$D:$AM, 21, FALSE) / VLOOKUP("transport|NOx|Asthma symptoms wheeze", US_national_yearly!$D:$AM, 10, FALSE), 1)</f>
        <v>3.0681294554541537E-3</v>
      </c>
      <c r="N8" s="7">
        <f>$B8 * IFERROR(VLOOKUP("transport|NOx|Asthma symptoms wheeze", US_national_yearly!$D:$AM, 22, FALSE) / VLOOKUP("transport|NOx|Asthma symptoms wheeze", US_national_yearly!$D:$AM, 10, FALSE), 1)</f>
        <v>3.080332028187794E-3</v>
      </c>
      <c r="O8" s="7">
        <f>$B8 * IFERROR(VLOOKUP("transport|NOx|Asthma symptoms wheeze", US_national_yearly!$D:$AM, 23, FALSE) / VLOOKUP("transport|NOx|Asthma symptoms wheeze", US_national_yearly!$D:$AM, 10, FALSE), 1)</f>
        <v>3.0925346009214347E-3</v>
      </c>
      <c r="P8" s="7">
        <f>$B8 * IFERROR(VLOOKUP("transport|NOx|Asthma symptoms wheeze", US_national_yearly!$D:$AM, 24, FALSE) / VLOOKUP("transport|NOx|Asthma symptoms wheeze", US_national_yearly!$D:$AM, 10, FALSE), 1)</f>
        <v>3.1047371736550745E-3</v>
      </c>
      <c r="Q8" s="7">
        <f>$B8 * IFERROR(VLOOKUP("transport|NOx|Asthma symptoms wheeze", US_national_yearly!$D:$AM, 25, FALSE) / VLOOKUP("transport|NOx|Asthma symptoms wheeze", US_national_yearly!$D:$AM, 10, FALSE), 1)</f>
        <v>3.1169397463887152E-3</v>
      </c>
      <c r="R8" s="7">
        <f>$B8 * IFERROR(VLOOKUP("transport|NOx|Asthma symptoms wheeze", US_national_yearly!$D:$AM, 26, FALSE) / VLOOKUP("transport|NOx|Asthma symptoms wheeze", US_national_yearly!$D:$AM, 10, FALSE), 1)</f>
        <v>3.1291423191223554E-3</v>
      </c>
      <c r="S8" s="7">
        <f>$B8 * IFERROR(VLOOKUP("transport|NOx|Asthma symptoms wheeze", US_national_yearly!$D:$AM, 27, FALSE) / VLOOKUP("transport|NOx|Asthma symptoms wheeze", US_national_yearly!$D:$AM, 10, FALSE), 1)</f>
        <v>3.1450827655936636E-3</v>
      </c>
      <c r="T8" s="7">
        <f>$B8 * IFERROR(VLOOKUP("transport|NOx|Asthma symptoms wheeze", US_national_yearly!$D:$AM, 28, FALSE) / VLOOKUP("transport|NOx|Asthma symptoms wheeze", US_national_yearly!$D:$AM, 10, FALSE), 1)</f>
        <v>3.1610232120649717E-3</v>
      </c>
      <c r="U8" s="7">
        <f>$B8 * IFERROR(VLOOKUP("transport|NOx|Asthma symptoms wheeze", US_national_yearly!$D:$AM, 29, FALSE) / VLOOKUP("transport|NOx|Asthma symptoms wheeze", US_national_yearly!$D:$AM, 10, FALSE), 1)</f>
        <v>3.1769636585362803E-3</v>
      </c>
      <c r="V8" s="7">
        <f>$B8 * IFERROR(VLOOKUP("transport|NOx|Asthma symptoms wheeze", US_national_yearly!$D:$AM, 30, FALSE) / VLOOKUP("transport|NOx|Asthma symptoms wheeze", US_national_yearly!$D:$AM, 10, FALSE), 1)</f>
        <v>3.1929041050075889E-3</v>
      </c>
      <c r="W8" s="7">
        <f>$B8 * IFERROR(VLOOKUP("transport|NOx|Asthma symptoms wheeze", US_national_yearly!$D:$AM, 31, FALSE) / VLOOKUP("transport|NOx|Asthma symptoms wheeze", US_national_yearly!$D:$AM, 10, FALSE), 1)</f>
        <v>3.2088445514788966E-3</v>
      </c>
      <c r="X8" s="7">
        <f>$B8 * IFERROR(VLOOKUP("transport|NOx|Asthma symptoms wheeze", US_national_yearly!$D:$AM, 32, FALSE) / VLOOKUP("transport|NOx|Asthma symptoms wheeze", US_national_yearly!$D:$AM, 10, FALSE), 1)</f>
        <v>3.2236555166574917E-3</v>
      </c>
      <c r="Y8" s="7">
        <f>$B8 * IFERROR(VLOOKUP("transport|NOx|Asthma symptoms wheeze", US_national_yearly!$D:$AM, 33, FALSE) / VLOOKUP("transport|NOx|Asthma symptoms wheeze", US_national_yearly!$D:$AM, 10, FALSE), 1)</f>
        <v>3.238466481836086E-3</v>
      </c>
      <c r="Z8" s="7">
        <f>$B8 * IFERROR(VLOOKUP("transport|NOx|Asthma symptoms wheeze", US_national_yearly!$D:$AM, 34, FALSE) / VLOOKUP("transport|NOx|Asthma symptoms wheeze", US_national_yearly!$D:$AM, 10, FALSE), 1)</f>
        <v>3.2532774470146811E-3</v>
      </c>
      <c r="AA8" s="7">
        <f>$B8 * IFERROR(VLOOKUP("transport|NOx|Asthma symptoms wheeze", US_national_yearly!$D:$AM, 35, FALSE) / VLOOKUP("transport|NOx|Asthma symptoms wheeze", US_national_yearly!$D:$AM, 10, FALSE), 1)</f>
        <v>3.2680884121932753E-3</v>
      </c>
      <c r="AB8" s="7">
        <f>$B8 * IFERROR(VLOOKUP("transport|NOx|Asthma symptoms wheeze", US_national_yearly!$D:$AM, 36, FALSE) / VLOOKUP("transport|NOx|Asthma symptoms wheeze", US_national_yearly!$D:$AM, 10, FALSE), 1)</f>
        <v>3.2828993773718704E-3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3.5624723451718077E-5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3.6513370233343767E-5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3.7402017014969456E-5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3.8290663796595152E-5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3.9179310578220848E-5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4.0028887147391122E-5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4.0878463716561397E-5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4.1599771689313693E-5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4.2321079662065989E-5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4.3042387634818286E-5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4.3763695607570589E-5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4.4485003580322886E-5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4.4967210946940002E-5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4.5449418313557131E-5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4.5931625680174261E-5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4.6413833046791391E-5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4.6896040413408513E-5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4.7154394054135848E-5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4.7412747694863176E-5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4.7671101335590511E-5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4.7929454976317839E-5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4.8187808617045181E-5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4.8364359766085426E-5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4.8540910915125684E-5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4.8717462064165936E-5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4.8894013213206187E-5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4.9070564362246439E-5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1.9912422673295745E-4</v>
      </c>
      <c r="C13" s="7">
        <f>$B13 * IFERROR(VLOOKUP("transport|NOx|Non-fatal heart attacks", US_national_yearly!$D:$AM, 11, FALSE) / VLOOKUP("transport|NOx|Non-fatal heart attacks", US_national_yearly!$D:$AM, 10, FALSE), 1)</f>
        <v>2.0481701293561551E-4</v>
      </c>
      <c r="D13" s="7">
        <f>$B13 * IFERROR(VLOOKUP("transport|NOx|Non-fatal heart attacks", US_national_yearly!$D:$AM, 12, FALSE) / VLOOKUP("transport|NOx|Non-fatal heart attacks", US_national_yearly!$D:$AM, 10, FALSE), 1)</f>
        <v>2.1050979913827354E-4</v>
      </c>
      <c r="E13" s="7">
        <f>$B13 * IFERROR(VLOOKUP("transport|NOx|Non-fatal heart attacks", US_national_yearly!$D:$AM, 13, FALSE) / VLOOKUP("transport|NOx|Non-fatal heart attacks", US_national_yearly!$D:$AM, 10, FALSE), 1)</f>
        <v>2.1620258534093154E-4</v>
      </c>
      <c r="F13" s="7">
        <f>$B13 * IFERROR(VLOOKUP("transport|NOx|Non-fatal heart attacks", US_national_yearly!$D:$AM, 14, FALSE) / VLOOKUP("transport|NOx|Non-fatal heart attacks", US_national_yearly!$D:$AM, 10, FALSE), 1)</f>
        <v>2.218953715435896E-4</v>
      </c>
      <c r="G13" s="7">
        <f>$B13 * IFERROR(VLOOKUP("transport|NOx|Non-fatal heart attacks", US_national_yearly!$D:$AM, 15, FALSE) / VLOOKUP("transport|NOx|Non-fatal heart attacks", US_national_yearly!$D:$AM, 10, FALSE), 1)</f>
        <v>2.2721526841838776E-4</v>
      </c>
      <c r="H13" s="7">
        <f>$B13 * IFERROR(VLOOKUP("transport|NOx|Non-fatal heart attacks", US_national_yearly!$D:$AM, 16, FALSE) / VLOOKUP("transport|NOx|Non-fatal heart attacks", US_national_yearly!$D:$AM, 10, FALSE), 1)</f>
        <v>2.325351652931859E-4</v>
      </c>
      <c r="I13" s="7">
        <f>$B13 * IFERROR(VLOOKUP("transport|NOx|Non-fatal heart attacks", US_national_yearly!$D:$AM, 17, FALSE) / VLOOKUP("transport|NOx|Non-fatal heart attacks", US_national_yearly!$D:$AM, 10, FALSE), 1)</f>
        <v>2.3672929585668713E-4</v>
      </c>
      <c r="J13" s="7">
        <f>$B13 * IFERROR(VLOOKUP("transport|NOx|Non-fatal heart attacks", US_national_yearly!$D:$AM, 18, FALSE) / VLOOKUP("transport|NOx|Non-fatal heart attacks", US_national_yearly!$D:$AM, 10, FALSE), 1)</f>
        <v>2.409234264201884E-4</v>
      </c>
      <c r="K13" s="7">
        <f>$B13 * IFERROR(VLOOKUP("transport|NOx|Non-fatal heart attacks", US_national_yearly!$D:$AM, 19, FALSE) / VLOOKUP("transport|NOx|Non-fatal heart attacks", US_national_yearly!$D:$AM, 10, FALSE), 1)</f>
        <v>2.4511755698368947E-4</v>
      </c>
      <c r="L13" s="7">
        <f>$B13 * IFERROR(VLOOKUP("transport|NOx|Non-fatal heart attacks", US_national_yearly!$D:$AM, 20, FALSE) / VLOOKUP("transport|NOx|Non-fatal heart attacks", US_national_yearly!$D:$AM, 10, FALSE), 1)</f>
        <v>2.4931168754719089E-4</v>
      </c>
      <c r="M13" s="7">
        <f>$B13 * IFERROR(VLOOKUP("transport|NOx|Non-fatal heart attacks", US_national_yearly!$D:$AM, 21, FALSE) / VLOOKUP("transport|NOx|Non-fatal heart attacks", US_national_yearly!$D:$AM, 10, FALSE), 1)</f>
        <v>2.5350581811069204E-4</v>
      </c>
      <c r="N13" s="7">
        <f>$B13 * IFERROR(VLOOKUP("transport|NOx|Non-fatal heart attacks", US_national_yearly!$D:$AM, 22, FALSE) / VLOOKUP("transport|NOx|Non-fatal heart attacks", US_national_yearly!$D:$AM, 10, FALSE), 1)</f>
        <v>2.5602913425132095E-4</v>
      </c>
      <c r="O13" s="7">
        <f>$B13 * IFERROR(VLOOKUP("transport|NOx|Non-fatal heart attacks", US_national_yearly!$D:$AM, 23, FALSE) / VLOOKUP("transport|NOx|Non-fatal heart attacks", US_national_yearly!$D:$AM, 10, FALSE), 1)</f>
        <v>2.5855245039194986E-4</v>
      </c>
      <c r="P13" s="7">
        <f>$B13 * IFERROR(VLOOKUP("transport|NOx|Non-fatal heart attacks", US_national_yearly!$D:$AM, 24, FALSE) / VLOOKUP("transport|NOx|Non-fatal heart attacks", US_national_yearly!$D:$AM, 10, FALSE), 1)</f>
        <v>2.6107576653257877E-4</v>
      </c>
      <c r="Q13" s="7">
        <f>$B13 * IFERROR(VLOOKUP("transport|NOx|Non-fatal heart attacks", US_national_yearly!$D:$AM, 25, FALSE) / VLOOKUP("transport|NOx|Non-fatal heart attacks", US_national_yearly!$D:$AM, 10, FALSE), 1)</f>
        <v>2.6359908267320774E-4</v>
      </c>
      <c r="R13" s="7">
        <f>$B13 * IFERROR(VLOOKUP("transport|NOx|Non-fatal heart attacks", US_national_yearly!$D:$AM, 26, FALSE) / VLOOKUP("transport|NOx|Non-fatal heart attacks", US_national_yearly!$D:$AM, 10, FALSE), 1)</f>
        <v>2.6612239881383665E-4</v>
      </c>
      <c r="S13" s="7">
        <f>$B13 * IFERROR(VLOOKUP("transport|NOx|Non-fatal heart attacks", US_national_yearly!$D:$AM, 27, FALSE) / VLOOKUP("transport|NOx|Non-fatal heart attacks", US_national_yearly!$D:$AM, 10, FALSE), 1)</f>
        <v>2.6726699246741906E-4</v>
      </c>
      <c r="T13" s="7">
        <f>$B13 * IFERROR(VLOOKUP("transport|NOx|Non-fatal heart attacks", US_national_yearly!$D:$AM, 28, FALSE) / VLOOKUP("transport|NOx|Non-fatal heart attacks", US_national_yearly!$D:$AM, 10, FALSE), 1)</f>
        <v>2.6841158612100148E-4</v>
      </c>
      <c r="U13" s="7">
        <f>$B13 * IFERROR(VLOOKUP("transport|NOx|Non-fatal heart attacks", US_national_yearly!$D:$AM, 29, FALSE) / VLOOKUP("transport|NOx|Non-fatal heart attacks", US_national_yearly!$D:$AM, 10, FALSE), 1)</f>
        <v>2.6955617977458384E-4</v>
      </c>
      <c r="V13" s="7">
        <f>$B13 * IFERROR(VLOOKUP("transport|NOx|Non-fatal heart attacks", US_national_yearly!$D:$AM, 30, FALSE) / VLOOKUP("transport|NOx|Non-fatal heart attacks", US_national_yearly!$D:$AM, 10, FALSE), 1)</f>
        <v>2.7070077342816626E-4</v>
      </c>
      <c r="W13" s="7">
        <f>$B13 * IFERROR(VLOOKUP("transport|NOx|Non-fatal heart attacks", US_national_yearly!$D:$AM, 31, FALSE) / VLOOKUP("transport|NOx|Non-fatal heart attacks", US_national_yearly!$D:$AM, 10, FALSE), 1)</f>
        <v>2.7184536708174868E-4</v>
      </c>
      <c r="X13" s="7">
        <f>$B13 * IFERROR(VLOOKUP("transport|NOx|Non-fatal heart attacks", US_national_yearly!$D:$AM, 32, FALSE) / VLOOKUP("transport|NOx|Non-fatal heart attacks", US_national_yearly!$D:$AM, 10, FALSE), 1)</f>
        <v>2.7261024478754224E-4</v>
      </c>
      <c r="Y13" s="7">
        <f>$B13 * IFERROR(VLOOKUP("transport|NOx|Non-fatal heart attacks", US_national_yearly!$D:$AM, 33, FALSE) / VLOOKUP("transport|NOx|Non-fatal heart attacks", US_national_yearly!$D:$AM, 10, FALSE), 1)</f>
        <v>2.7337512249333586E-4</v>
      </c>
      <c r="Z13" s="7">
        <f>$B13 * IFERROR(VLOOKUP("transport|NOx|Non-fatal heart attacks", US_national_yearly!$D:$AM, 34, FALSE) / VLOOKUP("transport|NOx|Non-fatal heart attacks", US_national_yearly!$D:$AM, 10, FALSE), 1)</f>
        <v>2.7414000019912937E-4</v>
      </c>
      <c r="AA13" s="7">
        <f>$B13 * IFERROR(VLOOKUP("transport|NOx|Non-fatal heart attacks", US_national_yearly!$D:$AM, 35, FALSE) / VLOOKUP("transport|NOx|Non-fatal heart attacks", US_national_yearly!$D:$AM, 10, FALSE), 1)</f>
        <v>2.7490487790492299E-4</v>
      </c>
      <c r="AB13" s="7">
        <f>$B13 * IFERROR(VLOOKUP("transport|NOx|Non-fatal heart attacks", US_national_yearly!$D:$AM, 36, FALSE) / VLOOKUP("transport|NOx|Non-fatal heart attacks", US_national_yearly!$D:$AM, 10, FALSE), 1)</f>
        <v>2.7566975561071655E-4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0.14987720941091651</v>
      </c>
      <c r="C14" s="7">
        <f>$B14 * IFERROR(VLOOKUP("transport|NOx|Minor restricted activity days", US_national_yearly!$D:$AM, 11, FALSE) / VLOOKUP("transport|NOx|Minor restricted activity days", US_national_yearly!$D:$AM, 10, FALSE), 1)</f>
        <v>0.15010699632513025</v>
      </c>
      <c r="D14" s="7">
        <f>$B14 * IFERROR(VLOOKUP("transport|NOx|Minor restricted activity days", US_national_yearly!$D:$AM, 12, FALSE) / VLOOKUP("transport|NOx|Minor restricted activity days", US_national_yearly!$D:$AM, 10, FALSE), 1)</f>
        <v>0.15033678323934402</v>
      </c>
      <c r="E14" s="7">
        <f>$B14 * IFERROR(VLOOKUP("transport|NOx|Minor restricted activity days", US_national_yearly!$D:$AM, 13, FALSE) / VLOOKUP("transport|NOx|Minor restricted activity days", US_national_yearly!$D:$AM, 10, FALSE), 1)</f>
        <v>0.15056657015355779</v>
      </c>
      <c r="F14" s="7">
        <f>$B14 * IFERROR(VLOOKUP("transport|NOx|Minor restricted activity days", US_national_yearly!$D:$AM, 14, FALSE) / VLOOKUP("transport|NOx|Minor restricted activity days", US_national_yearly!$D:$AM, 10, FALSE), 1)</f>
        <v>0.15079635706777153</v>
      </c>
      <c r="G14" s="7">
        <f>$B14 * IFERROR(VLOOKUP("transport|NOx|Minor restricted activity days", US_national_yearly!$D:$AM, 15, FALSE) / VLOOKUP("transport|NOx|Minor restricted activity days", US_national_yearly!$D:$AM, 10, FALSE), 1)</f>
        <v>0.15121129754085619</v>
      </c>
      <c r="H14" s="7">
        <f>$B14 * IFERROR(VLOOKUP("transport|NOx|Minor restricted activity days", US_national_yearly!$D:$AM, 16, FALSE) / VLOOKUP("transport|NOx|Minor restricted activity days", US_national_yearly!$D:$AM, 10, FALSE), 1)</f>
        <v>0.15162623801394084</v>
      </c>
      <c r="I14" s="7">
        <f>$B14 * IFERROR(VLOOKUP("transport|NOx|Minor restricted activity days", US_national_yearly!$D:$AM, 17, FALSE) / VLOOKUP("transport|NOx|Minor restricted activity days", US_national_yearly!$D:$AM, 10, FALSE), 1)</f>
        <v>0.15243784517085027</v>
      </c>
      <c r="J14" s="7">
        <f>$B14 * IFERROR(VLOOKUP("transport|NOx|Minor restricted activity days", US_national_yearly!$D:$AM, 18, FALSE) / VLOOKUP("transport|NOx|Minor restricted activity days", US_national_yearly!$D:$AM, 10, FALSE), 1)</f>
        <v>0.15324945232775966</v>
      </c>
      <c r="K14" s="7">
        <f>$B14 * IFERROR(VLOOKUP("transport|NOx|Minor restricted activity days", US_national_yearly!$D:$AM, 19, FALSE) / VLOOKUP("transport|NOx|Minor restricted activity days", US_national_yearly!$D:$AM, 10, FALSE), 1)</f>
        <v>0.15406105948466911</v>
      </c>
      <c r="L14" s="7">
        <f>$B14 * IFERROR(VLOOKUP("transport|NOx|Minor restricted activity days", US_national_yearly!$D:$AM, 20, FALSE) / VLOOKUP("transport|NOx|Minor restricted activity days", US_national_yearly!$D:$AM, 10, FALSE), 1)</f>
        <v>0.1548726666415785</v>
      </c>
      <c r="M14" s="7">
        <f>$B14 * IFERROR(VLOOKUP("transport|NOx|Minor restricted activity days", US_national_yearly!$D:$AM, 21, FALSE) / VLOOKUP("transport|NOx|Minor restricted activity days", US_national_yearly!$D:$AM, 10, FALSE), 1)</f>
        <v>0.15568427379848793</v>
      </c>
      <c r="N14" s="7">
        <f>$B14 * IFERROR(VLOOKUP("transport|NOx|Minor restricted activity days", US_national_yearly!$D:$AM, 22, FALSE) / VLOOKUP("transport|NOx|Minor restricted activity days", US_national_yearly!$D:$AM, 10, FALSE), 1)</f>
        <v>0.15684631121924536</v>
      </c>
      <c r="O14" s="7">
        <f>$B14 * IFERROR(VLOOKUP("transport|NOx|Minor restricted activity days", US_national_yearly!$D:$AM, 23, FALSE) / VLOOKUP("transport|NOx|Minor restricted activity days", US_national_yearly!$D:$AM, 10, FALSE), 1)</f>
        <v>0.15800834864000277</v>
      </c>
      <c r="P14" s="7">
        <f>$B14 * IFERROR(VLOOKUP("transport|NOx|Minor restricted activity days", US_national_yearly!$D:$AM, 24, FALSE) / VLOOKUP("transport|NOx|Minor restricted activity days", US_national_yearly!$D:$AM, 10, FALSE), 1)</f>
        <v>0.15917038606076017</v>
      </c>
      <c r="Q14" s="7">
        <f>$B14 * IFERROR(VLOOKUP("transport|NOx|Minor restricted activity days", US_national_yearly!$D:$AM, 25, FALSE) / VLOOKUP("transport|NOx|Minor restricted activity days", US_national_yearly!$D:$AM, 10, FALSE), 1)</f>
        <v>0.16033242348151758</v>
      </c>
      <c r="R14" s="7">
        <f>$B14 * IFERROR(VLOOKUP("transport|NOx|Minor restricted activity days", US_national_yearly!$D:$AM, 26, FALSE) / VLOOKUP("transport|NOx|Minor restricted activity days", US_national_yearly!$D:$AM, 10, FALSE), 1)</f>
        <v>0.16149446090227498</v>
      </c>
      <c r="S14" s="7">
        <f>$B14 * IFERROR(VLOOKUP("transport|NOx|Minor restricted activity days", US_national_yearly!$D:$AM, 27, FALSE) / VLOOKUP("transport|NOx|Minor restricted activity days", US_national_yearly!$D:$AM, 10, FALSE), 1)</f>
        <v>0.16265625400715183</v>
      </c>
      <c r="T14" s="7">
        <f>$B14 * IFERROR(VLOOKUP("transport|NOx|Minor restricted activity days", US_national_yearly!$D:$AM, 28, FALSE) / VLOOKUP("transport|NOx|Minor restricted activity days", US_national_yearly!$D:$AM, 10, FALSE), 1)</f>
        <v>0.16381804711202866</v>
      </c>
      <c r="U14" s="7">
        <f>$B14 * IFERROR(VLOOKUP("transport|NOx|Minor restricted activity days", US_national_yearly!$D:$AM, 29, FALSE) / VLOOKUP("transport|NOx|Minor restricted activity days", US_national_yearly!$D:$AM, 10, FALSE), 1)</f>
        <v>0.16497984021690554</v>
      </c>
      <c r="V14" s="7">
        <f>$B14 * IFERROR(VLOOKUP("transport|NOx|Minor restricted activity days", US_national_yearly!$D:$AM, 30, FALSE) / VLOOKUP("transport|NOx|Minor restricted activity days", US_national_yearly!$D:$AM, 10, FALSE), 1)</f>
        <v>0.16614163332178239</v>
      </c>
      <c r="W14" s="7">
        <f>$B14 * IFERROR(VLOOKUP("transport|NOx|Minor restricted activity days", US_national_yearly!$D:$AM, 31, FALSE) / VLOOKUP("transport|NOx|Minor restricted activity days", US_national_yearly!$D:$AM, 10, FALSE), 1)</f>
        <v>0.16730342642665921</v>
      </c>
      <c r="X14" s="7">
        <f>$B14 * IFERROR(VLOOKUP("transport|NOx|Minor restricted activity days", US_national_yearly!$D:$AM, 32, FALSE) / VLOOKUP("transport|NOx|Minor restricted activity days", US_national_yearly!$D:$AM, 10, FALSE), 1)</f>
        <v>0.16828567823736013</v>
      </c>
      <c r="Y14" s="7">
        <f>$B14 * IFERROR(VLOOKUP("transport|NOx|Minor restricted activity days", US_national_yearly!$D:$AM, 33, FALSE) / VLOOKUP("transport|NOx|Minor restricted activity days", US_national_yearly!$D:$AM, 10, FALSE), 1)</f>
        <v>0.16926793004806104</v>
      </c>
      <c r="Z14" s="7">
        <f>$B14 * IFERROR(VLOOKUP("transport|NOx|Minor restricted activity days", US_national_yearly!$D:$AM, 34, FALSE) / VLOOKUP("transport|NOx|Minor restricted activity days", US_national_yearly!$D:$AM, 10, FALSE), 1)</f>
        <v>0.17025018185876192</v>
      </c>
      <c r="AA14" s="7">
        <f>$B14 * IFERROR(VLOOKUP("transport|NOx|Minor restricted activity days", US_national_yearly!$D:$AM, 35, FALSE) / VLOOKUP("transport|NOx|Minor restricted activity days", US_national_yearly!$D:$AM, 10, FALSE), 1)</f>
        <v>0.17123243366946284</v>
      </c>
      <c r="AB14" s="7">
        <f>$B14 * IFERROR(VLOOKUP("transport|NOx|Minor restricted activity days", US_national_yearly!$D:$AM, 36, FALSE) / VLOOKUP("transport|NOx|Minor restricted activity days", US_national_yearly!$D:$AM, 10, FALSE), 1)</f>
        <v>0.17221468548016375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2.5482076136748511E-2</v>
      </c>
      <c r="C15" s="7">
        <f>$B15 * IFERROR(VLOOKUP("transport|NOx|Work loss days", US_national_yearly!$D:$AM, 11, FALSE) / VLOOKUP("transport|NOx|Work loss days", US_national_yearly!$D:$AM, 10, FALSE), 1)</f>
        <v>2.5538759644265607E-2</v>
      </c>
      <c r="D15" s="7">
        <f>$B15 * IFERROR(VLOOKUP("transport|NOx|Work loss days", US_national_yearly!$D:$AM, 12, FALSE) / VLOOKUP("transport|NOx|Work loss days", US_national_yearly!$D:$AM, 10, FALSE), 1)</f>
        <v>2.5595443151782707E-2</v>
      </c>
      <c r="E15" s="7">
        <f>$B15 * IFERROR(VLOOKUP("transport|NOx|Work loss days", US_national_yearly!$D:$AM, 13, FALSE) / VLOOKUP("transport|NOx|Work loss days", US_national_yearly!$D:$AM, 10, FALSE), 1)</f>
        <v>2.5652126659299803E-2</v>
      </c>
      <c r="F15" s="7">
        <f>$B15 * IFERROR(VLOOKUP("transport|NOx|Work loss days", US_national_yearly!$D:$AM, 14, FALSE) / VLOOKUP("transport|NOx|Work loss days", US_national_yearly!$D:$AM, 10, FALSE), 1)</f>
        <v>2.5708810166816903E-2</v>
      </c>
      <c r="G15" s="7">
        <f>$B15 * IFERROR(VLOOKUP("transport|NOx|Work loss days", US_national_yearly!$D:$AM, 15, FALSE) / VLOOKUP("transport|NOx|Work loss days", US_national_yearly!$D:$AM, 10, FALSE), 1)</f>
        <v>2.5791568571327351E-2</v>
      </c>
      <c r="H15" s="7">
        <f>$B15 * IFERROR(VLOOKUP("transport|NOx|Work loss days", US_national_yearly!$D:$AM, 16, FALSE) / VLOOKUP("transport|NOx|Work loss days", US_national_yearly!$D:$AM, 10, FALSE), 1)</f>
        <v>2.5874326975837803E-2</v>
      </c>
      <c r="I15" s="7">
        <f>$B15 * IFERROR(VLOOKUP("transport|NOx|Work loss days", US_national_yearly!$D:$AM, 17, FALSE) / VLOOKUP("transport|NOx|Work loss days", US_national_yearly!$D:$AM, 10, FALSE), 1)</f>
        <v>2.6008391105952305E-2</v>
      </c>
      <c r="J15" s="7">
        <f>$B15 * IFERROR(VLOOKUP("transport|NOx|Work loss days", US_national_yearly!$D:$AM, 18, FALSE) / VLOOKUP("transport|NOx|Work loss days", US_national_yearly!$D:$AM, 10, FALSE), 1)</f>
        <v>2.6142455236066814E-2</v>
      </c>
      <c r="K15" s="7">
        <f>$B15 * IFERROR(VLOOKUP("transport|NOx|Work loss days", US_national_yearly!$D:$AM, 19, FALSE) / VLOOKUP("transport|NOx|Work loss days", US_national_yearly!$D:$AM, 10, FALSE), 1)</f>
        <v>2.6276519366181316E-2</v>
      </c>
      <c r="L15" s="7">
        <f>$B15 * IFERROR(VLOOKUP("transport|NOx|Work loss days", US_national_yearly!$D:$AM, 20, FALSE) / VLOOKUP("transport|NOx|Work loss days", US_national_yearly!$D:$AM, 10, FALSE), 1)</f>
        <v>2.6410583496295818E-2</v>
      </c>
      <c r="M15" s="7">
        <f>$B15 * IFERROR(VLOOKUP("transport|NOx|Work loss days", US_national_yearly!$D:$AM, 21, FALSE) / VLOOKUP("transport|NOx|Work loss days", US_national_yearly!$D:$AM, 10, FALSE), 1)</f>
        <v>2.6544647626410327E-2</v>
      </c>
      <c r="N15" s="7">
        <f>$B15 * IFERROR(VLOOKUP("transport|NOx|Work loss days", US_national_yearly!$D:$AM, 22, FALSE) / VLOOKUP("transport|NOx|Work loss days", US_national_yearly!$D:$AM, 10, FALSE), 1)</f>
        <v>2.6719123865212895E-2</v>
      </c>
      <c r="O15" s="7">
        <f>$B15 * IFERROR(VLOOKUP("transport|NOx|Work loss days", US_national_yearly!$D:$AM, 23, FALSE) / VLOOKUP("transport|NOx|Work loss days", US_national_yearly!$D:$AM, 10, FALSE), 1)</f>
        <v>2.6893600104015463E-2</v>
      </c>
      <c r="P15" s="7">
        <f>$B15 * IFERROR(VLOOKUP("transport|NOx|Work loss days", US_national_yearly!$D:$AM, 24, FALSE) / VLOOKUP("transport|NOx|Work loss days", US_national_yearly!$D:$AM, 10, FALSE), 1)</f>
        <v>2.7068076342818027E-2</v>
      </c>
      <c r="Q15" s="7">
        <f>$B15 * IFERROR(VLOOKUP("transport|NOx|Work loss days", US_national_yearly!$D:$AM, 25, FALSE) / VLOOKUP("transport|NOx|Work loss days", US_national_yearly!$D:$AM, 10, FALSE), 1)</f>
        <v>2.7242552581620592E-2</v>
      </c>
      <c r="R15" s="7">
        <f>$B15 * IFERROR(VLOOKUP("transport|NOx|Work loss days", US_national_yearly!$D:$AM, 26, FALSE) / VLOOKUP("transport|NOx|Work loss days", US_national_yearly!$D:$AM, 10, FALSE), 1)</f>
        <v>2.7417028820423163E-2</v>
      </c>
      <c r="S15" s="7">
        <f>$B15 * IFERROR(VLOOKUP("transport|NOx|Work loss days", US_national_yearly!$D:$AM, 27, FALSE) / VLOOKUP("transport|NOx|Work loss days", US_national_yearly!$D:$AM, 10, FALSE), 1)</f>
        <v>2.761154751780636E-2</v>
      </c>
      <c r="T15" s="7">
        <f>$B15 * IFERROR(VLOOKUP("transport|NOx|Work loss days", US_national_yearly!$D:$AM, 28, FALSE) / VLOOKUP("transport|NOx|Work loss days", US_national_yearly!$D:$AM, 10, FALSE), 1)</f>
        <v>2.7806066215189561E-2</v>
      </c>
      <c r="U15" s="7">
        <f>$B15 * IFERROR(VLOOKUP("transport|NOx|Work loss days", US_national_yearly!$D:$AM, 29, FALSE) / VLOOKUP("transport|NOx|Work loss days", US_national_yearly!$D:$AM, 10, FALSE), 1)</f>
        <v>2.8000584912572755E-2</v>
      </c>
      <c r="V15" s="7">
        <f>$B15 * IFERROR(VLOOKUP("transport|NOx|Work loss days", US_national_yearly!$D:$AM, 30, FALSE) / VLOOKUP("transport|NOx|Work loss days", US_national_yearly!$D:$AM, 10, FALSE), 1)</f>
        <v>2.8195103609955953E-2</v>
      </c>
      <c r="W15" s="7">
        <f>$B15 * IFERROR(VLOOKUP("transport|NOx|Work loss days", US_national_yearly!$D:$AM, 31, FALSE) / VLOOKUP("transport|NOx|Work loss days", US_national_yearly!$D:$AM, 10, FALSE), 1)</f>
        <v>2.8389622307339154E-2</v>
      </c>
      <c r="X15" s="7">
        <f>$B15 * IFERROR(VLOOKUP("transport|NOx|Work loss days", US_national_yearly!$D:$AM, 32, FALSE) / VLOOKUP("transport|NOx|Work loss days", US_national_yearly!$D:$AM, 10, FALSE), 1)</f>
        <v>2.8558454165564844E-2</v>
      </c>
      <c r="Y15" s="7">
        <f>$B15 * IFERROR(VLOOKUP("transport|NOx|Work loss days", US_national_yearly!$D:$AM, 33, FALSE) / VLOOKUP("transport|NOx|Work loss days", US_national_yearly!$D:$AM, 10, FALSE), 1)</f>
        <v>2.8727286023790533E-2</v>
      </c>
      <c r="Z15" s="7">
        <f>$B15 * IFERROR(VLOOKUP("transport|NOx|Work loss days", US_national_yearly!$D:$AM, 34, FALSE) / VLOOKUP("transport|NOx|Work loss days", US_national_yearly!$D:$AM, 10, FALSE), 1)</f>
        <v>2.8896117882016223E-2</v>
      </c>
      <c r="AA15" s="7">
        <f>$B15 * IFERROR(VLOOKUP("transport|NOx|Work loss days", US_national_yearly!$D:$AM, 35, FALSE) / VLOOKUP("transport|NOx|Work loss days", US_national_yearly!$D:$AM, 10, FALSE), 1)</f>
        <v>2.9064949740241916E-2</v>
      </c>
      <c r="AB15" s="7">
        <f>$B15 * IFERROR(VLOOKUP("transport|NOx|Work loss days", US_national_yearly!$D:$AM, 36, FALSE) / VLOOKUP("transport|NOx|Work loss days", US_national_yearly!$D:$AM, 10, FALSE), 1)</f>
        <v>2.9233781598467606E-2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4.971033549484629E-5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5.1171055395866471E-5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5.2631775296886645E-5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5.4092495197906819E-5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5.5553215098927E-5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5.6940657438929008E-5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5.8328099778931029E-5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5.949483175173759E-5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6.0661563724544151E-5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6.1828295697350711E-5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6.2995027670157265E-5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6.4161759642963846E-5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6.4891355804973808E-5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6.5620951966983797E-5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6.6350548128993772E-5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6.7080144291003748E-5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6.7809740453013724E-5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6.8142635146677547E-5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6.8475529840341371E-5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6.8808424534005195E-5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6.9141319227669019E-5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6.9474213921332857E-5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6.9659481359687588E-5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6.984474879804232E-5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7.0030016236397052E-5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7.0215283674751784E-5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7.0400551113106516E-5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9.1203241973659478E-4</v>
      </c>
      <c r="C2" s="7">
        <f>$B2 * IFERROR(VLOOKUP("transport|SO2|Premature mortality", US_national_yearly!$D:$AM, 11, FALSE) / VLOOKUP("transport|SO2|Premature mortality", US_national_yearly!$D:$AM, 10, FALSE), 1)</f>
        <v>9.2358281686425662E-4</v>
      </c>
      <c r="D2" s="7">
        <f>$B2 * IFERROR(VLOOKUP("transport|SO2|Premature mortality", US_national_yearly!$D:$AM, 12, FALSE) / VLOOKUP("transport|SO2|Premature mortality", US_national_yearly!$D:$AM, 10, FALSE), 1)</f>
        <v>9.3513321399191869E-4</v>
      </c>
      <c r="E2" s="7">
        <f>$B2 * IFERROR(VLOOKUP("transport|SO2|Premature mortality", US_national_yearly!$D:$AM, 13, FALSE) / VLOOKUP("transport|SO2|Premature mortality", US_national_yearly!$D:$AM, 10, FALSE), 1)</f>
        <v>9.4668361111958053E-4</v>
      </c>
      <c r="F2" s="7">
        <f>$B2 * IFERROR(VLOOKUP("transport|SO2|Premature mortality", US_national_yearly!$D:$AM, 14, FALSE) / VLOOKUP("transport|SO2|Premature mortality", US_national_yearly!$D:$AM, 10, FALSE), 1)</f>
        <v>9.5823400824724227E-4</v>
      </c>
      <c r="G2" s="7">
        <f>$B2 * IFERROR(VLOOKUP("transport|SO2|Premature mortality", US_national_yearly!$D:$AM, 15, FALSE) / VLOOKUP("transport|SO2|Premature mortality", US_national_yearly!$D:$AM, 10, FALSE), 1)</f>
        <v>9.8049096890675223E-4</v>
      </c>
      <c r="H2" s="7">
        <f>$B2 * IFERROR(VLOOKUP("transport|SO2|Premature mortality", US_national_yearly!$D:$AM, 16, FALSE) / VLOOKUP("transport|SO2|Premature mortality", US_national_yearly!$D:$AM, 10, FALSE), 1)</f>
        <v>1.0027479295662621E-3</v>
      </c>
      <c r="I2" s="7">
        <f>$B2 * IFERROR(VLOOKUP("transport|SO2|Premature mortality", US_national_yearly!$D:$AM, 17, FALSE) / VLOOKUP("transport|SO2|Premature mortality", US_national_yearly!$D:$AM, 10, FALSE), 1)</f>
        <v>1.0174566929435061E-3</v>
      </c>
      <c r="J2" s="7">
        <f>$B2 * IFERROR(VLOOKUP("transport|SO2|Premature mortality", US_national_yearly!$D:$AM, 18, FALSE) / VLOOKUP("transport|SO2|Premature mortality", US_national_yearly!$D:$AM, 10, FALSE), 1)</f>
        <v>1.0321654563207501E-3</v>
      </c>
      <c r="K2" s="7">
        <f>$B2 * IFERROR(VLOOKUP("transport|SO2|Premature mortality", US_national_yearly!$D:$AM, 19, FALSE) / VLOOKUP("transport|SO2|Premature mortality", US_national_yearly!$D:$AM, 10, FALSE), 1)</f>
        <v>1.0468742196979939E-3</v>
      </c>
      <c r="L2" s="7">
        <f>$B2 * IFERROR(VLOOKUP("transport|SO2|Premature mortality", US_national_yearly!$D:$AM, 20, FALSE) / VLOOKUP("transport|SO2|Premature mortality", US_national_yearly!$D:$AM, 10, FALSE), 1)</f>
        <v>1.0615829830752379E-3</v>
      </c>
      <c r="M2" s="7">
        <f>$B2 * IFERROR(VLOOKUP("transport|SO2|Premature mortality", US_national_yearly!$D:$AM, 21, FALSE) / VLOOKUP("transport|SO2|Premature mortality", US_national_yearly!$D:$AM, 10, FALSE), 1)</f>
        <v>1.0762917464524819E-3</v>
      </c>
      <c r="N2" s="7">
        <f>$B2 * IFERROR(VLOOKUP("transport|SO2|Premature mortality", US_national_yearly!$D:$AM, 22, FALSE) / VLOOKUP("transport|SO2|Premature mortality", US_national_yearly!$D:$AM, 10, FALSE), 1)</f>
        <v>1.087784376312028E-3</v>
      </c>
      <c r="O2" s="7">
        <f>$B2 * IFERROR(VLOOKUP("transport|SO2|Premature mortality", US_national_yearly!$D:$AM, 23, FALSE) / VLOOKUP("transport|SO2|Premature mortality", US_national_yearly!$D:$AM, 10, FALSE), 1)</f>
        <v>1.099277006171574E-3</v>
      </c>
      <c r="P2" s="7">
        <f>$B2 * IFERROR(VLOOKUP("transport|SO2|Premature mortality", US_national_yearly!$D:$AM, 24, FALSE) / VLOOKUP("transport|SO2|Premature mortality", US_national_yearly!$D:$AM, 10, FALSE), 1)</f>
        <v>1.1107696360311201E-3</v>
      </c>
      <c r="Q2" s="7">
        <f>$B2 * IFERROR(VLOOKUP("transport|SO2|Premature mortality", US_national_yearly!$D:$AM, 25, FALSE) / VLOOKUP("transport|SO2|Premature mortality", US_national_yearly!$D:$AM, 10, FALSE), 1)</f>
        <v>1.1222622658906662E-3</v>
      </c>
      <c r="R2" s="7">
        <f>$B2 * IFERROR(VLOOKUP("transport|SO2|Premature mortality", US_national_yearly!$D:$AM, 26, FALSE) / VLOOKUP("transport|SO2|Premature mortality", US_national_yearly!$D:$AM, 10, FALSE), 1)</f>
        <v>1.1337548957502121E-3</v>
      </c>
      <c r="S2" s="7">
        <f>$B2 * IFERROR(VLOOKUP("transport|SO2|Premature mortality", US_national_yearly!$D:$AM, 27, FALSE) / VLOOKUP("transport|SO2|Premature mortality", US_national_yearly!$D:$AM, 10, FALSE), 1)</f>
        <v>1.1399093520666557E-3</v>
      </c>
      <c r="T2" s="7">
        <f>$B2 * IFERROR(VLOOKUP("transport|SO2|Premature mortality", US_national_yearly!$D:$AM, 28, FALSE) / VLOOKUP("transport|SO2|Premature mortality", US_national_yearly!$D:$AM, 10, FALSE), 1)</f>
        <v>1.1460638083830989E-3</v>
      </c>
      <c r="U2" s="7">
        <f>$B2 * IFERROR(VLOOKUP("transport|SO2|Premature mortality", US_national_yearly!$D:$AM, 29, FALSE) / VLOOKUP("transport|SO2|Premature mortality", US_national_yearly!$D:$AM, 10, FALSE), 1)</f>
        <v>1.1522182646995422E-3</v>
      </c>
      <c r="V2" s="7">
        <f>$B2 * IFERROR(VLOOKUP("transport|SO2|Premature mortality", US_national_yearly!$D:$AM, 30, FALSE) / VLOOKUP("transport|SO2|Premature mortality", US_national_yearly!$D:$AM, 10, FALSE), 1)</f>
        <v>1.1583727210159854E-3</v>
      </c>
      <c r="W2" s="7">
        <f>$B2 * IFERROR(VLOOKUP("transport|SO2|Premature mortality", US_national_yearly!$D:$AM, 31, FALSE) / VLOOKUP("transport|SO2|Premature mortality", US_national_yearly!$D:$AM, 10, FALSE), 1)</f>
        <v>1.164527177332429E-3</v>
      </c>
      <c r="X2" s="7">
        <f>$B2 * IFERROR(VLOOKUP("transport|SO2|Premature mortality", US_national_yearly!$D:$AM, 32, FALSE) / VLOOKUP("transport|SO2|Premature mortality", US_national_yearly!$D:$AM, 10, FALSE), 1)</f>
        <v>1.1657774739581804E-3</v>
      </c>
      <c r="Y2" s="7">
        <f>$B2 * IFERROR(VLOOKUP("transport|SO2|Premature mortality", US_national_yearly!$D:$AM, 33, FALSE) / VLOOKUP("transport|SO2|Premature mortality", US_national_yearly!$D:$AM, 10, FALSE), 1)</f>
        <v>1.1670277705839321E-3</v>
      </c>
      <c r="Z2" s="7">
        <f>$B2 * IFERROR(VLOOKUP("transport|SO2|Premature mortality", US_national_yearly!$D:$AM, 34, FALSE) / VLOOKUP("transport|SO2|Premature mortality", US_national_yearly!$D:$AM, 10, FALSE), 1)</f>
        <v>1.168278067209684E-3</v>
      </c>
      <c r="AA2" s="7">
        <f>$B2 * IFERROR(VLOOKUP("transport|SO2|Premature mortality", US_national_yearly!$D:$AM, 35, FALSE) / VLOOKUP("transport|SO2|Premature mortality", US_national_yearly!$D:$AM, 10, FALSE), 1)</f>
        <v>1.1695283638354357E-3</v>
      </c>
      <c r="AB2" s="7">
        <f>$B2 * IFERROR(VLOOKUP("transport|SO2|Premature mortality", US_national_yearly!$D:$AM, 36, FALSE) / VLOOKUP("transport|SO2|Premature mortality", US_national_yearly!$D:$AM, 10, FALSE), 1)</f>
        <v>1.1707786604611874E-3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3.1431298475253501E-6</v>
      </c>
      <c r="C3" s="7">
        <f>$B3 * IFERROR(VLOOKUP("transport|SO2|Infant mortality", US_national_yearly!$D:$AM, 11, FALSE) / VLOOKUP("transport|SO2|Infant mortality", US_national_yearly!$D:$AM, 10, FALSE), 1)</f>
        <v>3.1161297888107128E-6</v>
      </c>
      <c r="D3" s="7">
        <f>$B3 * IFERROR(VLOOKUP("transport|SO2|Infant mortality", US_national_yearly!$D:$AM, 12, FALSE) / VLOOKUP("transport|SO2|Infant mortality", US_national_yearly!$D:$AM, 10, FALSE), 1)</f>
        <v>3.0891297300960762E-6</v>
      </c>
      <c r="E3" s="7">
        <f>$B3 * IFERROR(VLOOKUP("transport|SO2|Infant mortality", US_national_yearly!$D:$AM, 13, FALSE) / VLOOKUP("transport|SO2|Infant mortality", US_national_yearly!$D:$AM, 10, FALSE), 1)</f>
        <v>3.0621296713814385E-6</v>
      </c>
      <c r="F3" s="7">
        <f>$B3 * IFERROR(VLOOKUP("transport|SO2|Infant mortality", US_national_yearly!$D:$AM, 14, FALSE) / VLOOKUP("transport|SO2|Infant mortality", US_national_yearly!$D:$AM, 10, FALSE), 1)</f>
        <v>3.0351296126668015E-6</v>
      </c>
      <c r="G3" s="7">
        <f>$B3 * IFERROR(VLOOKUP("transport|SO2|Infant mortality", US_national_yearly!$D:$AM, 15, FALSE) / VLOOKUP("transport|SO2|Infant mortality", US_national_yearly!$D:$AM, 10, FALSE), 1)</f>
        <v>2.021640776172696E-6</v>
      </c>
      <c r="H3" s="7">
        <f>$B3 * IFERROR(VLOOKUP("transport|SO2|Infant mortality", US_national_yearly!$D:$AM, 16, FALSE) / VLOOKUP("transport|SO2|Infant mortality", US_national_yearly!$D:$AM, 10, FALSE), 1)</f>
        <v>1.008151939678592E-6</v>
      </c>
      <c r="I3" s="7">
        <f>$B3 * IFERROR(VLOOKUP("transport|SO2|Infant mortality", US_national_yearly!$D:$AM, 17, FALSE) / VLOOKUP("transport|SO2|Infant mortality", US_national_yearly!$D:$AM, 10, FALSE), 1)</f>
        <v>1.0018274981252403E-6</v>
      </c>
      <c r="J3" s="7">
        <f>$B3 * IFERROR(VLOOKUP("transport|SO2|Infant mortality", US_national_yearly!$D:$AM, 18, FALSE) / VLOOKUP("transport|SO2|Infant mortality", US_national_yearly!$D:$AM, 10, FALSE), 1)</f>
        <v>9.9550305657188881E-7</v>
      </c>
      <c r="K3" s="7">
        <f>$B3 * IFERROR(VLOOKUP("transport|SO2|Infant mortality", US_national_yearly!$D:$AM, 19, FALSE) / VLOOKUP("transport|SO2|Infant mortality", US_national_yearly!$D:$AM, 10, FALSE), 1)</f>
        <v>9.8917861501853734E-7</v>
      </c>
      <c r="L3" s="7">
        <f>$B3 * IFERROR(VLOOKUP("transport|SO2|Infant mortality", US_national_yearly!$D:$AM, 20, FALSE) / VLOOKUP("transport|SO2|Infant mortality", US_national_yearly!$D:$AM, 10, FALSE), 1)</f>
        <v>9.8285417346518588E-7</v>
      </c>
      <c r="M3" s="7">
        <f>$B3 * IFERROR(VLOOKUP("transport|SO2|Infant mortality", US_national_yearly!$D:$AM, 21, FALSE) / VLOOKUP("transport|SO2|Infant mortality", US_national_yearly!$D:$AM, 10, FALSE), 1)</f>
        <v>9.7652973191183441E-7</v>
      </c>
      <c r="N3" s="7">
        <f>$B3 * IFERROR(VLOOKUP("transport|SO2|Infant mortality", US_national_yearly!$D:$AM, 22, FALSE) / VLOOKUP("transport|SO2|Infant mortality", US_national_yearly!$D:$AM, 10, FALSE), 1)</f>
        <v>9.7255992729775328E-7</v>
      </c>
      <c r="O3" s="7">
        <f>$B3 * IFERROR(VLOOKUP("transport|SO2|Infant mortality", US_national_yearly!$D:$AM, 23, FALSE) / VLOOKUP("transport|SO2|Infant mortality", US_national_yearly!$D:$AM, 10, FALSE), 1)</f>
        <v>9.6859012268367236E-7</v>
      </c>
      <c r="P3" s="7">
        <f>$B3 * IFERROR(VLOOKUP("transport|SO2|Infant mortality", US_national_yearly!$D:$AM, 24, FALSE) / VLOOKUP("transport|SO2|Infant mortality", US_national_yearly!$D:$AM, 10, FALSE), 1)</f>
        <v>9.6462031806959102E-7</v>
      </c>
      <c r="Q3" s="7">
        <f>$B3 * IFERROR(VLOOKUP("transport|SO2|Infant mortality", US_national_yearly!$D:$AM, 25, FALSE) / VLOOKUP("transport|SO2|Infant mortality", US_national_yearly!$D:$AM, 10, FALSE), 1)</f>
        <v>9.606505134555101E-7</v>
      </c>
      <c r="R3" s="7">
        <f>$B3 * IFERROR(VLOOKUP("transport|SO2|Infant mortality", US_national_yearly!$D:$AM, 26, FALSE) / VLOOKUP("transport|SO2|Infant mortality", US_national_yearly!$D:$AM, 10, FALSE), 1)</f>
        <v>9.5668070884142875E-7</v>
      </c>
      <c r="S3" s="7">
        <f>$B3 * IFERROR(VLOOKUP("transport|SO2|Infant mortality", US_national_yearly!$D:$AM, 27, FALSE) / VLOOKUP("transport|SO2|Infant mortality", US_national_yearly!$D:$AM, 10, FALSE), 1)</f>
        <v>9.5169637730277607E-7</v>
      </c>
      <c r="T3" s="7">
        <f>$B3 * IFERROR(VLOOKUP("transport|SO2|Infant mortality", US_national_yearly!$D:$AM, 28, FALSE) / VLOOKUP("transport|SO2|Infant mortality", US_national_yearly!$D:$AM, 10, FALSE), 1)</f>
        <v>9.4671204576412329E-7</v>
      </c>
      <c r="U3" s="7">
        <f>$B3 * IFERROR(VLOOKUP("transport|SO2|Infant mortality", US_national_yearly!$D:$AM, 29, FALSE) / VLOOKUP("transport|SO2|Infant mortality", US_national_yearly!$D:$AM, 10, FALSE), 1)</f>
        <v>9.4172771422547008E-7</v>
      </c>
      <c r="V3" s="7">
        <f>$B3 * IFERROR(VLOOKUP("transport|SO2|Infant mortality", US_national_yearly!$D:$AM, 30, FALSE) / VLOOKUP("transport|SO2|Infant mortality", US_national_yearly!$D:$AM, 10, FALSE), 1)</f>
        <v>9.3674338268681751E-7</v>
      </c>
      <c r="W3" s="7">
        <f>$B3 * IFERROR(VLOOKUP("transport|SO2|Infant mortality", US_national_yearly!$D:$AM, 31, FALSE) / VLOOKUP("transport|SO2|Infant mortality", US_national_yearly!$D:$AM, 10, FALSE), 1)</f>
        <v>9.3175905114816451E-7</v>
      </c>
      <c r="X3" s="7">
        <f>$B3 * IFERROR(VLOOKUP("transport|SO2|Infant mortality", US_national_yearly!$D:$AM, 32, FALSE) / VLOOKUP("transport|SO2|Infant mortality", US_national_yearly!$D:$AM, 10, FALSE), 1)</f>
        <v>9.2630963825247453E-7</v>
      </c>
      <c r="Y3" s="7">
        <f>$B3 * IFERROR(VLOOKUP("transport|SO2|Infant mortality", US_national_yearly!$D:$AM, 33, FALSE) / VLOOKUP("transport|SO2|Infant mortality", US_national_yearly!$D:$AM, 10, FALSE), 1)</f>
        <v>9.2086022535678412E-7</v>
      </c>
      <c r="Z3" s="7">
        <f>$B3 * IFERROR(VLOOKUP("transport|SO2|Infant mortality", US_national_yearly!$D:$AM, 34, FALSE) / VLOOKUP("transport|SO2|Infant mortality", US_national_yearly!$D:$AM, 10, FALSE), 1)</f>
        <v>9.1541081246109403E-7</v>
      </c>
      <c r="AA3" s="7">
        <f>$B3 * IFERROR(VLOOKUP("transport|SO2|Infant mortality", US_national_yearly!$D:$AM, 35, FALSE) / VLOOKUP("transport|SO2|Infant mortality", US_national_yearly!$D:$AM, 10, FALSE), 1)</f>
        <v>9.0996139956540362E-7</v>
      </c>
      <c r="AB3" s="7">
        <f>$B3 * IFERROR(VLOOKUP("transport|SO2|Infant mortality", US_national_yearly!$D:$AM, 36, FALSE) / VLOOKUP("transport|SO2|Infant mortality", US_national_yearly!$D:$AM, 10, FALSE), 1)</f>
        <v>9.0451198666971353E-7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2.4659013716496225E-3</v>
      </c>
      <c r="C6" s="7">
        <f>$B6 * IFERROR(VLOOKUP("transport|SO2|Asthma symptoms cough", US_national_yearly!$D:$AM, 11, FALSE) / VLOOKUP("transport|SO2|Asthma symptoms cough", US_national_yearly!$D:$AM, 10, FALSE), 1)</f>
        <v>2.4659013716496225E-3</v>
      </c>
      <c r="D6" s="7">
        <f>$B6 * IFERROR(VLOOKUP("transport|SO2|Asthma symptoms cough", US_national_yearly!$D:$AM, 12, FALSE) / VLOOKUP("transport|SO2|Asthma symptoms cough", US_national_yearly!$D:$AM, 10, FALSE), 1)</f>
        <v>2.4659013716496225E-3</v>
      </c>
      <c r="E6" s="7">
        <f>$B6 * IFERROR(VLOOKUP("transport|SO2|Asthma symptoms cough", US_national_yearly!$D:$AM, 13, FALSE) / VLOOKUP("transport|SO2|Asthma symptoms cough", US_national_yearly!$D:$AM, 10, FALSE), 1)</f>
        <v>2.4659013716496225E-3</v>
      </c>
      <c r="F6" s="7">
        <f>$B6 * IFERROR(VLOOKUP("transport|SO2|Asthma symptoms cough", US_national_yearly!$D:$AM, 14, FALSE) / VLOOKUP("transport|SO2|Asthma symptoms cough", US_national_yearly!$D:$AM, 10, FALSE), 1)</f>
        <v>2.4659013716496225E-3</v>
      </c>
      <c r="G6" s="7">
        <f>$B6 * IFERROR(VLOOKUP("transport|SO2|Asthma symptoms cough", US_national_yearly!$D:$AM, 15, FALSE) / VLOOKUP("transport|SO2|Asthma symptoms cough", US_national_yearly!$D:$AM, 10, FALSE), 1)</f>
        <v>2.4659013716496225E-3</v>
      </c>
      <c r="H6" s="7">
        <f>$B6 * IFERROR(VLOOKUP("transport|SO2|Asthma symptoms cough", US_national_yearly!$D:$AM, 16, FALSE) / VLOOKUP("transport|SO2|Asthma symptoms cough", US_national_yearly!$D:$AM, 10, FALSE), 1)</f>
        <v>2.4659013716496225E-3</v>
      </c>
      <c r="I6" s="7">
        <f>$B6 * IFERROR(VLOOKUP("transport|SO2|Asthma symptoms cough", US_national_yearly!$D:$AM, 17, FALSE) / VLOOKUP("transport|SO2|Asthma symptoms cough", US_national_yearly!$D:$AM, 10, FALSE), 1)</f>
        <v>2.4659013716496225E-3</v>
      </c>
      <c r="J6" s="7">
        <f>$B6 * IFERROR(VLOOKUP("transport|SO2|Asthma symptoms cough", US_national_yearly!$D:$AM, 18, FALSE) / VLOOKUP("transport|SO2|Asthma symptoms cough", US_national_yearly!$D:$AM, 10, FALSE), 1)</f>
        <v>2.4659013716496225E-3</v>
      </c>
      <c r="K6" s="7">
        <f>$B6 * IFERROR(VLOOKUP("transport|SO2|Asthma symptoms cough", US_national_yearly!$D:$AM, 19, FALSE) / VLOOKUP("transport|SO2|Asthma symptoms cough", US_national_yearly!$D:$AM, 10, FALSE), 1)</f>
        <v>2.4659013716496225E-3</v>
      </c>
      <c r="L6" s="7">
        <f>$B6 * IFERROR(VLOOKUP("transport|SO2|Asthma symptoms cough", US_national_yearly!$D:$AM, 20, FALSE) / VLOOKUP("transport|SO2|Asthma symptoms cough", US_national_yearly!$D:$AM, 10, FALSE), 1)</f>
        <v>2.4659013716496225E-3</v>
      </c>
      <c r="M6" s="7">
        <f>$B6 * IFERROR(VLOOKUP("transport|SO2|Asthma symptoms cough", US_national_yearly!$D:$AM, 21, FALSE) / VLOOKUP("transport|SO2|Asthma symptoms cough", US_national_yearly!$D:$AM, 10, FALSE), 1)</f>
        <v>2.4659013716496225E-3</v>
      </c>
      <c r="N6" s="7">
        <f>$B6 * IFERROR(VLOOKUP("transport|SO2|Asthma symptoms cough", US_national_yearly!$D:$AM, 22, FALSE) / VLOOKUP("transport|SO2|Asthma symptoms cough", US_national_yearly!$D:$AM, 10, FALSE), 1)</f>
        <v>2.4659013716496225E-3</v>
      </c>
      <c r="O6" s="7">
        <f>$B6 * IFERROR(VLOOKUP("transport|SO2|Asthma symptoms cough", US_national_yearly!$D:$AM, 23, FALSE) / VLOOKUP("transport|SO2|Asthma symptoms cough", US_national_yearly!$D:$AM, 10, FALSE), 1)</f>
        <v>2.4659013716496225E-3</v>
      </c>
      <c r="P6" s="7">
        <f>$B6 * IFERROR(VLOOKUP("transport|SO2|Asthma symptoms cough", US_national_yearly!$D:$AM, 24, FALSE) / VLOOKUP("transport|SO2|Asthma symptoms cough", US_national_yearly!$D:$AM, 10, FALSE), 1)</f>
        <v>2.4659013716496225E-3</v>
      </c>
      <c r="Q6" s="7">
        <f>$B6 * IFERROR(VLOOKUP("transport|SO2|Asthma symptoms cough", US_national_yearly!$D:$AM, 25, FALSE) / VLOOKUP("transport|SO2|Asthma symptoms cough", US_national_yearly!$D:$AM, 10, FALSE), 1)</f>
        <v>2.4659013716496225E-3</v>
      </c>
      <c r="R6" s="7">
        <f>$B6 * IFERROR(VLOOKUP("transport|SO2|Asthma symptoms cough", US_national_yearly!$D:$AM, 26, FALSE) / VLOOKUP("transport|SO2|Asthma symptoms cough", US_national_yearly!$D:$AM, 10, FALSE), 1)</f>
        <v>2.4659013716496225E-3</v>
      </c>
      <c r="S6" s="7">
        <f>$B6 * IFERROR(VLOOKUP("transport|SO2|Asthma symptoms cough", US_national_yearly!$D:$AM, 27, FALSE) / VLOOKUP("transport|SO2|Asthma symptoms cough", US_national_yearly!$D:$AM, 10, FALSE), 1)</f>
        <v>2.4659013716496225E-3</v>
      </c>
      <c r="T6" s="7">
        <f>$B6 * IFERROR(VLOOKUP("transport|SO2|Asthma symptoms cough", US_national_yearly!$D:$AM, 28, FALSE) / VLOOKUP("transport|SO2|Asthma symptoms cough", US_national_yearly!$D:$AM, 10, FALSE), 1)</f>
        <v>2.4659013716496225E-3</v>
      </c>
      <c r="U6" s="7">
        <f>$B6 * IFERROR(VLOOKUP("transport|SO2|Asthma symptoms cough", US_national_yearly!$D:$AM, 29, FALSE) / VLOOKUP("transport|SO2|Asthma symptoms cough", US_national_yearly!$D:$AM, 10, FALSE), 1)</f>
        <v>2.4659013716496225E-3</v>
      </c>
      <c r="V6" s="7">
        <f>$B6 * IFERROR(VLOOKUP("transport|SO2|Asthma symptoms cough", US_national_yearly!$D:$AM, 30, FALSE) / VLOOKUP("transport|SO2|Asthma symptoms cough", US_national_yearly!$D:$AM, 10, FALSE), 1)</f>
        <v>2.4659013716496225E-3</v>
      </c>
      <c r="W6" s="7">
        <f>$B6 * IFERROR(VLOOKUP("transport|SO2|Asthma symptoms cough", US_national_yearly!$D:$AM, 31, FALSE) / VLOOKUP("transport|SO2|Asthma symptoms cough", US_national_yearly!$D:$AM, 10, FALSE), 1)</f>
        <v>2.4659013716496225E-3</v>
      </c>
      <c r="X6" s="7">
        <f>$B6 * IFERROR(VLOOKUP("transport|SO2|Asthma symptoms cough", US_national_yearly!$D:$AM, 32, FALSE) / VLOOKUP("transport|SO2|Asthma symptoms cough", US_national_yearly!$D:$AM, 10, FALSE), 1)</f>
        <v>2.4659013716496225E-3</v>
      </c>
      <c r="Y6" s="7">
        <f>$B6 * IFERROR(VLOOKUP("transport|SO2|Asthma symptoms cough", US_national_yearly!$D:$AM, 33, FALSE) / VLOOKUP("transport|SO2|Asthma symptoms cough", US_national_yearly!$D:$AM, 10, FALSE), 1)</f>
        <v>2.4659013716496225E-3</v>
      </c>
      <c r="Z6" s="7">
        <f>$B6 * IFERROR(VLOOKUP("transport|SO2|Asthma symptoms cough", US_national_yearly!$D:$AM, 34, FALSE) / VLOOKUP("transport|SO2|Asthma symptoms cough", US_national_yearly!$D:$AM, 10, FALSE), 1)</f>
        <v>2.4659013716496225E-3</v>
      </c>
      <c r="AA6" s="7">
        <f>$B6 * IFERROR(VLOOKUP("transport|SO2|Asthma symptoms cough", US_national_yearly!$D:$AM, 35, FALSE) / VLOOKUP("transport|SO2|Asthma symptoms cough", US_national_yearly!$D:$AM, 10, FALSE), 1)</f>
        <v>2.4659013716496225E-3</v>
      </c>
      <c r="AB6" s="7">
        <f>$B6 * IFERROR(VLOOKUP("transport|SO2|Asthma symptoms cough", US_national_yearly!$D:$AM, 36, FALSE) / VLOOKUP("transport|SO2|Asthma symptoms cough", US_national_yearly!$D:$AM, 10, FALSE), 1)</f>
        <v>2.4659013716496225E-3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3.3206975279036237E-3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3.3206975279036237E-3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3.3206975279036237E-3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3.3206975279036237E-3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3.3206975279036237E-3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3.3206975279036237E-3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3.3206975279036237E-3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3.3206975279036237E-3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3.3206975279036237E-3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3.3206975279036237E-3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3.3206975279036237E-3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3.3206975279036237E-3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3.3206975279036237E-3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3.3206975279036237E-3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3.3206975279036237E-3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3.3206975279036237E-3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3.3206975279036237E-3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3.3206975279036237E-3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3.3206975279036237E-3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3.3206975279036237E-3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3.3206975279036237E-3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3.3206975279036237E-3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3.3206975279036237E-3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3.3206975279036237E-3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3.3206975279036237E-3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3.3206975279036237E-3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3.3206975279036237E-3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5.0734505446780806E-3</v>
      </c>
      <c r="C8" s="7">
        <f>$B8 * IFERROR(VLOOKUP("transport|SO2|Asthma symptoms wheeze", US_national_yearly!$D:$AM, 11, FALSE) / VLOOKUP("transport|SO2|Asthma symptoms wheeze", US_national_yearly!$D:$AM, 10, FALSE), 1)</f>
        <v>5.0734505446780806E-3</v>
      </c>
      <c r="D8" s="7">
        <f>$B8 * IFERROR(VLOOKUP("transport|SO2|Asthma symptoms wheeze", US_national_yearly!$D:$AM, 12, FALSE) / VLOOKUP("transport|SO2|Asthma symptoms wheeze", US_national_yearly!$D:$AM, 10, FALSE), 1)</f>
        <v>5.0734505446780806E-3</v>
      </c>
      <c r="E8" s="7">
        <f>$B8 * IFERROR(VLOOKUP("transport|SO2|Asthma symptoms wheeze", US_national_yearly!$D:$AM, 13, FALSE) / VLOOKUP("transport|SO2|Asthma symptoms wheeze", US_national_yearly!$D:$AM, 10, FALSE), 1)</f>
        <v>5.0734505446780806E-3</v>
      </c>
      <c r="F8" s="7">
        <f>$B8 * IFERROR(VLOOKUP("transport|SO2|Asthma symptoms wheeze", US_national_yearly!$D:$AM, 14, FALSE) / VLOOKUP("transport|SO2|Asthma symptoms wheeze", US_national_yearly!$D:$AM, 10, FALSE), 1)</f>
        <v>5.0734505446780806E-3</v>
      </c>
      <c r="G8" s="7">
        <f>$B8 * IFERROR(VLOOKUP("transport|SO2|Asthma symptoms wheeze", US_national_yearly!$D:$AM, 15, FALSE) / VLOOKUP("transport|SO2|Asthma symptoms wheeze", US_national_yearly!$D:$AM, 10, FALSE), 1)</f>
        <v>5.0734505446780806E-3</v>
      </c>
      <c r="H8" s="7">
        <f>$B8 * IFERROR(VLOOKUP("transport|SO2|Asthma symptoms wheeze", US_national_yearly!$D:$AM, 16, FALSE) / VLOOKUP("transport|SO2|Asthma symptoms wheeze", US_national_yearly!$D:$AM, 10, FALSE), 1)</f>
        <v>5.0734505446780806E-3</v>
      </c>
      <c r="I8" s="7">
        <f>$B8 * IFERROR(VLOOKUP("transport|SO2|Asthma symptoms wheeze", US_national_yearly!$D:$AM, 17, FALSE) / VLOOKUP("transport|SO2|Asthma symptoms wheeze", US_national_yearly!$D:$AM, 10, FALSE), 1)</f>
        <v>5.0734505446780806E-3</v>
      </c>
      <c r="J8" s="7">
        <f>$B8 * IFERROR(VLOOKUP("transport|SO2|Asthma symptoms wheeze", US_national_yearly!$D:$AM, 18, FALSE) / VLOOKUP("transport|SO2|Asthma symptoms wheeze", US_national_yearly!$D:$AM, 10, FALSE), 1)</f>
        <v>5.0734505446780806E-3</v>
      </c>
      <c r="K8" s="7">
        <f>$B8 * IFERROR(VLOOKUP("transport|SO2|Asthma symptoms wheeze", US_national_yearly!$D:$AM, 19, FALSE) / VLOOKUP("transport|SO2|Asthma symptoms wheeze", US_national_yearly!$D:$AM, 10, FALSE), 1)</f>
        <v>5.0734505446780806E-3</v>
      </c>
      <c r="L8" s="7">
        <f>$B8 * IFERROR(VLOOKUP("transport|SO2|Asthma symptoms wheeze", US_national_yearly!$D:$AM, 20, FALSE) / VLOOKUP("transport|SO2|Asthma symptoms wheeze", US_national_yearly!$D:$AM, 10, FALSE), 1)</f>
        <v>5.0734505446780806E-3</v>
      </c>
      <c r="M8" s="7">
        <f>$B8 * IFERROR(VLOOKUP("transport|SO2|Asthma symptoms wheeze", US_national_yearly!$D:$AM, 21, FALSE) / VLOOKUP("transport|SO2|Asthma symptoms wheeze", US_national_yearly!$D:$AM, 10, FALSE), 1)</f>
        <v>5.0734505446780806E-3</v>
      </c>
      <c r="N8" s="7">
        <f>$B8 * IFERROR(VLOOKUP("transport|SO2|Asthma symptoms wheeze", US_national_yearly!$D:$AM, 22, FALSE) / VLOOKUP("transport|SO2|Asthma symptoms wheeze", US_national_yearly!$D:$AM, 10, FALSE), 1)</f>
        <v>5.0734505446780806E-3</v>
      </c>
      <c r="O8" s="7">
        <f>$B8 * IFERROR(VLOOKUP("transport|SO2|Asthma symptoms wheeze", US_national_yearly!$D:$AM, 23, FALSE) / VLOOKUP("transport|SO2|Asthma symptoms wheeze", US_national_yearly!$D:$AM, 10, FALSE), 1)</f>
        <v>5.0734505446780806E-3</v>
      </c>
      <c r="P8" s="7">
        <f>$B8 * IFERROR(VLOOKUP("transport|SO2|Asthma symptoms wheeze", US_national_yearly!$D:$AM, 24, FALSE) / VLOOKUP("transport|SO2|Asthma symptoms wheeze", US_national_yearly!$D:$AM, 10, FALSE), 1)</f>
        <v>5.0734505446780806E-3</v>
      </c>
      <c r="Q8" s="7">
        <f>$B8 * IFERROR(VLOOKUP("transport|SO2|Asthma symptoms wheeze", US_national_yearly!$D:$AM, 25, FALSE) / VLOOKUP("transport|SO2|Asthma symptoms wheeze", US_national_yearly!$D:$AM, 10, FALSE), 1)</f>
        <v>5.0734505446780806E-3</v>
      </c>
      <c r="R8" s="7">
        <f>$B8 * IFERROR(VLOOKUP("transport|SO2|Asthma symptoms wheeze", US_national_yearly!$D:$AM, 26, FALSE) / VLOOKUP("transport|SO2|Asthma symptoms wheeze", US_national_yearly!$D:$AM, 10, FALSE), 1)</f>
        <v>5.0734505446780806E-3</v>
      </c>
      <c r="S8" s="7">
        <f>$B8 * IFERROR(VLOOKUP("transport|SO2|Asthma symptoms wheeze", US_national_yearly!$D:$AM, 27, FALSE) / VLOOKUP("transport|SO2|Asthma symptoms wheeze", US_national_yearly!$D:$AM, 10, FALSE), 1)</f>
        <v>5.0734505446780806E-3</v>
      </c>
      <c r="T8" s="7">
        <f>$B8 * IFERROR(VLOOKUP("transport|SO2|Asthma symptoms wheeze", US_national_yearly!$D:$AM, 28, FALSE) / VLOOKUP("transport|SO2|Asthma symptoms wheeze", US_national_yearly!$D:$AM, 10, FALSE), 1)</f>
        <v>5.0734505446780806E-3</v>
      </c>
      <c r="U8" s="7">
        <f>$B8 * IFERROR(VLOOKUP("transport|SO2|Asthma symptoms wheeze", US_national_yearly!$D:$AM, 29, FALSE) / VLOOKUP("transport|SO2|Asthma symptoms wheeze", US_national_yearly!$D:$AM, 10, FALSE), 1)</f>
        <v>5.0734505446780806E-3</v>
      </c>
      <c r="V8" s="7">
        <f>$B8 * IFERROR(VLOOKUP("transport|SO2|Asthma symptoms wheeze", US_national_yearly!$D:$AM, 30, FALSE) / VLOOKUP("transport|SO2|Asthma symptoms wheeze", US_national_yearly!$D:$AM, 10, FALSE), 1)</f>
        <v>5.0734505446780806E-3</v>
      </c>
      <c r="W8" s="7">
        <f>$B8 * IFERROR(VLOOKUP("transport|SO2|Asthma symptoms wheeze", US_national_yearly!$D:$AM, 31, FALSE) / VLOOKUP("transport|SO2|Asthma symptoms wheeze", US_national_yearly!$D:$AM, 10, FALSE), 1)</f>
        <v>5.0734505446780806E-3</v>
      </c>
      <c r="X8" s="7">
        <f>$B8 * IFERROR(VLOOKUP("transport|SO2|Asthma symptoms wheeze", US_national_yearly!$D:$AM, 32, FALSE) / VLOOKUP("transport|SO2|Asthma symptoms wheeze", US_national_yearly!$D:$AM, 10, FALSE), 1)</f>
        <v>5.0734505446780806E-3</v>
      </c>
      <c r="Y8" s="7">
        <f>$B8 * IFERROR(VLOOKUP("transport|SO2|Asthma symptoms wheeze", US_national_yearly!$D:$AM, 33, FALSE) / VLOOKUP("transport|SO2|Asthma symptoms wheeze", US_national_yearly!$D:$AM, 10, FALSE), 1)</f>
        <v>5.0734505446780806E-3</v>
      </c>
      <c r="Z8" s="7">
        <f>$B8 * IFERROR(VLOOKUP("transport|SO2|Asthma symptoms wheeze", US_national_yearly!$D:$AM, 34, FALSE) / VLOOKUP("transport|SO2|Asthma symptoms wheeze", US_national_yearly!$D:$AM, 10, FALSE), 1)</f>
        <v>5.0734505446780806E-3</v>
      </c>
      <c r="AA8" s="7">
        <f>$B8 * IFERROR(VLOOKUP("transport|SO2|Asthma symptoms wheeze", US_national_yearly!$D:$AM, 35, FALSE) / VLOOKUP("transport|SO2|Asthma symptoms wheeze", US_national_yearly!$D:$AM, 10, FALSE), 1)</f>
        <v>5.0734505446780806E-3</v>
      </c>
      <c r="AB8" s="7">
        <f>$B8 * IFERROR(VLOOKUP("transport|SO2|Asthma symptoms wheeze", US_national_yearly!$D:$AM, 36, FALSE) / VLOOKUP("transport|SO2|Asthma symptoms wheeze", US_national_yearly!$D:$AM, 10, FALSE), 1)</f>
        <v>5.0734505446780806E-3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6.2873947551537741E-5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6.3244781218711215E-5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6.3615614885884688E-5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6.3986448553058161E-5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6.4357282220231635E-5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6.4761553466334245E-5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6.5165824712436855E-5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6.5564484295298415E-5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6.5963143878160002E-5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6.6361803461021561E-5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6.6760463043883135E-5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6.7159122626744695E-5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6.7450131816171381E-5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6.7741141005598041E-5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6.8032150195024714E-5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6.83231593844514E-5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6.8614168573878059E-5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6.8891769135963389E-5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6.9169369698048706E-5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6.9446970260134036E-5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6.9724570822219366E-5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7.0002171384304695E-5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7.0265568741127672E-5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7.0528966097950648E-5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7.0792363454773625E-5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7.1055760811596601E-5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7.1319158168419605E-5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3.5310762028951579E-4</v>
      </c>
      <c r="C13" s="7">
        <f>$B13 * IFERROR(VLOOKUP("transport|SO2|Non-fatal heart attacks", US_national_yearly!$D:$AM, 11, FALSE) / VLOOKUP("transport|SO2|Non-fatal heart attacks", US_national_yearly!$D:$AM, 10, FALSE), 1)</f>
        <v>3.6347357746401547E-4</v>
      </c>
      <c r="D13" s="7">
        <f>$B13 * IFERROR(VLOOKUP("transport|SO2|Non-fatal heart attacks", US_national_yearly!$D:$AM, 12, FALSE) / VLOOKUP("transport|SO2|Non-fatal heart attacks", US_national_yearly!$D:$AM, 10, FALSE), 1)</f>
        <v>3.7383953463851515E-4</v>
      </c>
      <c r="E13" s="7">
        <f>$B13 * IFERROR(VLOOKUP("transport|SO2|Non-fatal heart attacks", US_national_yearly!$D:$AM, 13, FALSE) / VLOOKUP("transport|SO2|Non-fatal heart attacks", US_national_yearly!$D:$AM, 10, FALSE), 1)</f>
        <v>3.8420549181301489E-4</v>
      </c>
      <c r="F13" s="7">
        <f>$B13 * IFERROR(VLOOKUP("transport|SO2|Non-fatal heart attacks", US_national_yearly!$D:$AM, 14, FALSE) / VLOOKUP("transport|SO2|Non-fatal heart attacks", US_national_yearly!$D:$AM, 10, FALSE), 1)</f>
        <v>3.9457144898751446E-4</v>
      </c>
      <c r="G13" s="7">
        <f>$B13 * IFERROR(VLOOKUP("transport|SO2|Non-fatal heart attacks", US_national_yearly!$D:$AM, 15, FALSE) / VLOOKUP("transport|SO2|Non-fatal heart attacks", US_national_yearly!$D:$AM, 10, FALSE), 1)</f>
        <v>4.0434750810433361E-4</v>
      </c>
      <c r="H13" s="7">
        <f>$B13 * IFERROR(VLOOKUP("transport|SO2|Non-fatal heart attacks", US_national_yearly!$D:$AM, 16, FALSE) / VLOOKUP("transport|SO2|Non-fatal heart attacks", US_national_yearly!$D:$AM, 10, FALSE), 1)</f>
        <v>4.1412356722115272E-4</v>
      </c>
      <c r="I13" s="7">
        <f>$B13 * IFERROR(VLOOKUP("transport|SO2|Non-fatal heart attacks", US_national_yearly!$D:$AM, 17, FALSE) / VLOOKUP("transport|SO2|Non-fatal heart attacks", US_national_yearly!$D:$AM, 10, FALSE), 1)</f>
        <v>4.219902301573962E-4</v>
      </c>
      <c r="J13" s="7">
        <f>$B13 * IFERROR(VLOOKUP("transport|SO2|Non-fatal heart attacks", US_national_yearly!$D:$AM, 18, FALSE) / VLOOKUP("transport|SO2|Non-fatal heart attacks", US_national_yearly!$D:$AM, 10, FALSE), 1)</f>
        <v>4.2985689309363979E-4</v>
      </c>
      <c r="K13" s="7">
        <f>$B13 * IFERROR(VLOOKUP("transport|SO2|Non-fatal heart attacks", US_national_yearly!$D:$AM, 19, FALSE) / VLOOKUP("transport|SO2|Non-fatal heart attacks", US_national_yearly!$D:$AM, 10, FALSE), 1)</f>
        <v>4.3772355602988332E-4</v>
      </c>
      <c r="L13" s="7">
        <f>$B13 * IFERROR(VLOOKUP("transport|SO2|Non-fatal heart attacks", US_national_yearly!$D:$AM, 20, FALSE) / VLOOKUP("transport|SO2|Non-fatal heart attacks", US_national_yearly!$D:$AM, 10, FALSE), 1)</f>
        <v>4.4559021896612696E-4</v>
      </c>
      <c r="M13" s="7">
        <f>$B13 * IFERROR(VLOOKUP("transport|SO2|Non-fatal heart attacks", US_national_yearly!$D:$AM, 21, FALSE) / VLOOKUP("transport|SO2|Non-fatal heart attacks", US_national_yearly!$D:$AM, 10, FALSE), 1)</f>
        <v>4.5345688190237055E-4</v>
      </c>
      <c r="N13" s="7">
        <f>$B13 * IFERROR(VLOOKUP("transport|SO2|Non-fatal heart attacks", US_national_yearly!$D:$AM, 22, FALSE) / VLOOKUP("transport|SO2|Non-fatal heart attacks", US_national_yearly!$D:$AM, 10, FALSE), 1)</f>
        <v>4.5856480118877137E-4</v>
      </c>
      <c r="O13" s="7">
        <f>$B13 * IFERROR(VLOOKUP("transport|SO2|Non-fatal heart attacks", US_national_yearly!$D:$AM, 23, FALSE) / VLOOKUP("transport|SO2|Non-fatal heart attacks", US_national_yearly!$D:$AM, 10, FALSE), 1)</f>
        <v>4.6367272047517235E-4</v>
      </c>
      <c r="P13" s="7">
        <f>$B13 * IFERROR(VLOOKUP("transport|SO2|Non-fatal heart attacks", US_national_yearly!$D:$AM, 24, FALSE) / VLOOKUP("transport|SO2|Non-fatal heart attacks", US_national_yearly!$D:$AM, 10, FALSE), 1)</f>
        <v>4.6878063976157327E-4</v>
      </c>
      <c r="Q13" s="7">
        <f>$B13 * IFERROR(VLOOKUP("transport|SO2|Non-fatal heart attacks", US_national_yearly!$D:$AM, 25, FALSE) / VLOOKUP("transport|SO2|Non-fatal heart attacks", US_national_yearly!$D:$AM, 10, FALSE), 1)</f>
        <v>4.738885590479742E-4</v>
      </c>
      <c r="R13" s="7">
        <f>$B13 * IFERROR(VLOOKUP("transport|SO2|Non-fatal heart attacks", US_national_yearly!$D:$AM, 26, FALSE) / VLOOKUP("transport|SO2|Non-fatal heart attacks", US_national_yearly!$D:$AM, 10, FALSE), 1)</f>
        <v>4.7899647833437507E-4</v>
      </c>
      <c r="S13" s="7">
        <f>$B13 * IFERROR(VLOOKUP("transport|SO2|Non-fatal heart attacks", US_national_yearly!$D:$AM, 27, FALSE) / VLOOKUP("transport|SO2|Non-fatal heart attacks", US_national_yearly!$D:$AM, 10, FALSE), 1)</f>
        <v>4.816632942628366E-4</v>
      </c>
      <c r="T13" s="7">
        <f>$B13 * IFERROR(VLOOKUP("transport|SO2|Non-fatal heart attacks", US_national_yearly!$D:$AM, 28, FALSE) / VLOOKUP("transport|SO2|Non-fatal heart attacks", US_national_yearly!$D:$AM, 10, FALSE), 1)</f>
        <v>4.8433011019129808E-4</v>
      </c>
      <c r="U13" s="7">
        <f>$B13 * IFERROR(VLOOKUP("transport|SO2|Non-fatal heart attacks", US_national_yearly!$D:$AM, 29, FALSE) / VLOOKUP("transport|SO2|Non-fatal heart attacks", US_national_yearly!$D:$AM, 10, FALSE), 1)</f>
        <v>4.8699692611975945E-4</v>
      </c>
      <c r="V13" s="7">
        <f>$B13 * IFERROR(VLOOKUP("transport|SO2|Non-fatal heart attacks", US_national_yearly!$D:$AM, 30, FALSE) / VLOOKUP("transport|SO2|Non-fatal heart attacks", US_national_yearly!$D:$AM, 10, FALSE), 1)</f>
        <v>4.8966374204822093E-4</v>
      </c>
      <c r="W13" s="7">
        <f>$B13 * IFERROR(VLOOKUP("transport|SO2|Non-fatal heart attacks", US_national_yearly!$D:$AM, 31, FALSE) / VLOOKUP("transport|SO2|Non-fatal heart attacks", US_national_yearly!$D:$AM, 10, FALSE), 1)</f>
        <v>4.9233055797668246E-4</v>
      </c>
      <c r="X13" s="7">
        <f>$B13 * IFERROR(VLOOKUP("transport|SO2|Non-fatal heart attacks", US_national_yearly!$D:$AM, 32, FALSE) / VLOOKUP("transport|SO2|Non-fatal heart attacks", US_national_yearly!$D:$AM, 10, FALSE), 1)</f>
        <v>4.9434377072601118E-4</v>
      </c>
      <c r="Y13" s="7">
        <f>$B13 * IFERROR(VLOOKUP("transport|SO2|Non-fatal heart attacks", US_national_yearly!$D:$AM, 33, FALSE) / VLOOKUP("transport|SO2|Non-fatal heart attacks", US_national_yearly!$D:$AM, 10, FALSE), 1)</f>
        <v>4.9635698347533989E-4</v>
      </c>
      <c r="Z13" s="7">
        <f>$B13 * IFERROR(VLOOKUP("transport|SO2|Non-fatal heart attacks", US_national_yearly!$D:$AM, 34, FALSE) / VLOOKUP("transport|SO2|Non-fatal heart attacks", US_national_yearly!$D:$AM, 10, FALSE), 1)</f>
        <v>4.9837019622466872E-4</v>
      </c>
      <c r="AA13" s="7">
        <f>$B13 * IFERROR(VLOOKUP("transport|SO2|Non-fatal heart attacks", US_national_yearly!$D:$AM, 35, FALSE) / VLOOKUP("transport|SO2|Non-fatal heart attacks", US_national_yearly!$D:$AM, 10, FALSE), 1)</f>
        <v>5.0038340897399743E-4</v>
      </c>
      <c r="AB13" s="7">
        <f>$B13 * IFERROR(VLOOKUP("transport|SO2|Non-fatal heart attacks", US_national_yearly!$D:$AM, 36, FALSE) / VLOOKUP("transport|SO2|Non-fatal heart attacks", US_national_yearly!$D:$AM, 10, FALSE), 1)</f>
        <v>5.0239662172332615E-4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0.26915179807784501</v>
      </c>
      <c r="C14" s="7">
        <f>$B14 * IFERROR(VLOOKUP("transport|SO2|Minor restricted activity days", US_national_yearly!$D:$AM, 11, FALSE) / VLOOKUP("transport|SO2|Minor restricted activity days", US_national_yearly!$D:$AM, 10, FALSE), 1)</f>
        <v>0.26983024008148659</v>
      </c>
      <c r="D14" s="7">
        <f>$B14 * IFERROR(VLOOKUP("transport|SO2|Minor restricted activity days", US_national_yearly!$D:$AM, 12, FALSE) / VLOOKUP("transport|SO2|Minor restricted activity days", US_national_yearly!$D:$AM, 10, FALSE), 1)</f>
        <v>0.27050868208512807</v>
      </c>
      <c r="E14" s="7">
        <f>$B14 * IFERROR(VLOOKUP("transport|SO2|Minor restricted activity days", US_national_yearly!$D:$AM, 13, FALSE) / VLOOKUP("transport|SO2|Minor restricted activity days", US_national_yearly!$D:$AM, 10, FALSE), 1)</f>
        <v>0.27118712408876966</v>
      </c>
      <c r="F14" s="7">
        <f>$B14 * IFERROR(VLOOKUP("transport|SO2|Minor restricted activity days", US_national_yearly!$D:$AM, 14, FALSE) / VLOOKUP("transport|SO2|Minor restricted activity days", US_national_yearly!$D:$AM, 10, FALSE), 1)</f>
        <v>0.27186556609241114</v>
      </c>
      <c r="G14" s="7">
        <f>$B14 * IFERROR(VLOOKUP("transport|SO2|Minor restricted activity days", US_national_yearly!$D:$AM, 15, FALSE) / VLOOKUP("transport|SO2|Minor restricted activity days", US_national_yearly!$D:$AM, 10, FALSE), 1)</f>
        <v>0.27286416607125691</v>
      </c>
      <c r="H14" s="7">
        <f>$B14 * IFERROR(VLOOKUP("transport|SO2|Minor restricted activity days", US_national_yearly!$D:$AM, 16, FALSE) / VLOOKUP("transport|SO2|Minor restricted activity days", US_national_yearly!$D:$AM, 10, FALSE), 1)</f>
        <v>0.27386276605010262</v>
      </c>
      <c r="I14" s="7">
        <f>$B14 * IFERROR(VLOOKUP("transport|SO2|Minor restricted activity days", US_national_yearly!$D:$AM, 17, FALSE) / VLOOKUP("transport|SO2|Minor restricted activity days", US_national_yearly!$D:$AM, 10, FALSE), 1)</f>
        <v>0.27556578523360042</v>
      </c>
      <c r="J14" s="7">
        <f>$B14 * IFERROR(VLOOKUP("transport|SO2|Minor restricted activity days", US_national_yearly!$D:$AM, 18, FALSE) / VLOOKUP("transport|SO2|Minor restricted activity days", US_national_yearly!$D:$AM, 10, FALSE), 1)</f>
        <v>0.27726880441709817</v>
      </c>
      <c r="K14" s="7">
        <f>$B14 * IFERROR(VLOOKUP("transport|SO2|Minor restricted activity days", US_national_yearly!$D:$AM, 19, FALSE) / VLOOKUP("transport|SO2|Minor restricted activity days", US_national_yearly!$D:$AM, 10, FALSE), 1)</f>
        <v>0.27897182360059597</v>
      </c>
      <c r="L14" s="7">
        <f>$B14 * IFERROR(VLOOKUP("transport|SO2|Minor restricted activity days", US_national_yearly!$D:$AM, 20, FALSE) / VLOOKUP("transport|SO2|Minor restricted activity days", US_national_yearly!$D:$AM, 10, FALSE), 1)</f>
        <v>0.28067484278409377</v>
      </c>
      <c r="M14" s="7">
        <f>$B14 * IFERROR(VLOOKUP("transport|SO2|Minor restricted activity days", US_national_yearly!$D:$AM, 21, FALSE) / VLOOKUP("transport|SO2|Minor restricted activity days", US_national_yearly!$D:$AM, 10, FALSE), 1)</f>
        <v>0.28237786196759151</v>
      </c>
      <c r="N14" s="7">
        <f>$B14 * IFERROR(VLOOKUP("transport|SO2|Minor restricted activity days", US_national_yearly!$D:$AM, 22, FALSE) / VLOOKUP("transport|SO2|Minor restricted activity days", US_national_yearly!$D:$AM, 10, FALSE), 1)</f>
        <v>0.28470731894589807</v>
      </c>
      <c r="O14" s="7">
        <f>$B14 * IFERROR(VLOOKUP("transport|SO2|Minor restricted activity days", US_national_yearly!$D:$AM, 23, FALSE) / VLOOKUP("transport|SO2|Minor restricted activity days", US_national_yearly!$D:$AM, 10, FALSE), 1)</f>
        <v>0.28703677592420462</v>
      </c>
      <c r="P14" s="7">
        <f>$B14 * IFERROR(VLOOKUP("transport|SO2|Minor restricted activity days", US_national_yearly!$D:$AM, 24, FALSE) / VLOOKUP("transport|SO2|Minor restricted activity days", US_national_yearly!$D:$AM, 10, FALSE), 1)</f>
        <v>0.28936623290251123</v>
      </c>
      <c r="Q14" s="7">
        <f>$B14 * IFERROR(VLOOKUP("transport|SO2|Minor restricted activity days", US_national_yearly!$D:$AM, 25, FALSE) / VLOOKUP("transport|SO2|Minor restricted activity days", US_national_yearly!$D:$AM, 10, FALSE), 1)</f>
        <v>0.29169568988081779</v>
      </c>
      <c r="R14" s="7">
        <f>$B14 * IFERROR(VLOOKUP("transport|SO2|Minor restricted activity days", US_national_yearly!$D:$AM, 26, FALSE) / VLOOKUP("transport|SO2|Minor restricted activity days", US_national_yearly!$D:$AM, 10, FALSE), 1)</f>
        <v>0.29402514685912434</v>
      </c>
      <c r="S14" s="7">
        <f>$B14 * IFERROR(VLOOKUP("transport|SO2|Minor restricted activity days", US_national_yearly!$D:$AM, 27, FALSE) / VLOOKUP("transport|SO2|Minor restricted activity days", US_national_yearly!$D:$AM, 10, FALSE), 1)</f>
        <v>0.29640025624160521</v>
      </c>
      <c r="T14" s="7">
        <f>$B14 * IFERROR(VLOOKUP("transport|SO2|Minor restricted activity days", US_national_yearly!$D:$AM, 28, FALSE) / VLOOKUP("transport|SO2|Minor restricted activity days", US_national_yearly!$D:$AM, 10, FALSE), 1)</f>
        <v>0.29877536562408608</v>
      </c>
      <c r="U14" s="7">
        <f>$B14 * IFERROR(VLOOKUP("transport|SO2|Minor restricted activity days", US_national_yearly!$D:$AM, 29, FALSE) / VLOOKUP("transport|SO2|Minor restricted activity days", US_national_yearly!$D:$AM, 10, FALSE), 1)</f>
        <v>0.30115047500656689</v>
      </c>
      <c r="V14" s="7">
        <f>$B14 * IFERROR(VLOOKUP("transport|SO2|Minor restricted activity days", US_national_yearly!$D:$AM, 30, FALSE) / VLOOKUP("transport|SO2|Minor restricted activity days", US_national_yearly!$D:$AM, 10, FALSE), 1)</f>
        <v>0.30352558438904775</v>
      </c>
      <c r="W14" s="7">
        <f>$B14 * IFERROR(VLOOKUP("transport|SO2|Minor restricted activity days", US_national_yearly!$D:$AM, 31, FALSE) / VLOOKUP("transport|SO2|Minor restricted activity days", US_national_yearly!$D:$AM, 10, FALSE), 1)</f>
        <v>0.30590069377152868</v>
      </c>
      <c r="X14" s="7">
        <f>$B14 * IFERROR(VLOOKUP("transport|SO2|Minor restricted activity days", US_national_yearly!$D:$AM, 32, FALSE) / VLOOKUP("transport|SO2|Minor restricted activity days", US_national_yearly!$D:$AM, 10, FALSE), 1)</f>
        <v>0.30798941320376505</v>
      </c>
      <c r="Y14" s="7">
        <f>$B14 * IFERROR(VLOOKUP("transport|SO2|Minor restricted activity days", US_national_yearly!$D:$AM, 33, FALSE) / VLOOKUP("transport|SO2|Minor restricted activity days", US_national_yearly!$D:$AM, 10, FALSE), 1)</f>
        <v>0.31007813263600142</v>
      </c>
      <c r="Z14" s="7">
        <f>$B14 * IFERROR(VLOOKUP("transport|SO2|Minor restricted activity days", US_national_yearly!$D:$AM, 34, FALSE) / VLOOKUP("transport|SO2|Minor restricted activity days", US_national_yearly!$D:$AM, 10, FALSE), 1)</f>
        <v>0.31216685206823785</v>
      </c>
      <c r="AA14" s="7">
        <f>$B14 * IFERROR(VLOOKUP("transport|SO2|Minor restricted activity days", US_national_yearly!$D:$AM, 35, FALSE) / VLOOKUP("transport|SO2|Minor restricted activity days", US_national_yearly!$D:$AM, 10, FALSE), 1)</f>
        <v>0.31425557150047423</v>
      </c>
      <c r="AB14" s="7">
        <f>$B14 * IFERROR(VLOOKUP("transport|SO2|Minor restricted activity days", US_national_yearly!$D:$AM, 36, FALSE) / VLOOKUP("transport|SO2|Minor restricted activity days", US_national_yearly!$D:$AM, 10, FALSE), 1)</f>
        <v>0.31634429093271066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4.5799757551748296E-2</v>
      </c>
      <c r="C15" s="7">
        <f>$B15 * IFERROR(VLOOKUP("transport|SO2|Work loss days", US_national_yearly!$D:$AM, 11, FALSE) / VLOOKUP("transport|SO2|Work loss days", US_national_yearly!$D:$AM, 10, FALSE), 1)</f>
        <v>4.5948141486988378E-2</v>
      </c>
      <c r="D15" s="7">
        <f>$B15 * IFERROR(VLOOKUP("transport|SO2|Work loss days", US_national_yearly!$D:$AM, 12, FALSE) / VLOOKUP("transport|SO2|Work loss days", US_national_yearly!$D:$AM, 10, FALSE), 1)</f>
        <v>4.609652542222846E-2</v>
      </c>
      <c r="E15" s="7">
        <f>$B15 * IFERROR(VLOOKUP("transport|SO2|Work loss days", US_national_yearly!$D:$AM, 13, FALSE) / VLOOKUP("transport|SO2|Work loss days", US_national_yearly!$D:$AM, 10, FALSE), 1)</f>
        <v>4.6244909357468542E-2</v>
      </c>
      <c r="F15" s="7">
        <f>$B15 * IFERROR(VLOOKUP("transport|SO2|Work loss days", US_national_yearly!$D:$AM, 14, FALSE) / VLOOKUP("transport|SO2|Work loss days", US_national_yearly!$D:$AM, 10, FALSE), 1)</f>
        <v>4.639329329270863E-2</v>
      </c>
      <c r="G15" s="7">
        <f>$B15 * IFERROR(VLOOKUP("transport|SO2|Work loss days", US_national_yearly!$D:$AM, 15, FALSE) / VLOOKUP("transport|SO2|Work loss days", US_national_yearly!$D:$AM, 10, FALSE), 1)</f>
        <v>4.6587175060034722E-2</v>
      </c>
      <c r="H15" s="7">
        <f>$B15 * IFERROR(VLOOKUP("transport|SO2|Work loss days", US_national_yearly!$D:$AM, 16, FALSE) / VLOOKUP("transport|SO2|Work loss days", US_national_yearly!$D:$AM, 10, FALSE), 1)</f>
        <v>4.6781056827360806E-2</v>
      </c>
      <c r="I15" s="7">
        <f>$B15 * IFERROR(VLOOKUP("transport|SO2|Work loss days", US_national_yearly!$D:$AM, 17, FALSE) / VLOOKUP("transport|SO2|Work loss days", US_national_yearly!$D:$AM, 10, FALSE), 1)</f>
        <v>4.7064679826209301E-2</v>
      </c>
      <c r="J15" s="7">
        <f>$B15 * IFERROR(VLOOKUP("transport|SO2|Work loss days", US_national_yearly!$D:$AM, 18, FALSE) / VLOOKUP("transport|SO2|Work loss days", US_national_yearly!$D:$AM, 10, FALSE), 1)</f>
        <v>4.7348302825057781E-2</v>
      </c>
      <c r="K15" s="7">
        <f>$B15 * IFERROR(VLOOKUP("transport|SO2|Work loss days", US_national_yearly!$D:$AM, 19, FALSE) / VLOOKUP("transport|SO2|Work loss days", US_national_yearly!$D:$AM, 10, FALSE), 1)</f>
        <v>4.7631925823906275E-2</v>
      </c>
      <c r="L15" s="7">
        <f>$B15 * IFERROR(VLOOKUP("transport|SO2|Work loss days", US_national_yearly!$D:$AM, 20, FALSE) / VLOOKUP("transport|SO2|Work loss days", US_national_yearly!$D:$AM, 10, FALSE), 1)</f>
        <v>4.7915548822754769E-2</v>
      </c>
      <c r="M15" s="7">
        <f>$B15 * IFERROR(VLOOKUP("transport|SO2|Work loss days", US_national_yearly!$D:$AM, 21, FALSE) / VLOOKUP("transport|SO2|Work loss days", US_national_yearly!$D:$AM, 10, FALSE), 1)</f>
        <v>4.8199171821603264E-2</v>
      </c>
      <c r="N15" s="7">
        <f>$B15 * IFERROR(VLOOKUP("transport|SO2|Work loss days", US_national_yearly!$D:$AM, 22, FALSE) / VLOOKUP("transport|SO2|Work loss days", US_national_yearly!$D:$AM, 10, FALSE), 1)</f>
        <v>4.8554789100888333E-2</v>
      </c>
      <c r="O15" s="7">
        <f>$B15 * IFERROR(VLOOKUP("transport|SO2|Work loss days", US_national_yearly!$D:$AM, 23, FALSE) / VLOOKUP("transport|SO2|Work loss days", US_national_yearly!$D:$AM, 10, FALSE), 1)</f>
        <v>4.8910406380173403E-2</v>
      </c>
      <c r="P15" s="7">
        <f>$B15 * IFERROR(VLOOKUP("transport|SO2|Work loss days", US_national_yearly!$D:$AM, 24, FALSE) / VLOOKUP("transport|SO2|Work loss days", US_national_yearly!$D:$AM, 10, FALSE), 1)</f>
        <v>4.9266023659458459E-2</v>
      </c>
      <c r="Q15" s="7">
        <f>$B15 * IFERROR(VLOOKUP("transport|SO2|Work loss days", US_national_yearly!$D:$AM, 25, FALSE) / VLOOKUP("transport|SO2|Work loss days", US_national_yearly!$D:$AM, 10, FALSE), 1)</f>
        <v>4.9621640938743529E-2</v>
      </c>
      <c r="R15" s="7">
        <f>$B15 * IFERROR(VLOOKUP("transport|SO2|Work loss days", US_national_yearly!$D:$AM, 26, FALSE) / VLOOKUP("transport|SO2|Work loss days", US_national_yearly!$D:$AM, 10, FALSE), 1)</f>
        <v>4.9977258218028599E-2</v>
      </c>
      <c r="S15" s="7">
        <f>$B15 * IFERROR(VLOOKUP("transport|SO2|Work loss days", US_national_yearly!$D:$AM, 27, FALSE) / VLOOKUP("transport|SO2|Work loss days", US_national_yearly!$D:$AM, 10, FALSE), 1)</f>
        <v>5.0374659355174468E-2</v>
      </c>
      <c r="T15" s="7">
        <f>$B15 * IFERROR(VLOOKUP("transport|SO2|Work loss days", US_national_yearly!$D:$AM, 28, FALSE) / VLOOKUP("transport|SO2|Work loss days", US_national_yearly!$D:$AM, 10, FALSE), 1)</f>
        <v>5.0772060492320345E-2</v>
      </c>
      <c r="U15" s="7">
        <f>$B15 * IFERROR(VLOOKUP("transport|SO2|Work loss days", US_national_yearly!$D:$AM, 29, FALSE) / VLOOKUP("transport|SO2|Work loss days", US_national_yearly!$D:$AM, 10, FALSE), 1)</f>
        <v>5.1169461629466208E-2</v>
      </c>
      <c r="V15" s="7">
        <f>$B15 * IFERROR(VLOOKUP("transport|SO2|Work loss days", US_national_yearly!$D:$AM, 30, FALSE) / VLOOKUP("transport|SO2|Work loss days", US_national_yearly!$D:$AM, 10, FALSE), 1)</f>
        <v>5.1566862766612077E-2</v>
      </c>
      <c r="W15" s="7">
        <f>$B15 * IFERROR(VLOOKUP("transport|SO2|Work loss days", US_national_yearly!$D:$AM, 31, FALSE) / VLOOKUP("transport|SO2|Work loss days", US_national_yearly!$D:$AM, 10, FALSE), 1)</f>
        <v>5.1964263903757954E-2</v>
      </c>
      <c r="X15" s="7">
        <f>$B15 * IFERROR(VLOOKUP("transport|SO2|Work loss days", US_national_yearly!$D:$AM, 32, FALSE) / VLOOKUP("transport|SO2|Work loss days", US_national_yearly!$D:$AM, 10, FALSE), 1)</f>
        <v>5.2321075348487255E-2</v>
      </c>
      <c r="Y15" s="7">
        <f>$B15 * IFERROR(VLOOKUP("transport|SO2|Work loss days", US_national_yearly!$D:$AM, 33, FALSE) / VLOOKUP("transport|SO2|Work loss days", US_national_yearly!$D:$AM, 10, FALSE), 1)</f>
        <v>5.2677886793216562E-2</v>
      </c>
      <c r="Z15" s="7">
        <f>$B15 * IFERROR(VLOOKUP("transport|SO2|Work loss days", US_national_yearly!$D:$AM, 34, FALSE) / VLOOKUP("transport|SO2|Work loss days", US_national_yearly!$D:$AM, 10, FALSE), 1)</f>
        <v>5.3034698237945876E-2</v>
      </c>
      <c r="AA15" s="7">
        <f>$B15 * IFERROR(VLOOKUP("transport|SO2|Work loss days", US_national_yearly!$D:$AM, 35, FALSE) / VLOOKUP("transport|SO2|Work loss days", US_national_yearly!$D:$AM, 10, FALSE), 1)</f>
        <v>5.3391509682675184E-2</v>
      </c>
      <c r="AB15" s="7">
        <f>$B15 * IFERROR(VLOOKUP("transport|SO2|Work loss days", US_national_yearly!$D:$AM, 36, FALSE) / VLOOKUP("transport|SO2|Work loss days", US_national_yearly!$D:$AM, 10, FALSE), 1)</f>
        <v>5.3748321127404491E-2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8.8072844935964273E-5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9.0736505034897684E-5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9.3400165133831109E-5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9.606382523276452E-5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9.8727485331697958E-5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1.0127901843198888E-4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1.0383055153227982E-4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1.0601671747189132E-4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1.0820288341150281E-4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1.103890493511143E-4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1.125752152907258E-4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1.1476138123033728E-4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1.1622998675551629E-4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1.1769859228069527E-4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1.1916719780587425E-4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1.2063580333105325E-4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1.2210440885623226E-4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1.2287679079766534E-4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1.2364917273909845E-4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1.2442155468053153E-4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1.2519393662196462E-4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1.2596631856339773E-4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1.2648484409367799E-4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1.2700336962395825E-4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1.2752189515423854E-4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1.2804042068451882E-4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1.2855894621479908E-4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5.4424164584395245E-3</v>
      </c>
      <c r="C2" s="7">
        <f>$B2 * IFERROR(VLOOKUP("electricity|PM25|Premature mortality", US_national_yearly!$D:$AM, 11, FALSE) / VLOOKUP("electricity|PM25|Premature mortality", US_national_yearly!$D:$AM, 10, FALSE), 1)</f>
        <v>5.5098275225617457E-3</v>
      </c>
      <c r="D2" s="7">
        <f>$B2 * IFERROR(VLOOKUP("electricity|PM25|Premature mortality", US_national_yearly!$D:$AM, 12, FALSE) / VLOOKUP("electricity|PM25|Premature mortality", US_national_yearly!$D:$AM, 10, FALSE), 1)</f>
        <v>5.577238586683967E-3</v>
      </c>
      <c r="E2" s="7">
        <f>$B2 * IFERROR(VLOOKUP("electricity|PM25|Premature mortality", US_national_yearly!$D:$AM, 13, FALSE) / VLOOKUP("electricity|PM25|Premature mortality", US_national_yearly!$D:$AM, 10, FALSE), 1)</f>
        <v>5.6446496508061883E-3</v>
      </c>
      <c r="F2" s="7">
        <f>$B2 * IFERROR(VLOOKUP("electricity|PM25|Premature mortality", US_national_yearly!$D:$AM, 14, FALSE) / VLOOKUP("electricity|PM25|Premature mortality", US_national_yearly!$D:$AM, 10, FALSE), 1)</f>
        <v>5.7120607149284105E-3</v>
      </c>
      <c r="G2" s="7">
        <f>$B2 * IFERROR(VLOOKUP("electricity|PM25|Premature mortality", US_national_yearly!$D:$AM, 15, FALSE) / VLOOKUP("electricity|PM25|Premature mortality", US_national_yearly!$D:$AM, 10, FALSE), 1)</f>
        <v>5.8444596298977596E-3</v>
      </c>
      <c r="H2" s="7">
        <f>$B2 * IFERROR(VLOOKUP("electricity|PM25|Premature mortality", US_national_yearly!$D:$AM, 16, FALSE) / VLOOKUP("electricity|PM25|Premature mortality", US_national_yearly!$D:$AM, 10, FALSE), 1)</f>
        <v>5.9768585448671096E-3</v>
      </c>
      <c r="I2" s="7">
        <f>$B2 * IFERROR(VLOOKUP("electricity|PM25|Premature mortality", US_national_yearly!$D:$AM, 17, FALSE) / VLOOKUP("electricity|PM25|Premature mortality", US_national_yearly!$D:$AM, 10, FALSE), 1)</f>
        <v>6.0658185004807529E-3</v>
      </c>
      <c r="J2" s="7">
        <f>$B2 * IFERROR(VLOOKUP("electricity|PM25|Premature mortality", US_national_yearly!$D:$AM, 18, FALSE) / VLOOKUP("electricity|PM25|Premature mortality", US_national_yearly!$D:$AM, 10, FALSE), 1)</f>
        <v>6.154778456094398E-3</v>
      </c>
      <c r="K2" s="7">
        <f>$B2 * IFERROR(VLOOKUP("electricity|PM25|Premature mortality", US_national_yearly!$D:$AM, 19, FALSE) / VLOOKUP("electricity|PM25|Premature mortality", US_national_yearly!$D:$AM, 10, FALSE), 1)</f>
        <v>6.2437384117080413E-3</v>
      </c>
      <c r="L2" s="7">
        <f>$B2 * IFERROR(VLOOKUP("electricity|PM25|Premature mortality", US_national_yearly!$D:$AM, 20, FALSE) / VLOOKUP("electricity|PM25|Premature mortality", US_national_yearly!$D:$AM, 10, FALSE), 1)</f>
        <v>6.3326983673216855E-3</v>
      </c>
      <c r="M2" s="7">
        <f>$B2 * IFERROR(VLOOKUP("electricity|PM25|Premature mortality", US_national_yearly!$D:$AM, 21, FALSE) / VLOOKUP("electricity|PM25|Premature mortality", US_national_yearly!$D:$AM, 10, FALSE), 1)</f>
        <v>6.4216583229353297E-3</v>
      </c>
      <c r="N2" s="7">
        <f>$B2 * IFERROR(VLOOKUP("electricity|PM25|Premature mortality", US_national_yearly!$D:$AM, 22, FALSE) / VLOOKUP("electricity|PM25|Premature mortality", US_national_yearly!$D:$AM, 10, FALSE), 1)</f>
        <v>6.4925694792942763E-3</v>
      </c>
      <c r="O2" s="7">
        <f>$B2 * IFERROR(VLOOKUP("electricity|PM25|Premature mortality", US_national_yearly!$D:$AM, 23, FALSE) / VLOOKUP("electricity|PM25|Premature mortality", US_national_yearly!$D:$AM, 10, FALSE), 1)</f>
        <v>6.5634806356532219E-3</v>
      </c>
      <c r="P2" s="7">
        <f>$B2 * IFERROR(VLOOKUP("electricity|PM25|Premature mortality", US_national_yearly!$D:$AM, 24, FALSE) / VLOOKUP("electricity|PM25|Premature mortality", US_national_yearly!$D:$AM, 10, FALSE), 1)</f>
        <v>6.6343917920121693E-3</v>
      </c>
      <c r="Q2" s="7">
        <f>$B2 * IFERROR(VLOOKUP("electricity|PM25|Premature mortality", US_national_yearly!$D:$AM, 25, FALSE) / VLOOKUP("electricity|PM25|Premature mortality", US_national_yearly!$D:$AM, 10, FALSE), 1)</f>
        <v>6.7053029483711149E-3</v>
      </c>
      <c r="R2" s="7">
        <f>$B2 * IFERROR(VLOOKUP("electricity|PM25|Premature mortality", US_national_yearly!$D:$AM, 26, FALSE) / VLOOKUP("electricity|PM25|Premature mortality", US_national_yearly!$D:$AM, 10, FALSE), 1)</f>
        <v>6.7762141047300615E-3</v>
      </c>
      <c r="S2" s="7">
        <f>$B2 * IFERROR(VLOOKUP("electricity|PM25|Premature mortality", US_national_yearly!$D:$AM, 27, FALSE) / VLOOKUP("electricity|PM25|Premature mortality", US_national_yearly!$D:$AM, 10, FALSE), 1)</f>
        <v>6.8167898484645904E-3</v>
      </c>
      <c r="T2" s="7">
        <f>$B2 * IFERROR(VLOOKUP("electricity|PM25|Premature mortality", US_national_yearly!$D:$AM, 28, FALSE) / VLOOKUP("electricity|PM25|Premature mortality", US_national_yearly!$D:$AM, 10, FALSE), 1)</f>
        <v>6.8573655921991177E-3</v>
      </c>
      <c r="U2" s="7">
        <f>$B2 * IFERROR(VLOOKUP("electricity|PM25|Premature mortality", US_national_yearly!$D:$AM, 29, FALSE) / VLOOKUP("electricity|PM25|Premature mortality", US_national_yearly!$D:$AM, 10, FALSE), 1)</f>
        <v>6.8979413359336475E-3</v>
      </c>
      <c r="V2" s="7">
        <f>$B2 * IFERROR(VLOOKUP("electricity|PM25|Premature mortality", US_national_yearly!$D:$AM, 30, FALSE) / VLOOKUP("electricity|PM25|Premature mortality", US_national_yearly!$D:$AM, 10, FALSE), 1)</f>
        <v>6.9385170796681748E-3</v>
      </c>
      <c r="W2" s="7">
        <f>$B2 * IFERROR(VLOOKUP("electricity|PM25|Premature mortality", US_national_yearly!$D:$AM, 31, FALSE) / VLOOKUP("electricity|PM25|Premature mortality", US_national_yearly!$D:$AM, 10, FALSE), 1)</f>
        <v>6.9790928234027029E-3</v>
      </c>
      <c r="X2" s="7">
        <f>$B2 * IFERROR(VLOOKUP("electricity|PM25|Premature mortality", US_national_yearly!$D:$AM, 32, FALSE) / VLOOKUP("electricity|PM25|Premature mortality", US_national_yearly!$D:$AM, 10, FALSE), 1)</f>
        <v>6.9903645026659208E-3</v>
      </c>
      <c r="Y2" s="7">
        <f>$B2 * IFERROR(VLOOKUP("electricity|PM25|Premature mortality", US_national_yearly!$D:$AM, 33, FALSE) / VLOOKUP("electricity|PM25|Premature mortality", US_national_yearly!$D:$AM, 10, FALSE), 1)</f>
        <v>7.0016361819291396E-3</v>
      </c>
      <c r="Z2" s="7">
        <f>$B2 * IFERROR(VLOOKUP("electricity|PM25|Premature mortality", US_national_yearly!$D:$AM, 34, FALSE) / VLOOKUP("electricity|PM25|Premature mortality", US_national_yearly!$D:$AM, 10, FALSE), 1)</f>
        <v>7.0129078611923575E-3</v>
      </c>
      <c r="AA2" s="7">
        <f>$B2 * IFERROR(VLOOKUP("electricity|PM25|Premature mortality", US_national_yearly!$D:$AM, 35, FALSE) / VLOOKUP("electricity|PM25|Premature mortality", US_national_yearly!$D:$AM, 10, FALSE), 1)</f>
        <v>7.0241795404555763E-3</v>
      </c>
      <c r="AB2" s="7">
        <f>$B2 * IFERROR(VLOOKUP("electricity|PM25|Premature mortality", US_national_yearly!$D:$AM, 36, FALSE) / VLOOKUP("electricity|PM25|Premature mortality", US_national_yearly!$D:$AM, 10, FALSE), 1)</f>
        <v>7.0354512197187951E-3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1.8163073284392879E-5</v>
      </c>
      <c r="C3" s="7">
        <f>$B3 * IFERROR(VLOOKUP("electricity|PM25|Infant mortality", US_national_yearly!$D:$AM, 11, FALSE) / VLOOKUP("electricity|PM25|Infant mortality", US_national_yearly!$D:$AM, 10, FALSE), 1)</f>
        <v>1.8004818472616768E-5</v>
      </c>
      <c r="D3" s="7">
        <f>$B3 * IFERROR(VLOOKUP("electricity|PM25|Infant mortality", US_national_yearly!$D:$AM, 12, FALSE) / VLOOKUP("electricity|PM25|Infant mortality", US_national_yearly!$D:$AM, 10, FALSE), 1)</f>
        <v>1.784656366084066E-5</v>
      </c>
      <c r="E3" s="7">
        <f>$B3 * IFERROR(VLOOKUP("electricity|PM25|Infant mortality", US_national_yearly!$D:$AM, 13, FALSE) / VLOOKUP("electricity|PM25|Infant mortality", US_national_yearly!$D:$AM, 10, FALSE), 1)</f>
        <v>1.7688308849064549E-5</v>
      </c>
      <c r="F3" s="7">
        <f>$B3 * IFERROR(VLOOKUP("electricity|PM25|Infant mortality", US_national_yearly!$D:$AM, 14, FALSE) / VLOOKUP("electricity|PM25|Infant mortality", US_national_yearly!$D:$AM, 10, FALSE), 1)</f>
        <v>1.7530054037288438E-5</v>
      </c>
      <c r="G3" s="7">
        <f>$B3 * IFERROR(VLOOKUP("electricity|PM25|Infant mortality", US_national_yearly!$D:$AM, 15, FALSE) / VLOOKUP("electricity|PM25|Infant mortality", US_national_yearly!$D:$AM, 10, FALSE), 1)</f>
        <v>1.1625385453518467E-5</v>
      </c>
      <c r="H3" s="7">
        <f>$B3 * IFERROR(VLOOKUP("electricity|PM25|Infant mortality", US_national_yearly!$D:$AM, 16, FALSE) / VLOOKUP("electricity|PM25|Infant mortality", US_national_yearly!$D:$AM, 10, FALSE), 1)</f>
        <v>5.7207168697484953E-6</v>
      </c>
      <c r="I3" s="7">
        <f>$B3 * IFERROR(VLOOKUP("electricity|PM25|Infant mortality", US_national_yearly!$D:$AM, 17, FALSE) / VLOOKUP("electricity|PM25|Infant mortality", US_national_yearly!$D:$AM, 10, FALSE), 1)</f>
        <v>5.6803259872763818E-6</v>
      </c>
      <c r="J3" s="7">
        <f>$B3 * IFERROR(VLOOKUP("electricity|PM25|Infant mortality", US_national_yearly!$D:$AM, 18, FALSE) / VLOOKUP("electricity|PM25|Infant mortality", US_national_yearly!$D:$AM, 10, FALSE), 1)</f>
        <v>5.6399351048042699E-6</v>
      </c>
      <c r="K3" s="7">
        <f>$B3 * IFERROR(VLOOKUP("electricity|PM25|Infant mortality", US_national_yearly!$D:$AM, 19, FALSE) / VLOOKUP("electricity|PM25|Infant mortality", US_national_yearly!$D:$AM, 10, FALSE), 1)</f>
        <v>5.5995442223321564E-6</v>
      </c>
      <c r="L3" s="7">
        <f>$B3 * IFERROR(VLOOKUP("electricity|PM25|Infant mortality", US_national_yearly!$D:$AM, 20, FALSE) / VLOOKUP("electricity|PM25|Infant mortality", US_national_yearly!$D:$AM, 10, FALSE), 1)</f>
        <v>5.5591533398600437E-6</v>
      </c>
      <c r="M3" s="7">
        <f>$B3 * IFERROR(VLOOKUP("electricity|PM25|Infant mortality", US_national_yearly!$D:$AM, 21, FALSE) / VLOOKUP("electricity|PM25|Infant mortality", US_national_yearly!$D:$AM, 10, FALSE), 1)</f>
        <v>5.518762457387931E-6</v>
      </c>
      <c r="N3" s="7">
        <f>$B3 * IFERROR(VLOOKUP("electricity|PM25|Infant mortality", US_national_yearly!$D:$AM, 22, FALSE) / VLOOKUP("electricity|PM25|Infant mortality", US_national_yearly!$D:$AM, 10, FALSE), 1)</f>
        <v>5.4927857573540378E-6</v>
      </c>
      <c r="O3" s="7">
        <f>$B3 * IFERROR(VLOOKUP("electricity|PM25|Infant mortality", US_national_yearly!$D:$AM, 23, FALSE) / VLOOKUP("electricity|PM25|Infant mortality", US_national_yearly!$D:$AM, 10, FALSE), 1)</f>
        <v>5.4668090573201446E-6</v>
      </c>
      <c r="P3" s="7">
        <f>$B3 * IFERROR(VLOOKUP("electricity|PM25|Infant mortality", US_national_yearly!$D:$AM, 24, FALSE) / VLOOKUP("electricity|PM25|Infant mortality", US_national_yearly!$D:$AM, 10, FALSE), 1)</f>
        <v>5.4408323572862506E-6</v>
      </c>
      <c r="Q3" s="7">
        <f>$B3 * IFERROR(VLOOKUP("electricity|PM25|Infant mortality", US_national_yearly!$D:$AM, 25, FALSE) / VLOOKUP("electricity|PM25|Infant mortality", US_national_yearly!$D:$AM, 10, FALSE), 1)</f>
        <v>5.4148556572523582E-6</v>
      </c>
      <c r="R3" s="7">
        <f>$B3 * IFERROR(VLOOKUP("electricity|PM25|Infant mortality", US_national_yearly!$D:$AM, 26, FALSE) / VLOOKUP("electricity|PM25|Infant mortality", US_national_yearly!$D:$AM, 10, FALSE), 1)</f>
        <v>5.3888789572184642E-6</v>
      </c>
      <c r="S3" s="7">
        <f>$B3 * IFERROR(VLOOKUP("electricity|PM25|Infant mortality", US_national_yearly!$D:$AM, 27, FALSE) / VLOOKUP("electricity|PM25|Infant mortality", US_national_yearly!$D:$AM, 10, FALSE), 1)</f>
        <v>5.3577582900890874E-6</v>
      </c>
      <c r="T3" s="7">
        <f>$B3 * IFERROR(VLOOKUP("electricity|PM25|Infant mortality", US_national_yearly!$D:$AM, 28, FALSE) / VLOOKUP("electricity|PM25|Infant mortality", US_national_yearly!$D:$AM, 10, FALSE), 1)</f>
        <v>5.3266376229597115E-6</v>
      </c>
      <c r="U3" s="7">
        <f>$B3 * IFERROR(VLOOKUP("electricity|PM25|Infant mortality", US_national_yearly!$D:$AM, 29, FALSE) / VLOOKUP("electricity|PM25|Infant mortality", US_national_yearly!$D:$AM, 10, FALSE), 1)</f>
        <v>5.2955169558303355E-6</v>
      </c>
      <c r="V3" s="7">
        <f>$B3 * IFERROR(VLOOKUP("electricity|PM25|Infant mortality", US_national_yearly!$D:$AM, 30, FALSE) / VLOOKUP("electricity|PM25|Infant mortality", US_national_yearly!$D:$AM, 10, FALSE), 1)</f>
        <v>5.2643962887009596E-6</v>
      </c>
      <c r="W3" s="7">
        <f>$B3 * IFERROR(VLOOKUP("electricity|PM25|Infant mortality", US_national_yearly!$D:$AM, 31, FALSE) / VLOOKUP("electricity|PM25|Infant mortality", US_national_yearly!$D:$AM, 10, FALSE), 1)</f>
        <v>5.2332756215715828E-6</v>
      </c>
      <c r="X3" s="7">
        <f>$B3 * IFERROR(VLOOKUP("electricity|PM25|Infant mortality", US_national_yearly!$D:$AM, 32, FALSE) / VLOOKUP("electricity|PM25|Infant mortality", US_national_yearly!$D:$AM, 10, FALSE), 1)</f>
        <v>5.201116297686268E-6</v>
      </c>
      <c r="Y3" s="7">
        <f>$B3 * IFERROR(VLOOKUP("electricity|PM25|Infant mortality", US_national_yearly!$D:$AM, 33, FALSE) / VLOOKUP("electricity|PM25|Infant mortality", US_national_yearly!$D:$AM, 10, FALSE), 1)</f>
        <v>5.1689569738009532E-6</v>
      </c>
      <c r="Z3" s="7">
        <f>$B3 * IFERROR(VLOOKUP("electricity|PM25|Infant mortality", US_national_yearly!$D:$AM, 34, FALSE) / VLOOKUP("electricity|PM25|Infant mortality", US_national_yearly!$D:$AM, 10, FALSE), 1)</f>
        <v>5.1367976499156383E-6</v>
      </c>
      <c r="AA3" s="7">
        <f>$B3 * IFERROR(VLOOKUP("electricity|PM25|Infant mortality", US_national_yearly!$D:$AM, 35, FALSE) / VLOOKUP("electricity|PM25|Infant mortality", US_national_yearly!$D:$AM, 10, FALSE), 1)</f>
        <v>5.1046383260303235E-6</v>
      </c>
      <c r="AB3" s="7">
        <f>$B3 * IFERROR(VLOOKUP("electricity|PM25|Infant mortality", US_national_yearly!$D:$AM, 36, FALSE) / VLOOKUP("electricity|PM25|Infant mortality", US_national_yearly!$D:$AM, 10, FALSE), 1)</f>
        <v>5.0724790021450086E-6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1.4271492810618763E-2</v>
      </c>
      <c r="C6" s="7">
        <f>$B6 * IFERROR(VLOOKUP("electricity|PM25|Asthma symptoms cough", US_national_yearly!$D:$AM, 11, FALSE) / VLOOKUP("electricity|PM25|Asthma symptoms cough", US_national_yearly!$D:$AM, 10, FALSE), 1)</f>
        <v>1.4271492810618763E-2</v>
      </c>
      <c r="D6" s="7">
        <f>$B6 * IFERROR(VLOOKUP("electricity|PM25|Asthma symptoms cough", US_national_yearly!$D:$AM, 12, FALSE) / VLOOKUP("electricity|PM25|Asthma symptoms cough", US_national_yearly!$D:$AM, 10, FALSE), 1)</f>
        <v>1.4271492810618763E-2</v>
      </c>
      <c r="E6" s="7">
        <f>$B6 * IFERROR(VLOOKUP("electricity|PM25|Asthma symptoms cough", US_national_yearly!$D:$AM, 13, FALSE) / VLOOKUP("electricity|PM25|Asthma symptoms cough", US_national_yearly!$D:$AM, 10, FALSE), 1)</f>
        <v>1.4271492810618763E-2</v>
      </c>
      <c r="F6" s="7">
        <f>$B6 * IFERROR(VLOOKUP("electricity|PM25|Asthma symptoms cough", US_national_yearly!$D:$AM, 14, FALSE) / VLOOKUP("electricity|PM25|Asthma symptoms cough", US_national_yearly!$D:$AM, 10, FALSE), 1)</f>
        <v>1.4271492810618763E-2</v>
      </c>
      <c r="G6" s="7">
        <f>$B6 * IFERROR(VLOOKUP("electricity|PM25|Asthma symptoms cough", US_national_yearly!$D:$AM, 15, FALSE) / VLOOKUP("electricity|PM25|Asthma symptoms cough", US_national_yearly!$D:$AM, 10, FALSE), 1)</f>
        <v>1.4271492810618763E-2</v>
      </c>
      <c r="H6" s="7">
        <f>$B6 * IFERROR(VLOOKUP("electricity|PM25|Asthma symptoms cough", US_national_yearly!$D:$AM, 16, FALSE) / VLOOKUP("electricity|PM25|Asthma symptoms cough", US_national_yearly!$D:$AM, 10, FALSE), 1)</f>
        <v>1.4271492810618763E-2</v>
      </c>
      <c r="I6" s="7">
        <f>$B6 * IFERROR(VLOOKUP("electricity|PM25|Asthma symptoms cough", US_national_yearly!$D:$AM, 17, FALSE) / VLOOKUP("electricity|PM25|Asthma symptoms cough", US_national_yearly!$D:$AM, 10, FALSE), 1)</f>
        <v>1.4271492810618763E-2</v>
      </c>
      <c r="J6" s="7">
        <f>$B6 * IFERROR(VLOOKUP("electricity|PM25|Asthma symptoms cough", US_national_yearly!$D:$AM, 18, FALSE) / VLOOKUP("electricity|PM25|Asthma symptoms cough", US_national_yearly!$D:$AM, 10, FALSE), 1)</f>
        <v>1.4271492810618763E-2</v>
      </c>
      <c r="K6" s="7">
        <f>$B6 * IFERROR(VLOOKUP("electricity|PM25|Asthma symptoms cough", US_national_yearly!$D:$AM, 19, FALSE) / VLOOKUP("electricity|PM25|Asthma symptoms cough", US_national_yearly!$D:$AM, 10, FALSE), 1)</f>
        <v>1.4271492810618763E-2</v>
      </c>
      <c r="L6" s="7">
        <f>$B6 * IFERROR(VLOOKUP("electricity|PM25|Asthma symptoms cough", US_national_yearly!$D:$AM, 20, FALSE) / VLOOKUP("electricity|PM25|Asthma symptoms cough", US_national_yearly!$D:$AM, 10, FALSE), 1)</f>
        <v>1.4271492810618763E-2</v>
      </c>
      <c r="M6" s="7">
        <f>$B6 * IFERROR(VLOOKUP("electricity|PM25|Asthma symptoms cough", US_national_yearly!$D:$AM, 21, FALSE) / VLOOKUP("electricity|PM25|Asthma symptoms cough", US_national_yearly!$D:$AM, 10, FALSE), 1)</f>
        <v>1.4271492810618763E-2</v>
      </c>
      <c r="N6" s="7">
        <f>$B6 * IFERROR(VLOOKUP("electricity|PM25|Asthma symptoms cough", US_national_yearly!$D:$AM, 22, FALSE) / VLOOKUP("electricity|PM25|Asthma symptoms cough", US_national_yearly!$D:$AM, 10, FALSE), 1)</f>
        <v>1.4271492810618763E-2</v>
      </c>
      <c r="O6" s="7">
        <f>$B6 * IFERROR(VLOOKUP("electricity|PM25|Asthma symptoms cough", US_national_yearly!$D:$AM, 23, FALSE) / VLOOKUP("electricity|PM25|Asthma symptoms cough", US_national_yearly!$D:$AM, 10, FALSE), 1)</f>
        <v>1.4271492810618763E-2</v>
      </c>
      <c r="P6" s="7">
        <f>$B6 * IFERROR(VLOOKUP("electricity|PM25|Asthma symptoms cough", US_national_yearly!$D:$AM, 24, FALSE) / VLOOKUP("electricity|PM25|Asthma symptoms cough", US_national_yearly!$D:$AM, 10, FALSE), 1)</f>
        <v>1.4271492810618763E-2</v>
      </c>
      <c r="Q6" s="7">
        <f>$B6 * IFERROR(VLOOKUP("electricity|PM25|Asthma symptoms cough", US_national_yearly!$D:$AM, 25, FALSE) / VLOOKUP("electricity|PM25|Asthma symptoms cough", US_national_yearly!$D:$AM, 10, FALSE), 1)</f>
        <v>1.4271492810618763E-2</v>
      </c>
      <c r="R6" s="7">
        <f>$B6 * IFERROR(VLOOKUP("electricity|PM25|Asthma symptoms cough", US_national_yearly!$D:$AM, 26, FALSE) / VLOOKUP("electricity|PM25|Asthma symptoms cough", US_national_yearly!$D:$AM, 10, FALSE), 1)</f>
        <v>1.4271492810618763E-2</v>
      </c>
      <c r="S6" s="7">
        <f>$B6 * IFERROR(VLOOKUP("electricity|PM25|Asthma symptoms cough", US_national_yearly!$D:$AM, 27, FALSE) / VLOOKUP("electricity|PM25|Asthma symptoms cough", US_national_yearly!$D:$AM, 10, FALSE), 1)</f>
        <v>1.4271492810618763E-2</v>
      </c>
      <c r="T6" s="7">
        <f>$B6 * IFERROR(VLOOKUP("electricity|PM25|Asthma symptoms cough", US_national_yearly!$D:$AM, 28, FALSE) / VLOOKUP("electricity|PM25|Asthma symptoms cough", US_national_yearly!$D:$AM, 10, FALSE), 1)</f>
        <v>1.4271492810618763E-2</v>
      </c>
      <c r="U6" s="7">
        <f>$B6 * IFERROR(VLOOKUP("electricity|PM25|Asthma symptoms cough", US_national_yearly!$D:$AM, 29, FALSE) / VLOOKUP("electricity|PM25|Asthma symptoms cough", US_national_yearly!$D:$AM, 10, FALSE), 1)</f>
        <v>1.4271492810618763E-2</v>
      </c>
      <c r="V6" s="7">
        <f>$B6 * IFERROR(VLOOKUP("electricity|PM25|Asthma symptoms cough", US_national_yearly!$D:$AM, 30, FALSE) / VLOOKUP("electricity|PM25|Asthma symptoms cough", US_national_yearly!$D:$AM, 10, FALSE), 1)</f>
        <v>1.4271492810618763E-2</v>
      </c>
      <c r="W6" s="7">
        <f>$B6 * IFERROR(VLOOKUP("electricity|PM25|Asthma symptoms cough", US_national_yearly!$D:$AM, 31, FALSE) / VLOOKUP("electricity|PM25|Asthma symptoms cough", US_national_yearly!$D:$AM, 10, FALSE), 1)</f>
        <v>1.4271492810618763E-2</v>
      </c>
      <c r="X6" s="7">
        <f>$B6 * IFERROR(VLOOKUP("electricity|PM25|Asthma symptoms cough", US_national_yearly!$D:$AM, 32, FALSE) / VLOOKUP("electricity|PM25|Asthma symptoms cough", US_national_yearly!$D:$AM, 10, FALSE), 1)</f>
        <v>1.4271492810618763E-2</v>
      </c>
      <c r="Y6" s="7">
        <f>$B6 * IFERROR(VLOOKUP("electricity|PM25|Asthma symptoms cough", US_national_yearly!$D:$AM, 33, FALSE) / VLOOKUP("electricity|PM25|Asthma symptoms cough", US_national_yearly!$D:$AM, 10, FALSE), 1)</f>
        <v>1.4271492810618763E-2</v>
      </c>
      <c r="Z6" s="7">
        <f>$B6 * IFERROR(VLOOKUP("electricity|PM25|Asthma symptoms cough", US_national_yearly!$D:$AM, 34, FALSE) / VLOOKUP("electricity|PM25|Asthma symptoms cough", US_national_yearly!$D:$AM, 10, FALSE), 1)</f>
        <v>1.4271492810618763E-2</v>
      </c>
      <c r="AA6" s="7">
        <f>$B6 * IFERROR(VLOOKUP("electricity|PM25|Asthma symptoms cough", US_national_yearly!$D:$AM, 35, FALSE) / VLOOKUP("electricity|PM25|Asthma symptoms cough", US_national_yearly!$D:$AM, 10, FALSE), 1)</f>
        <v>1.4271492810618763E-2</v>
      </c>
      <c r="AB6" s="7">
        <f>$B6 * IFERROR(VLOOKUP("electricity|PM25|Asthma symptoms cough", US_national_yearly!$D:$AM, 36, FALSE) / VLOOKUP("electricity|PM25|Asthma symptoms cough", US_national_yearly!$D:$AM, 10, FALSE), 1)</f>
        <v>1.4271492810618763E-2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1.9218539178166245E-2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1.9218539178166245E-2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1.9218539178166245E-2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1.9218539178166245E-2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1.9218539178166245E-2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1.9218539178166245E-2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1.9218539178166245E-2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1.9218539178166245E-2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1.9218539178166245E-2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1.9218539178166245E-2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1.9218539178166245E-2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1.9218539178166245E-2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1.9218539178166245E-2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1.9218539178166245E-2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1.9218539178166245E-2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1.9218539178166245E-2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1.9218539178166245E-2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1.9218539178166245E-2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1.9218539178166245E-2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1.9218539178166245E-2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1.9218539178166245E-2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1.9218539178166245E-2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1.9218539178166245E-2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1.9218539178166245E-2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1.9218539178166245E-2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1.9218539178166245E-2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1.9218539178166245E-2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2.9363015848342954E-2</v>
      </c>
      <c r="C8" s="7">
        <f>$B8 * IFERROR(VLOOKUP("electricity|PM25|Asthma symptoms wheeze", US_national_yearly!$D:$AM, 11, FALSE) / VLOOKUP("electricity|PM25|Asthma symptoms wheeze", US_national_yearly!$D:$AM, 10, FALSE), 1)</f>
        <v>2.9363015848342954E-2</v>
      </c>
      <c r="D8" s="7">
        <f>$B8 * IFERROR(VLOOKUP("electricity|PM25|Asthma symptoms wheeze", US_national_yearly!$D:$AM, 12, FALSE) / VLOOKUP("electricity|PM25|Asthma symptoms wheeze", US_national_yearly!$D:$AM, 10, FALSE), 1)</f>
        <v>2.9363015848342954E-2</v>
      </c>
      <c r="E8" s="7">
        <f>$B8 * IFERROR(VLOOKUP("electricity|PM25|Asthma symptoms wheeze", US_national_yearly!$D:$AM, 13, FALSE) / VLOOKUP("electricity|PM25|Asthma symptoms wheeze", US_national_yearly!$D:$AM, 10, FALSE), 1)</f>
        <v>2.9363015848342954E-2</v>
      </c>
      <c r="F8" s="7">
        <f>$B8 * IFERROR(VLOOKUP("electricity|PM25|Asthma symptoms wheeze", US_national_yearly!$D:$AM, 14, FALSE) / VLOOKUP("electricity|PM25|Asthma symptoms wheeze", US_national_yearly!$D:$AM, 10, FALSE), 1)</f>
        <v>2.9363015848342954E-2</v>
      </c>
      <c r="G8" s="7">
        <f>$B8 * IFERROR(VLOOKUP("electricity|PM25|Asthma symptoms wheeze", US_national_yearly!$D:$AM, 15, FALSE) / VLOOKUP("electricity|PM25|Asthma symptoms wheeze", US_national_yearly!$D:$AM, 10, FALSE), 1)</f>
        <v>2.9363015848342954E-2</v>
      </c>
      <c r="H8" s="7">
        <f>$B8 * IFERROR(VLOOKUP("electricity|PM25|Asthma symptoms wheeze", US_national_yearly!$D:$AM, 16, FALSE) / VLOOKUP("electricity|PM25|Asthma symptoms wheeze", US_national_yearly!$D:$AM, 10, FALSE), 1)</f>
        <v>2.9363015848342954E-2</v>
      </c>
      <c r="I8" s="7">
        <f>$B8 * IFERROR(VLOOKUP("electricity|PM25|Asthma symptoms wheeze", US_national_yearly!$D:$AM, 17, FALSE) / VLOOKUP("electricity|PM25|Asthma symptoms wheeze", US_national_yearly!$D:$AM, 10, FALSE), 1)</f>
        <v>2.9363015848342954E-2</v>
      </c>
      <c r="J8" s="7">
        <f>$B8 * IFERROR(VLOOKUP("electricity|PM25|Asthma symptoms wheeze", US_national_yearly!$D:$AM, 18, FALSE) / VLOOKUP("electricity|PM25|Asthma symptoms wheeze", US_national_yearly!$D:$AM, 10, FALSE), 1)</f>
        <v>2.9363015848342954E-2</v>
      </c>
      <c r="K8" s="7">
        <f>$B8 * IFERROR(VLOOKUP("electricity|PM25|Asthma symptoms wheeze", US_national_yearly!$D:$AM, 19, FALSE) / VLOOKUP("electricity|PM25|Asthma symptoms wheeze", US_national_yearly!$D:$AM, 10, FALSE), 1)</f>
        <v>2.9363015848342954E-2</v>
      </c>
      <c r="L8" s="7">
        <f>$B8 * IFERROR(VLOOKUP("electricity|PM25|Asthma symptoms wheeze", US_national_yearly!$D:$AM, 20, FALSE) / VLOOKUP("electricity|PM25|Asthma symptoms wheeze", US_national_yearly!$D:$AM, 10, FALSE), 1)</f>
        <v>2.9363015848342954E-2</v>
      </c>
      <c r="M8" s="7">
        <f>$B8 * IFERROR(VLOOKUP("electricity|PM25|Asthma symptoms wheeze", US_national_yearly!$D:$AM, 21, FALSE) / VLOOKUP("electricity|PM25|Asthma symptoms wheeze", US_national_yearly!$D:$AM, 10, FALSE), 1)</f>
        <v>2.9363015848342954E-2</v>
      </c>
      <c r="N8" s="7">
        <f>$B8 * IFERROR(VLOOKUP("electricity|PM25|Asthma symptoms wheeze", US_national_yearly!$D:$AM, 22, FALSE) / VLOOKUP("electricity|PM25|Asthma symptoms wheeze", US_national_yearly!$D:$AM, 10, FALSE), 1)</f>
        <v>2.9363015848342954E-2</v>
      </c>
      <c r="O8" s="7">
        <f>$B8 * IFERROR(VLOOKUP("electricity|PM25|Asthma symptoms wheeze", US_national_yearly!$D:$AM, 23, FALSE) / VLOOKUP("electricity|PM25|Asthma symptoms wheeze", US_national_yearly!$D:$AM, 10, FALSE), 1)</f>
        <v>2.9363015848342954E-2</v>
      </c>
      <c r="P8" s="7">
        <f>$B8 * IFERROR(VLOOKUP("electricity|PM25|Asthma symptoms wheeze", US_national_yearly!$D:$AM, 24, FALSE) / VLOOKUP("electricity|PM25|Asthma symptoms wheeze", US_national_yearly!$D:$AM, 10, FALSE), 1)</f>
        <v>2.9363015848342954E-2</v>
      </c>
      <c r="Q8" s="7">
        <f>$B8 * IFERROR(VLOOKUP("electricity|PM25|Asthma symptoms wheeze", US_national_yearly!$D:$AM, 25, FALSE) / VLOOKUP("electricity|PM25|Asthma symptoms wheeze", US_national_yearly!$D:$AM, 10, FALSE), 1)</f>
        <v>2.9363015848342954E-2</v>
      </c>
      <c r="R8" s="7">
        <f>$B8 * IFERROR(VLOOKUP("electricity|PM25|Asthma symptoms wheeze", US_national_yearly!$D:$AM, 26, FALSE) / VLOOKUP("electricity|PM25|Asthma symptoms wheeze", US_national_yearly!$D:$AM, 10, FALSE), 1)</f>
        <v>2.9363015848342954E-2</v>
      </c>
      <c r="S8" s="7">
        <f>$B8 * IFERROR(VLOOKUP("electricity|PM25|Asthma symptoms wheeze", US_national_yearly!$D:$AM, 27, FALSE) / VLOOKUP("electricity|PM25|Asthma symptoms wheeze", US_national_yearly!$D:$AM, 10, FALSE), 1)</f>
        <v>2.9363015848342954E-2</v>
      </c>
      <c r="T8" s="7">
        <f>$B8 * IFERROR(VLOOKUP("electricity|PM25|Asthma symptoms wheeze", US_national_yearly!$D:$AM, 28, FALSE) / VLOOKUP("electricity|PM25|Asthma symptoms wheeze", US_national_yearly!$D:$AM, 10, FALSE), 1)</f>
        <v>2.9363015848342954E-2</v>
      </c>
      <c r="U8" s="7">
        <f>$B8 * IFERROR(VLOOKUP("electricity|PM25|Asthma symptoms wheeze", US_national_yearly!$D:$AM, 29, FALSE) / VLOOKUP("electricity|PM25|Asthma symptoms wheeze", US_national_yearly!$D:$AM, 10, FALSE), 1)</f>
        <v>2.9363015848342954E-2</v>
      </c>
      <c r="V8" s="7">
        <f>$B8 * IFERROR(VLOOKUP("electricity|PM25|Asthma symptoms wheeze", US_national_yearly!$D:$AM, 30, FALSE) / VLOOKUP("electricity|PM25|Asthma symptoms wheeze", US_national_yearly!$D:$AM, 10, FALSE), 1)</f>
        <v>2.9363015848342954E-2</v>
      </c>
      <c r="W8" s="7">
        <f>$B8 * IFERROR(VLOOKUP("electricity|PM25|Asthma symptoms wheeze", US_national_yearly!$D:$AM, 31, FALSE) / VLOOKUP("electricity|PM25|Asthma symptoms wheeze", US_national_yearly!$D:$AM, 10, FALSE), 1)</f>
        <v>2.9363015848342954E-2</v>
      </c>
      <c r="X8" s="7">
        <f>$B8 * IFERROR(VLOOKUP("electricity|PM25|Asthma symptoms wheeze", US_national_yearly!$D:$AM, 32, FALSE) / VLOOKUP("electricity|PM25|Asthma symptoms wheeze", US_national_yearly!$D:$AM, 10, FALSE), 1)</f>
        <v>2.9363015848342954E-2</v>
      </c>
      <c r="Y8" s="7">
        <f>$B8 * IFERROR(VLOOKUP("electricity|PM25|Asthma symptoms wheeze", US_national_yearly!$D:$AM, 33, FALSE) / VLOOKUP("electricity|PM25|Asthma symptoms wheeze", US_national_yearly!$D:$AM, 10, FALSE), 1)</f>
        <v>2.9363015848342954E-2</v>
      </c>
      <c r="Z8" s="7">
        <f>$B8 * IFERROR(VLOOKUP("electricity|PM25|Asthma symptoms wheeze", US_national_yearly!$D:$AM, 34, FALSE) / VLOOKUP("electricity|PM25|Asthma symptoms wheeze", US_national_yearly!$D:$AM, 10, FALSE), 1)</f>
        <v>2.9363015848342954E-2</v>
      </c>
      <c r="AA8" s="7">
        <f>$B8 * IFERROR(VLOOKUP("electricity|PM25|Asthma symptoms wheeze", US_national_yearly!$D:$AM, 35, FALSE) / VLOOKUP("electricity|PM25|Asthma symptoms wheeze", US_national_yearly!$D:$AM, 10, FALSE), 1)</f>
        <v>2.9363015848342954E-2</v>
      </c>
      <c r="AB8" s="7">
        <f>$B8 * IFERROR(VLOOKUP("electricity|PM25|Asthma symptoms wheeze", US_national_yearly!$D:$AM, 36, FALSE) / VLOOKUP("electricity|PM25|Asthma symptoms wheeze", US_national_yearly!$D:$AM, 10, FALSE), 1)</f>
        <v>2.9363015848342954E-2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3.7748890510092031E-4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3.7956353816727173E-4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3.8163817123362305E-4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3.8371280429997452E-4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3.8578743736632589E-4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3.8801139301747968E-4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3.9023534866863352E-4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3.9222222584603026E-4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3.9420910302342689E-4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3.9619598020082357E-4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3.981828573782202E-4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4.0016973455561699E-4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4.0150995376444804E-4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4.0285017297327921E-4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4.0419039218211037E-4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4.0553061139094143E-4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4.0687083059977259E-4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4.0811972747027453E-4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4.093686243407763E-4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4.1061752121127819E-4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4.1186641808178001E-4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4.1311531495228179E-4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4.1435023612290721E-4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4.1558515729353253E-4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4.1682007846415784E-4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4.1805499963478316E-4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4.1928992080540858E-4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2.1120893324734721E-3</v>
      </c>
      <c r="C13" s="7">
        <f>$B13 * IFERROR(VLOOKUP("electricity|PM25|Non-fatal heart attacks", US_national_yearly!$D:$AM, 11, FALSE) / VLOOKUP("electricity|PM25|Non-fatal heart attacks", US_national_yearly!$D:$AM, 10, FALSE), 1)</f>
        <v>2.1732656236616308E-3</v>
      </c>
      <c r="D13" s="7">
        <f>$B13 * IFERROR(VLOOKUP("electricity|PM25|Non-fatal heart attacks", US_national_yearly!$D:$AM, 12, FALSE) / VLOOKUP("electricity|PM25|Non-fatal heart attacks", US_national_yearly!$D:$AM, 10, FALSE), 1)</f>
        <v>2.2344419148497899E-3</v>
      </c>
      <c r="E13" s="7">
        <f>$B13 * IFERROR(VLOOKUP("electricity|PM25|Non-fatal heart attacks", US_national_yearly!$D:$AM, 13, FALSE) / VLOOKUP("electricity|PM25|Non-fatal heart attacks", US_national_yearly!$D:$AM, 10, FALSE), 1)</f>
        <v>2.2956182060379481E-3</v>
      </c>
      <c r="F13" s="7">
        <f>$B13 * IFERROR(VLOOKUP("electricity|PM25|Non-fatal heart attacks", US_national_yearly!$D:$AM, 14, FALSE) / VLOOKUP("electricity|PM25|Non-fatal heart attacks", US_national_yearly!$D:$AM, 10, FALSE), 1)</f>
        <v>2.3567944972261068E-3</v>
      </c>
      <c r="G13" s="7">
        <f>$B13 * IFERROR(VLOOKUP("electricity|PM25|Non-fatal heart attacks", US_national_yearly!$D:$AM, 15, FALSE) / VLOOKUP("electricity|PM25|Non-fatal heart attacks", US_national_yearly!$D:$AM, 10, FALSE), 1)</f>
        <v>2.4148610137489377E-3</v>
      </c>
      <c r="H13" s="7">
        <f>$B13 * IFERROR(VLOOKUP("electricity|PM25|Non-fatal heart attacks", US_national_yearly!$D:$AM, 16, FALSE) / VLOOKUP("electricity|PM25|Non-fatal heart attacks", US_national_yearly!$D:$AM, 10, FALSE), 1)</f>
        <v>2.4729275302717677E-3</v>
      </c>
      <c r="I13" s="7">
        <f>$B13 * IFERROR(VLOOKUP("electricity|PM25|Non-fatal heart attacks", US_national_yearly!$D:$AM, 17, FALSE) / VLOOKUP("electricity|PM25|Non-fatal heart attacks", US_national_yearly!$D:$AM, 10, FALSE), 1)</f>
        <v>2.5203029526774711E-3</v>
      </c>
      <c r="J13" s="7">
        <f>$B13 * IFERROR(VLOOKUP("electricity|PM25|Non-fatal heart attacks", US_national_yearly!$D:$AM, 18, FALSE) / VLOOKUP("electricity|PM25|Non-fatal heart attacks", US_national_yearly!$D:$AM, 10, FALSE), 1)</f>
        <v>2.5676783750831745E-3</v>
      </c>
      <c r="K13" s="7">
        <f>$B13 * IFERROR(VLOOKUP("electricity|PM25|Non-fatal heart attacks", US_national_yearly!$D:$AM, 19, FALSE) / VLOOKUP("electricity|PM25|Non-fatal heart attacks", US_national_yearly!$D:$AM, 10, FALSE), 1)</f>
        <v>2.6150537974888779E-3</v>
      </c>
      <c r="L13" s="7">
        <f>$B13 * IFERROR(VLOOKUP("electricity|PM25|Non-fatal heart attacks", US_national_yearly!$D:$AM, 20, FALSE) / VLOOKUP("electricity|PM25|Non-fatal heart attacks", US_national_yearly!$D:$AM, 10, FALSE), 1)</f>
        <v>2.6624292198945809E-3</v>
      </c>
      <c r="M13" s="7">
        <f>$B13 * IFERROR(VLOOKUP("electricity|PM25|Non-fatal heart attacks", US_national_yearly!$D:$AM, 21, FALSE) / VLOOKUP("electricity|PM25|Non-fatal heart attacks", US_national_yearly!$D:$AM, 10, FALSE), 1)</f>
        <v>2.7098046423002847E-3</v>
      </c>
      <c r="N13" s="7">
        <f>$B13 * IFERROR(VLOOKUP("electricity|PM25|Non-fatal heart attacks", US_national_yearly!$D:$AM, 22, FALSE) / VLOOKUP("electricity|PM25|Non-fatal heart attacks", US_national_yearly!$D:$AM, 10, FALSE), 1)</f>
        <v>2.7405451756140546E-3</v>
      </c>
      <c r="O13" s="7">
        <f>$B13 * IFERROR(VLOOKUP("electricity|PM25|Non-fatal heart attacks", US_national_yearly!$D:$AM, 23, FALSE) / VLOOKUP("electricity|PM25|Non-fatal heart attacks", US_national_yearly!$D:$AM, 10, FALSE), 1)</f>
        <v>2.7712857089278241E-3</v>
      </c>
      <c r="P13" s="7">
        <f>$B13 * IFERROR(VLOOKUP("electricity|PM25|Non-fatal heart attacks", US_national_yearly!$D:$AM, 24, FALSE) / VLOOKUP("electricity|PM25|Non-fatal heart attacks", US_national_yearly!$D:$AM, 10, FALSE), 1)</f>
        <v>2.8020262422415935E-3</v>
      </c>
      <c r="Q13" s="7">
        <f>$B13 * IFERROR(VLOOKUP("electricity|PM25|Non-fatal heart attacks", US_national_yearly!$D:$AM, 25, FALSE) / VLOOKUP("electricity|PM25|Non-fatal heart attacks", US_national_yearly!$D:$AM, 10, FALSE), 1)</f>
        <v>2.8327667755553634E-3</v>
      </c>
      <c r="R13" s="7">
        <f>$B13 * IFERROR(VLOOKUP("electricity|PM25|Non-fatal heart attacks", US_national_yearly!$D:$AM, 26, FALSE) / VLOOKUP("electricity|PM25|Non-fatal heart attacks", US_national_yearly!$D:$AM, 10, FALSE), 1)</f>
        <v>2.8635073088691329E-3</v>
      </c>
      <c r="S13" s="7">
        <f>$B13 * IFERROR(VLOOKUP("electricity|PM25|Non-fatal heart attacks", US_national_yearly!$D:$AM, 27, FALSE) / VLOOKUP("electricity|PM25|Non-fatal heart attacks", US_national_yearly!$D:$AM, 10, FALSE), 1)</f>
        <v>2.8804307621888379E-3</v>
      </c>
      <c r="T13" s="7">
        <f>$B13 * IFERROR(VLOOKUP("electricity|PM25|Non-fatal heart attacks", US_national_yearly!$D:$AM, 28, FALSE) / VLOOKUP("electricity|PM25|Non-fatal heart attacks", US_national_yearly!$D:$AM, 10, FALSE), 1)</f>
        <v>2.8973542155085429E-3</v>
      </c>
      <c r="U13" s="7">
        <f>$B13 * IFERROR(VLOOKUP("electricity|PM25|Non-fatal heart attacks", US_national_yearly!$D:$AM, 29, FALSE) / VLOOKUP("electricity|PM25|Non-fatal heart attacks", US_national_yearly!$D:$AM, 10, FALSE), 1)</f>
        <v>2.9142776688282474E-3</v>
      </c>
      <c r="V13" s="7">
        <f>$B13 * IFERROR(VLOOKUP("electricity|PM25|Non-fatal heart attacks", US_national_yearly!$D:$AM, 30, FALSE) / VLOOKUP("electricity|PM25|Non-fatal heart attacks", US_national_yearly!$D:$AM, 10, FALSE), 1)</f>
        <v>2.9312011221479519E-3</v>
      </c>
      <c r="W13" s="7">
        <f>$B13 * IFERROR(VLOOKUP("electricity|PM25|Non-fatal heart attacks", US_national_yearly!$D:$AM, 31, FALSE) / VLOOKUP("electricity|PM25|Non-fatal heart attacks", US_national_yearly!$D:$AM, 10, FALSE), 1)</f>
        <v>2.9481245754676574E-3</v>
      </c>
      <c r="X13" s="7">
        <f>$B13 * IFERROR(VLOOKUP("electricity|PM25|Non-fatal heart attacks", US_national_yearly!$D:$AM, 32, FALSE) / VLOOKUP("electricity|PM25|Non-fatal heart attacks", US_national_yearly!$D:$AM, 10, FALSE), 1)</f>
        <v>2.9613640601461265E-3</v>
      </c>
      <c r="Y13" s="7">
        <f>$B13 * IFERROR(VLOOKUP("electricity|PM25|Non-fatal heart attacks", US_national_yearly!$D:$AM, 33, FALSE) / VLOOKUP("electricity|PM25|Non-fatal heart attacks", US_national_yearly!$D:$AM, 10, FALSE), 1)</f>
        <v>2.9746035448245962E-3</v>
      </c>
      <c r="Z13" s="7">
        <f>$B13 * IFERROR(VLOOKUP("electricity|PM25|Non-fatal heart attacks", US_national_yearly!$D:$AM, 34, FALSE) / VLOOKUP("electricity|PM25|Non-fatal heart attacks", US_national_yearly!$D:$AM, 10, FALSE), 1)</f>
        <v>2.9878430295030654E-3</v>
      </c>
      <c r="AA13" s="7">
        <f>$B13 * IFERROR(VLOOKUP("electricity|PM25|Non-fatal heart attacks", US_national_yearly!$D:$AM, 35, FALSE) / VLOOKUP("electricity|PM25|Non-fatal heart attacks", US_national_yearly!$D:$AM, 10, FALSE), 1)</f>
        <v>3.0010825141815354E-3</v>
      </c>
      <c r="AB13" s="7">
        <f>$B13 * IFERROR(VLOOKUP("electricity|PM25|Non-fatal heart attacks", US_national_yearly!$D:$AM, 36, FALSE) / VLOOKUP("electricity|PM25|Non-fatal heart attacks", US_national_yearly!$D:$AM, 10, FALSE), 1)</f>
        <v>3.0143219988600046E-3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1.5766617968556962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1.5801618800652888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1.5836619632748818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1.5871620464844747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1.5906621296940675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1.5958558476090006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1.6010495655239334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1.6102202570970039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1.6193909486700748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1.6285616402431453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1.6377323318162162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1.646903023389287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1.659625417464559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1.6723478115398314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1.6850702056151039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1.6977925996903762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1.7105149937656483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1.7233471249408385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1.7361792561160285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1.7490113872912183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1.7618435184664085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1.7746756496415985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1.7856754645096931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1.796675279377788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1.8076750942458828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1.8186749091139771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1.8296747239820723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0.26790488195070156</v>
      </c>
      <c r="C15" s="7">
        <f>$B15 * IFERROR(VLOOKUP("electricity|PM25|Work loss days", US_national_yearly!$D:$AM, 11, FALSE) / VLOOKUP("electricity|PM25|Work loss days", US_national_yearly!$D:$AM, 10, FALSE), 1)</f>
        <v>0.26867150725661265</v>
      </c>
      <c r="D15" s="7">
        <f>$B15 * IFERROR(VLOOKUP("electricity|PM25|Work loss days", US_national_yearly!$D:$AM, 12, FALSE) / VLOOKUP("electricity|PM25|Work loss days", US_national_yearly!$D:$AM, 10, FALSE), 1)</f>
        <v>0.2694381325625238</v>
      </c>
      <c r="E15" s="7">
        <f>$B15 * IFERROR(VLOOKUP("electricity|PM25|Work loss days", US_national_yearly!$D:$AM, 13, FALSE) / VLOOKUP("electricity|PM25|Work loss days", US_national_yearly!$D:$AM, 10, FALSE), 1)</f>
        <v>0.2702047578684349</v>
      </c>
      <c r="F15" s="7">
        <f>$B15 * IFERROR(VLOOKUP("electricity|PM25|Work loss days", US_national_yearly!$D:$AM, 14, FALSE) / VLOOKUP("electricity|PM25|Work loss days", US_national_yearly!$D:$AM, 10, FALSE), 1)</f>
        <v>0.27097138317434594</v>
      </c>
      <c r="G15" s="7">
        <f>$B15 * IFERROR(VLOOKUP("electricity|PM25|Work loss days", US_national_yearly!$D:$AM, 15, FALSE) / VLOOKUP("electricity|PM25|Work loss days", US_national_yearly!$D:$AM, 10, FALSE), 1)</f>
        <v>0.27196450690356178</v>
      </c>
      <c r="H15" s="7">
        <f>$B15 * IFERROR(VLOOKUP("electricity|PM25|Work loss days", US_national_yearly!$D:$AM, 16, FALSE) / VLOOKUP("electricity|PM25|Work loss days", US_national_yearly!$D:$AM, 10, FALSE), 1)</f>
        <v>0.27295763063277761</v>
      </c>
      <c r="I15" s="7">
        <f>$B15 * IFERROR(VLOOKUP("electricity|PM25|Work loss days", US_national_yearly!$D:$AM, 17, FALSE) / VLOOKUP("electricity|PM25|Work loss days", US_national_yearly!$D:$AM, 10, FALSE), 1)</f>
        <v>0.27445062257471664</v>
      </c>
      <c r="J15" s="7">
        <f>$B15 * IFERROR(VLOOKUP("electricity|PM25|Work loss days", US_national_yearly!$D:$AM, 18, FALSE) / VLOOKUP("electricity|PM25|Work loss days", US_national_yearly!$D:$AM, 10, FALSE), 1)</f>
        <v>0.27594361451665567</v>
      </c>
      <c r="K15" s="7">
        <f>$B15 * IFERROR(VLOOKUP("electricity|PM25|Work loss days", US_national_yearly!$D:$AM, 19, FALSE) / VLOOKUP("electricity|PM25|Work loss days", US_national_yearly!$D:$AM, 10, FALSE), 1)</f>
        <v>0.27743660645859469</v>
      </c>
      <c r="L15" s="7">
        <f>$B15 * IFERROR(VLOOKUP("electricity|PM25|Work loss days", US_national_yearly!$D:$AM, 20, FALSE) / VLOOKUP("electricity|PM25|Work loss days", US_national_yearly!$D:$AM, 10, FALSE), 1)</f>
        <v>0.27892959840053372</v>
      </c>
      <c r="M15" s="7">
        <f>$B15 * IFERROR(VLOOKUP("electricity|PM25|Work loss days", US_national_yearly!$D:$AM, 21, FALSE) / VLOOKUP("electricity|PM25|Work loss days", US_national_yearly!$D:$AM, 10, FALSE), 1)</f>
        <v>0.28042259034247274</v>
      </c>
      <c r="N15" s="7">
        <f>$B15 * IFERROR(VLOOKUP("electricity|PM25|Work loss days", US_national_yearly!$D:$AM, 22, FALSE) / VLOOKUP("electricity|PM25|Work loss days", US_national_yearly!$D:$AM, 10, FALSE), 1)</f>
        <v>0.28235014658671298</v>
      </c>
      <c r="O15" s="7">
        <f>$B15 * IFERROR(VLOOKUP("electricity|PM25|Work loss days", US_national_yearly!$D:$AM, 23, FALSE) / VLOOKUP("electricity|PM25|Work loss days", US_national_yearly!$D:$AM, 10, FALSE), 1)</f>
        <v>0.28427770283095316</v>
      </c>
      <c r="P15" s="7">
        <f>$B15 * IFERROR(VLOOKUP("electricity|PM25|Work loss days", US_national_yearly!$D:$AM, 24, FALSE) / VLOOKUP("electricity|PM25|Work loss days", US_national_yearly!$D:$AM, 10, FALSE), 1)</f>
        <v>0.28620525907519334</v>
      </c>
      <c r="Q15" s="7">
        <f>$B15 * IFERROR(VLOOKUP("electricity|PM25|Work loss days", US_national_yearly!$D:$AM, 25, FALSE) / VLOOKUP("electricity|PM25|Work loss days", US_national_yearly!$D:$AM, 10, FALSE), 1)</f>
        <v>0.28813281531943347</v>
      </c>
      <c r="R15" s="7">
        <f>$B15 * IFERROR(VLOOKUP("electricity|PM25|Work loss days", US_national_yearly!$D:$AM, 26, FALSE) / VLOOKUP("electricity|PM25|Work loss days", US_national_yearly!$D:$AM, 10, FALSE), 1)</f>
        <v>0.2900603715636737</v>
      </c>
      <c r="S15" s="7">
        <f>$B15 * IFERROR(VLOOKUP("electricity|PM25|Work loss days", US_national_yearly!$D:$AM, 27, FALSE) / VLOOKUP("electricity|PM25|Work loss days", US_national_yearly!$D:$AM, 10, FALSE), 1)</f>
        <v>0.29219927834567211</v>
      </c>
      <c r="T15" s="7">
        <f>$B15 * IFERROR(VLOOKUP("electricity|PM25|Work loss days", US_national_yearly!$D:$AM, 28, FALSE) / VLOOKUP("electricity|PM25|Work loss days", US_national_yearly!$D:$AM, 10, FALSE), 1)</f>
        <v>0.29433818512767063</v>
      </c>
      <c r="U15" s="7">
        <f>$B15 * IFERROR(VLOOKUP("electricity|PM25|Work loss days", US_national_yearly!$D:$AM, 29, FALSE) / VLOOKUP("electricity|PM25|Work loss days", US_national_yearly!$D:$AM, 10, FALSE), 1)</f>
        <v>0.29647709190966914</v>
      </c>
      <c r="V15" s="7">
        <f>$B15 * IFERROR(VLOOKUP("electricity|PM25|Work loss days", US_national_yearly!$D:$AM, 30, FALSE) / VLOOKUP("electricity|PM25|Work loss days", US_national_yearly!$D:$AM, 10, FALSE), 1)</f>
        <v>0.29861599869166761</v>
      </c>
      <c r="W15" s="7">
        <f>$B15 * IFERROR(VLOOKUP("electricity|PM25|Work loss days", US_national_yearly!$D:$AM, 31, FALSE) / VLOOKUP("electricity|PM25|Work loss days", US_national_yearly!$D:$AM, 10, FALSE), 1)</f>
        <v>0.30075490547366607</v>
      </c>
      <c r="X15" s="7">
        <f>$B15 * IFERROR(VLOOKUP("electricity|PM25|Work loss days", US_national_yearly!$D:$AM, 32, FALSE) / VLOOKUP("electricity|PM25|Work loss days", US_national_yearly!$D:$AM, 10, FALSE), 1)</f>
        <v>0.30264177221893218</v>
      </c>
      <c r="Y15" s="7">
        <f>$B15 * IFERROR(VLOOKUP("electricity|PM25|Work loss days", US_national_yearly!$D:$AM, 33, FALSE) / VLOOKUP("electricity|PM25|Work loss days", US_national_yearly!$D:$AM, 10, FALSE), 1)</f>
        <v>0.30452863896419818</v>
      </c>
      <c r="Z15" s="7">
        <f>$B15 * IFERROR(VLOOKUP("electricity|PM25|Work loss days", US_national_yearly!$D:$AM, 34, FALSE) / VLOOKUP("electricity|PM25|Work loss days", US_national_yearly!$D:$AM, 10, FALSE), 1)</f>
        <v>0.30641550570946424</v>
      </c>
      <c r="AA15" s="7">
        <f>$B15 * IFERROR(VLOOKUP("electricity|PM25|Work loss days", US_national_yearly!$D:$AM, 35, FALSE) / VLOOKUP("electricity|PM25|Work loss days", US_national_yearly!$D:$AM, 10, FALSE), 1)</f>
        <v>0.30830237245473041</v>
      </c>
      <c r="AB15" s="7">
        <f>$B15 * IFERROR(VLOOKUP("electricity|PM25|Work loss days", US_national_yearly!$D:$AM, 36, FALSE) / VLOOKUP("electricity|PM25|Work loss days", US_national_yearly!$D:$AM, 10, FALSE), 1)</f>
        <v>0.31018923919999647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5.2652296041789525E-4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5.4214748144208356E-4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5.5777200246627176E-4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5.7339652349046007E-4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5.8902104451464838E-4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6.0409087080271829E-4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6.191606970907882E-4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6.3221537830999042E-4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6.4527005952919254E-4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6.5832474074839454E-4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6.7137942196759677E-4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6.8443410318679877E-4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6.9320975912469114E-4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7.0198541506258339E-4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7.1076107100047565E-4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7.1953672693836812E-4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7.2831238287626038E-4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7.3315567910228047E-4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7.3799897532830035E-4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7.4284227155432044E-4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7.4768556778034042E-4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7.5252886400636041E-4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7.5590780974434189E-4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7.5928675548232337E-4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7.6266570122030485E-4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7.6604464695828644E-4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7.6942359269626802E-4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1.2169065602501724E-4</v>
      </c>
      <c r="C2" s="7">
        <f>$B2 * IFERROR(VLOOKUP("electricity|NOx|Premature mortality", US_national_yearly!$D:$AM, 11, FALSE) / VLOOKUP("electricity|NOx|Premature mortality", US_national_yearly!$D:$AM, 10, FALSE), 1)</f>
        <v>1.2353191276695736E-4</v>
      </c>
      <c r="D2" s="7">
        <f>$B2 * IFERROR(VLOOKUP("electricity|NOx|Premature mortality", US_national_yearly!$D:$AM, 12, FALSE) / VLOOKUP("electricity|NOx|Premature mortality", US_national_yearly!$D:$AM, 10, FALSE), 1)</f>
        <v>1.253731695088975E-4</v>
      </c>
      <c r="E2" s="7">
        <f>$B2 * IFERROR(VLOOKUP("electricity|NOx|Premature mortality", US_national_yearly!$D:$AM, 13, FALSE) / VLOOKUP("electricity|NOx|Premature mortality", US_national_yearly!$D:$AM, 10, FALSE), 1)</f>
        <v>1.2721442625083761E-4</v>
      </c>
      <c r="F2" s="7">
        <f>$B2 * IFERROR(VLOOKUP("electricity|NOx|Premature mortality", US_national_yearly!$D:$AM, 14, FALSE) / VLOOKUP("electricity|NOx|Premature mortality", US_national_yearly!$D:$AM, 10, FALSE), 1)</f>
        <v>1.2905568299277772E-4</v>
      </c>
      <c r="G2" s="7">
        <f>$B2 * IFERROR(VLOOKUP("electricity|NOx|Premature mortality", US_national_yearly!$D:$AM, 15, FALSE) / VLOOKUP("electricity|NOx|Premature mortality", US_national_yearly!$D:$AM, 10, FALSE), 1)</f>
        <v>1.3234484565297292E-4</v>
      </c>
      <c r="H2" s="7">
        <f>$B2 * IFERROR(VLOOKUP("electricity|NOx|Premature mortality", US_national_yearly!$D:$AM, 16, FALSE) / VLOOKUP("electricity|NOx|Premature mortality", US_national_yearly!$D:$AM, 10, FALSE), 1)</f>
        <v>1.3563400831316806E-4</v>
      </c>
      <c r="I2" s="7">
        <f>$B2 * IFERROR(VLOOKUP("electricity|NOx|Premature mortality", US_national_yearly!$D:$AM, 17, FALSE) / VLOOKUP("electricity|NOx|Premature mortality", US_national_yearly!$D:$AM, 10, FALSE), 1)</f>
        <v>1.3781979200257416E-4</v>
      </c>
      <c r="J2" s="7">
        <f>$B2 * IFERROR(VLOOKUP("electricity|NOx|Premature mortality", US_national_yearly!$D:$AM, 18, FALSE) / VLOOKUP("electricity|NOx|Premature mortality", US_national_yearly!$D:$AM, 10, FALSE), 1)</f>
        <v>1.4000557569198026E-4</v>
      </c>
      <c r="K2" s="7">
        <f>$B2 * IFERROR(VLOOKUP("electricity|NOx|Premature mortality", US_national_yearly!$D:$AM, 19, FALSE) / VLOOKUP("electricity|NOx|Premature mortality", US_national_yearly!$D:$AM, 10, FALSE), 1)</f>
        <v>1.4219135938138637E-4</v>
      </c>
      <c r="L2" s="7">
        <f>$B2 * IFERROR(VLOOKUP("electricity|NOx|Premature mortality", US_national_yearly!$D:$AM, 20, FALSE) / VLOOKUP("electricity|NOx|Premature mortality", US_national_yearly!$D:$AM, 10, FALSE), 1)</f>
        <v>1.4437714307079247E-4</v>
      </c>
      <c r="M2" s="7">
        <f>$B2 * IFERROR(VLOOKUP("electricity|NOx|Premature mortality", US_national_yearly!$D:$AM, 21, FALSE) / VLOOKUP("electricity|NOx|Premature mortality", US_national_yearly!$D:$AM, 10, FALSE), 1)</f>
        <v>1.4656292676019854E-4</v>
      </c>
      <c r="N2" s="7">
        <f>$B2 * IFERROR(VLOOKUP("electricity|NOx|Premature mortality", US_national_yearly!$D:$AM, 22, FALSE) / VLOOKUP("electricity|NOx|Premature mortality", US_national_yearly!$D:$AM, 10, FALSE), 1)</f>
        <v>1.4824951156384945E-4</v>
      </c>
      <c r="O2" s="7">
        <f>$B2 * IFERROR(VLOOKUP("electricity|NOx|Premature mortality", US_national_yearly!$D:$AM, 23, FALSE) / VLOOKUP("electricity|NOx|Premature mortality", US_national_yearly!$D:$AM, 10, FALSE), 1)</f>
        <v>1.4993609636750044E-4</v>
      </c>
      <c r="P2" s="7">
        <f>$B2 * IFERROR(VLOOKUP("electricity|NOx|Premature mortality", US_national_yearly!$D:$AM, 24, FALSE) / VLOOKUP("electricity|NOx|Premature mortality", US_national_yearly!$D:$AM, 10, FALSE), 1)</f>
        <v>1.5162268117115135E-4</v>
      </c>
      <c r="Q2" s="7">
        <f>$B2 * IFERROR(VLOOKUP("electricity|NOx|Premature mortality", US_national_yearly!$D:$AM, 25, FALSE) / VLOOKUP("electricity|NOx|Premature mortality", US_national_yearly!$D:$AM, 10, FALSE), 1)</f>
        <v>1.5330926597480229E-4</v>
      </c>
      <c r="R2" s="7">
        <f>$B2 * IFERROR(VLOOKUP("electricity|NOx|Premature mortality", US_national_yearly!$D:$AM, 26, FALSE) / VLOOKUP("electricity|NOx|Premature mortality", US_national_yearly!$D:$AM, 10, FALSE), 1)</f>
        <v>1.5499585077845322E-4</v>
      </c>
      <c r="S2" s="7">
        <f>$B2 * IFERROR(VLOOKUP("electricity|NOx|Premature mortality", US_national_yearly!$D:$AM, 27, FALSE) / VLOOKUP("electricity|NOx|Premature mortality", US_national_yearly!$D:$AM, 10, FALSE), 1)</f>
        <v>1.5586737976499502E-4</v>
      </c>
      <c r="T2" s="7">
        <f>$B2 * IFERROR(VLOOKUP("electricity|NOx|Premature mortality", US_national_yearly!$D:$AM, 28, FALSE) / VLOOKUP("electricity|NOx|Premature mortality", US_national_yearly!$D:$AM, 10, FALSE), 1)</f>
        <v>1.5673890875153682E-4</v>
      </c>
      <c r="U2" s="7">
        <f>$B2 * IFERROR(VLOOKUP("electricity|NOx|Premature mortality", US_national_yearly!$D:$AM, 29, FALSE) / VLOOKUP("electricity|NOx|Premature mortality", US_national_yearly!$D:$AM, 10, FALSE), 1)</f>
        <v>1.5761043773807867E-4</v>
      </c>
      <c r="V2" s="7">
        <f>$B2 * IFERROR(VLOOKUP("electricity|NOx|Premature mortality", US_national_yearly!$D:$AM, 30, FALSE) / VLOOKUP("electricity|NOx|Premature mortality", US_national_yearly!$D:$AM, 10, FALSE), 1)</f>
        <v>1.5848196672462047E-4</v>
      </c>
      <c r="W2" s="7">
        <f>$B2 * IFERROR(VLOOKUP("electricity|NOx|Premature mortality", US_national_yearly!$D:$AM, 31, FALSE) / VLOOKUP("electricity|NOx|Premature mortality", US_national_yearly!$D:$AM, 10, FALSE), 1)</f>
        <v>1.5935349571116227E-4</v>
      </c>
      <c r="X2" s="7">
        <f>$B2 * IFERROR(VLOOKUP("electricity|NOx|Premature mortality", US_national_yearly!$D:$AM, 32, FALSE) / VLOOKUP("electricity|NOx|Premature mortality", US_national_yearly!$D:$AM, 10, FALSE), 1)</f>
        <v>1.5955066264306217E-4</v>
      </c>
      <c r="Y2" s="7">
        <f>$B2 * IFERROR(VLOOKUP("electricity|NOx|Premature mortality", US_national_yearly!$D:$AM, 33, FALSE) / VLOOKUP("electricity|NOx|Premature mortality", US_national_yearly!$D:$AM, 10, FALSE), 1)</f>
        <v>1.597478295749621E-4</v>
      </c>
      <c r="Z2" s="7">
        <f>$B2 * IFERROR(VLOOKUP("electricity|NOx|Premature mortality", US_national_yearly!$D:$AM, 34, FALSE) / VLOOKUP("electricity|NOx|Premature mortality", US_national_yearly!$D:$AM, 10, FALSE), 1)</f>
        <v>1.5994499650686203E-4</v>
      </c>
      <c r="AA2" s="7">
        <f>$B2 * IFERROR(VLOOKUP("electricity|NOx|Premature mortality", US_national_yearly!$D:$AM, 35, FALSE) / VLOOKUP("electricity|NOx|Premature mortality", US_national_yearly!$D:$AM, 10, FALSE), 1)</f>
        <v>1.6014216343876193E-4</v>
      </c>
      <c r="AB2" s="7">
        <f>$B2 * IFERROR(VLOOKUP("electricity|NOx|Premature mortality", US_national_yearly!$D:$AM, 36, FALSE) / VLOOKUP("electricity|NOx|Premature mortality", US_national_yearly!$D:$AM, 10, FALSE), 1)</f>
        <v>1.6033933037066183E-4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3.6979355343071165E-7</v>
      </c>
      <c r="C3" s="7">
        <f>$B3 * IFERROR(VLOOKUP("electricity|NOx|Infant mortality", US_national_yearly!$D:$AM, 11, FALSE) / VLOOKUP("electricity|NOx|Infant mortality", US_national_yearly!$D:$AM, 10, FALSE), 1)</f>
        <v>3.6633392345626432E-7</v>
      </c>
      <c r="D3" s="7">
        <f>$B3 * IFERROR(VLOOKUP("electricity|NOx|Infant mortality", US_national_yearly!$D:$AM, 12, FALSE) / VLOOKUP("electricity|NOx|Infant mortality", US_national_yearly!$D:$AM, 10, FALSE), 1)</f>
        <v>3.6287429348181688E-7</v>
      </c>
      <c r="E3" s="7">
        <f>$B3 * IFERROR(VLOOKUP("electricity|NOx|Infant mortality", US_national_yearly!$D:$AM, 13, FALSE) / VLOOKUP("electricity|NOx|Infant mortality", US_national_yearly!$D:$AM, 10, FALSE), 1)</f>
        <v>3.5941466350736949E-7</v>
      </c>
      <c r="F3" s="7">
        <f>$B3 * IFERROR(VLOOKUP("electricity|NOx|Infant mortality", US_national_yearly!$D:$AM, 14, FALSE) / VLOOKUP("electricity|NOx|Infant mortality", US_national_yearly!$D:$AM, 10, FALSE), 1)</f>
        <v>3.5595503353292206E-7</v>
      </c>
      <c r="G3" s="7">
        <f>$B3 * IFERROR(VLOOKUP("electricity|NOx|Infant mortality", US_national_yearly!$D:$AM, 15, FALSE) / VLOOKUP("electricity|NOx|Infant mortality", US_national_yearly!$D:$AM, 10, FALSE), 1)</f>
        <v>2.3583784501456811E-7</v>
      </c>
      <c r="H3" s="7">
        <f>$B3 * IFERROR(VLOOKUP("electricity|NOx|Infant mortality", US_national_yearly!$D:$AM, 16, FALSE) / VLOOKUP("electricity|NOx|Infant mortality", US_national_yearly!$D:$AM, 10, FALSE), 1)</f>
        <v>1.1572065649621418E-7</v>
      </c>
      <c r="I3" s="7">
        <f>$B3 * IFERROR(VLOOKUP("electricity|NOx|Infant mortality", US_national_yearly!$D:$AM, 17, FALSE) / VLOOKUP("electricity|NOx|Infant mortality", US_national_yearly!$D:$AM, 10, FALSE), 1)</f>
        <v>1.1487907264567331E-7</v>
      </c>
      <c r="J3" s="7">
        <f>$B3 * IFERROR(VLOOKUP("electricity|NOx|Infant mortality", US_national_yearly!$D:$AM, 18, FALSE) / VLOOKUP("electricity|NOx|Infant mortality", US_national_yearly!$D:$AM, 10, FALSE), 1)</f>
        <v>1.1403748879513245E-7</v>
      </c>
      <c r="K3" s="7">
        <f>$B3 * IFERROR(VLOOKUP("electricity|NOx|Infant mortality", US_national_yearly!$D:$AM, 19, FALSE) / VLOOKUP("electricity|NOx|Infant mortality", US_national_yearly!$D:$AM, 10, FALSE), 1)</f>
        <v>1.1319590494459159E-7</v>
      </c>
      <c r="L3" s="7">
        <f>$B3 * IFERROR(VLOOKUP("electricity|NOx|Infant mortality", US_national_yearly!$D:$AM, 20, FALSE) / VLOOKUP("electricity|NOx|Infant mortality", US_national_yearly!$D:$AM, 10, FALSE), 1)</f>
        <v>1.1235432109405073E-7</v>
      </c>
      <c r="M3" s="7">
        <f>$B3 * IFERROR(VLOOKUP("electricity|NOx|Infant mortality", US_national_yearly!$D:$AM, 21, FALSE) / VLOOKUP("electricity|NOx|Infant mortality", US_national_yearly!$D:$AM, 10, FALSE), 1)</f>
        <v>1.1151273724350985E-7</v>
      </c>
      <c r="N3" s="7">
        <f>$B3 * IFERROR(VLOOKUP("electricity|NOx|Infant mortality", US_national_yearly!$D:$AM, 22, FALSE) / VLOOKUP("electricity|NOx|Infant mortality", US_national_yearly!$D:$AM, 10, FALSE), 1)</f>
        <v>1.1094760764243018E-7</v>
      </c>
      <c r="O3" s="7">
        <f>$B3 * IFERROR(VLOOKUP("electricity|NOx|Infant mortality", US_national_yearly!$D:$AM, 23, FALSE) / VLOOKUP("electricity|NOx|Infant mortality", US_national_yearly!$D:$AM, 10, FALSE), 1)</f>
        <v>1.103824780413505E-7</v>
      </c>
      <c r="P3" s="7">
        <f>$B3 * IFERROR(VLOOKUP("electricity|NOx|Infant mortality", US_national_yearly!$D:$AM, 24, FALSE) / VLOOKUP("electricity|NOx|Infant mortality", US_national_yearly!$D:$AM, 10, FALSE), 1)</f>
        <v>1.098173484402708E-7</v>
      </c>
      <c r="Q3" s="7">
        <f>$B3 * IFERROR(VLOOKUP("electricity|NOx|Infant mortality", US_national_yearly!$D:$AM, 25, FALSE) / VLOOKUP("electricity|NOx|Infant mortality", US_national_yearly!$D:$AM, 10, FALSE), 1)</f>
        <v>1.0925221883919112E-7</v>
      </c>
      <c r="R3" s="7">
        <f>$B3 * IFERROR(VLOOKUP("electricity|NOx|Infant mortality", US_national_yearly!$D:$AM, 26, FALSE) / VLOOKUP("electricity|NOx|Infant mortality", US_national_yearly!$D:$AM, 10, FALSE), 1)</f>
        <v>1.0868708923811145E-7</v>
      </c>
      <c r="S3" s="7">
        <f>$B3 * IFERROR(VLOOKUP("electricity|NOx|Infant mortality", US_national_yearly!$D:$AM, 27, FALSE) / VLOOKUP("electricity|NOx|Infant mortality", US_national_yearly!$D:$AM, 10, FALSE), 1)</f>
        <v>1.0801618198743383E-7</v>
      </c>
      <c r="T3" s="7">
        <f>$B3 * IFERROR(VLOOKUP("electricity|NOx|Infant mortality", US_national_yearly!$D:$AM, 28, FALSE) / VLOOKUP("electricity|NOx|Infant mortality", US_national_yearly!$D:$AM, 10, FALSE), 1)</f>
        <v>1.0734527473675623E-7</v>
      </c>
      <c r="U3" s="7">
        <f>$B3 * IFERROR(VLOOKUP("electricity|NOx|Infant mortality", US_national_yearly!$D:$AM, 29, FALSE) / VLOOKUP("electricity|NOx|Infant mortality", US_national_yearly!$D:$AM, 10, FALSE), 1)</f>
        <v>1.0667436748607865E-7</v>
      </c>
      <c r="V3" s="7">
        <f>$B3 * IFERROR(VLOOKUP("electricity|NOx|Infant mortality", US_national_yearly!$D:$AM, 30, FALSE) / VLOOKUP("electricity|NOx|Infant mortality", US_national_yearly!$D:$AM, 10, FALSE), 1)</f>
        <v>1.0600346023540107E-7</v>
      </c>
      <c r="W3" s="7">
        <f>$B3 * IFERROR(VLOOKUP("electricity|NOx|Infant mortality", US_national_yearly!$D:$AM, 31, FALSE) / VLOOKUP("electricity|NOx|Infant mortality", US_national_yearly!$D:$AM, 10, FALSE), 1)</f>
        <v>1.0533255298472346E-7</v>
      </c>
      <c r="X3" s="7">
        <f>$B3 * IFERROR(VLOOKUP("electricity|NOx|Infant mortality", US_national_yearly!$D:$AM, 32, FALSE) / VLOOKUP("electricity|NOx|Infant mortality", US_national_yearly!$D:$AM, 10, FALSE), 1)</f>
        <v>1.0464173698263133E-7</v>
      </c>
      <c r="Y3" s="7">
        <f>$B3 * IFERROR(VLOOKUP("electricity|NOx|Infant mortality", US_national_yearly!$D:$AM, 33, FALSE) / VLOOKUP("electricity|NOx|Infant mortality", US_national_yearly!$D:$AM, 10, FALSE), 1)</f>
        <v>1.039509209805392E-7</v>
      </c>
      <c r="Z3" s="7">
        <f>$B3 * IFERROR(VLOOKUP("electricity|NOx|Infant mortality", US_national_yearly!$D:$AM, 34, FALSE) / VLOOKUP("electricity|NOx|Infant mortality", US_national_yearly!$D:$AM, 10, FALSE), 1)</f>
        <v>1.0326010497844707E-7</v>
      </c>
      <c r="AA3" s="7">
        <f>$B3 * IFERROR(VLOOKUP("electricity|NOx|Infant mortality", US_national_yearly!$D:$AM, 35, FALSE) / VLOOKUP("electricity|NOx|Infant mortality", US_national_yearly!$D:$AM, 10, FALSE), 1)</f>
        <v>1.0256928897635494E-7</v>
      </c>
      <c r="AB3" s="7">
        <f>$B3 * IFERROR(VLOOKUP("electricity|NOx|Infant mortality", US_national_yearly!$D:$AM, 36, FALSE) / VLOOKUP("electricity|NOx|Infant mortality", US_national_yearly!$D:$AM, 10, FALSE), 1)</f>
        <v>1.0187847297426279E-7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2.8836923889477654E-4</v>
      </c>
      <c r="C6" s="7">
        <f>$B6 * IFERROR(VLOOKUP("electricity|NOx|Asthma symptoms cough", US_national_yearly!$D:$AM, 11, FALSE) / VLOOKUP("electricity|NOx|Asthma symptoms cough", US_national_yearly!$D:$AM, 10, FALSE), 1)</f>
        <v>2.9232818258868165E-4</v>
      </c>
      <c r="D6" s="7">
        <f>$B6 * IFERROR(VLOOKUP("electricity|NOx|Asthma symptoms cough", US_national_yearly!$D:$AM, 12, FALSE) / VLOOKUP("electricity|NOx|Asthma symptoms cough", US_national_yearly!$D:$AM, 10, FALSE), 1)</f>
        <v>2.9628712628258682E-4</v>
      </c>
      <c r="E6" s="7">
        <f>$B6 * IFERROR(VLOOKUP("electricity|NOx|Asthma symptoms cough", US_national_yearly!$D:$AM, 13, FALSE) / VLOOKUP("electricity|NOx|Asthma symptoms cough", US_national_yearly!$D:$AM, 10, FALSE), 1)</f>
        <v>3.0024606997649194E-4</v>
      </c>
      <c r="F6" s="7">
        <f>$B6 * IFERROR(VLOOKUP("electricity|NOx|Asthma symptoms cough", US_national_yearly!$D:$AM, 14, FALSE) / VLOOKUP("electricity|NOx|Asthma symptoms cough", US_national_yearly!$D:$AM, 10, FALSE), 1)</f>
        <v>3.04205013670397E-4</v>
      </c>
      <c r="G6" s="7">
        <f>$B6 * IFERROR(VLOOKUP("electricity|NOx|Asthma symptoms cough", US_national_yearly!$D:$AM, 15, FALSE) / VLOOKUP("electricity|NOx|Asthma symptoms cough", US_national_yearly!$D:$AM, 10, FALSE), 1)</f>
        <v>3.0742384480560679E-4</v>
      </c>
      <c r="H6" s="7">
        <f>$B6 * IFERROR(VLOOKUP("electricity|NOx|Asthma symptoms cough", US_national_yearly!$D:$AM, 16, FALSE) / VLOOKUP("electricity|NOx|Asthma symptoms cough", US_national_yearly!$D:$AM, 10, FALSE), 1)</f>
        <v>3.1064267594081658E-4</v>
      </c>
      <c r="I6" s="7">
        <f>$B6 * IFERROR(VLOOKUP("electricity|NOx|Asthma symptoms cough", US_national_yearly!$D:$AM, 17, FALSE) / VLOOKUP("electricity|NOx|Asthma symptoms cough", US_national_yearly!$D:$AM, 10, FALSE), 1)</f>
        <v>3.1183923792613122E-4</v>
      </c>
      <c r="J6" s="7">
        <f>$B6 * IFERROR(VLOOKUP("electricity|NOx|Asthma symptoms cough", US_national_yearly!$D:$AM, 18, FALSE) / VLOOKUP("electricity|NOx|Asthma symptoms cough", US_national_yearly!$D:$AM, 10, FALSE), 1)</f>
        <v>3.1303579991144587E-4</v>
      </c>
      <c r="K6" s="7">
        <f>$B6 * IFERROR(VLOOKUP("electricity|NOx|Asthma symptoms cough", US_national_yearly!$D:$AM, 19, FALSE) / VLOOKUP("electricity|NOx|Asthma symptoms cough", US_national_yearly!$D:$AM, 10, FALSE), 1)</f>
        <v>3.1423236189676062E-4</v>
      </c>
      <c r="L6" s="7">
        <f>$B6 * IFERROR(VLOOKUP("electricity|NOx|Asthma symptoms cough", US_national_yearly!$D:$AM, 20, FALSE) / VLOOKUP("electricity|NOx|Asthma symptoms cough", US_national_yearly!$D:$AM, 10, FALSE), 1)</f>
        <v>3.1542892388207526E-4</v>
      </c>
      <c r="M6" s="7">
        <f>$B6 * IFERROR(VLOOKUP("electricity|NOx|Asthma symptoms cough", US_national_yearly!$D:$AM, 21, FALSE) / VLOOKUP("electricity|NOx|Asthma symptoms cough", US_national_yearly!$D:$AM, 10, FALSE), 1)</f>
        <v>3.1662548586739001E-4</v>
      </c>
      <c r="N6" s="7">
        <f>$B6 * IFERROR(VLOOKUP("electricity|NOx|Asthma symptoms cough", US_national_yearly!$D:$AM, 22, FALSE) / VLOOKUP("electricity|NOx|Asthma symptoms cough", US_national_yearly!$D:$AM, 10, FALSE), 1)</f>
        <v>3.1795126658032381E-4</v>
      </c>
      <c r="O6" s="7">
        <f>$B6 * IFERROR(VLOOKUP("electricity|NOx|Asthma symptoms cough", US_national_yearly!$D:$AM, 23, FALSE) / VLOOKUP("electricity|NOx|Asthma symptoms cough", US_national_yearly!$D:$AM, 10, FALSE), 1)</f>
        <v>3.1927704729325772E-4</v>
      </c>
      <c r="P6" s="7">
        <f>$B6 * IFERROR(VLOOKUP("electricity|NOx|Asthma symptoms cough", US_national_yearly!$D:$AM, 24, FALSE) / VLOOKUP("electricity|NOx|Asthma symptoms cough", US_national_yearly!$D:$AM, 10, FALSE), 1)</f>
        <v>3.2060282800619152E-4</v>
      </c>
      <c r="Q6" s="7">
        <f>$B6 * IFERROR(VLOOKUP("electricity|NOx|Asthma symptoms cough", US_national_yearly!$D:$AM, 25, FALSE) / VLOOKUP("electricity|NOx|Asthma symptoms cough", US_national_yearly!$D:$AM, 10, FALSE), 1)</f>
        <v>3.2192860871912542E-4</v>
      </c>
      <c r="R6" s="7">
        <f>$B6 * IFERROR(VLOOKUP("electricity|NOx|Asthma symptoms cough", US_national_yearly!$D:$AM, 26, FALSE) / VLOOKUP("electricity|NOx|Asthma symptoms cough", US_national_yearly!$D:$AM, 10, FALSE), 1)</f>
        <v>3.2325438943205922E-4</v>
      </c>
      <c r="S6" s="7">
        <f>$B6 * IFERROR(VLOOKUP("electricity|NOx|Asthma symptoms cough", US_national_yearly!$D:$AM, 27, FALSE) / VLOOKUP("electricity|NOx|Asthma symptoms cough", US_national_yearly!$D:$AM, 10, FALSE), 1)</f>
        <v>3.2490842295980536E-4</v>
      </c>
      <c r="T6" s="7">
        <f>$B6 * IFERROR(VLOOKUP("electricity|NOx|Asthma symptoms cough", US_national_yearly!$D:$AM, 28, FALSE) / VLOOKUP("electricity|NOx|Asthma symptoms cough", US_national_yearly!$D:$AM, 10, FALSE), 1)</f>
        <v>3.2656245648755145E-4</v>
      </c>
      <c r="U6" s="7">
        <f>$B6 * IFERROR(VLOOKUP("electricity|NOx|Asthma symptoms cough", US_national_yearly!$D:$AM, 29, FALSE) / VLOOKUP("electricity|NOx|Asthma symptoms cough", US_national_yearly!$D:$AM, 10, FALSE), 1)</f>
        <v>3.2821649001529764E-4</v>
      </c>
      <c r="V6" s="7">
        <f>$B6 * IFERROR(VLOOKUP("electricity|NOx|Asthma symptoms cough", US_national_yearly!$D:$AM, 30, FALSE) / VLOOKUP("electricity|NOx|Asthma symptoms cough", US_national_yearly!$D:$AM, 10, FALSE), 1)</f>
        <v>3.2987052354304373E-4</v>
      </c>
      <c r="W6" s="7">
        <f>$B6 * IFERROR(VLOOKUP("electricity|NOx|Asthma symptoms cough", US_national_yearly!$D:$AM, 31, FALSE) / VLOOKUP("electricity|NOx|Asthma symptoms cough", US_national_yearly!$D:$AM, 10, FALSE), 1)</f>
        <v>3.3152455707078987E-4</v>
      </c>
      <c r="X6" s="7">
        <f>$B6 * IFERROR(VLOOKUP("electricity|NOx|Asthma symptoms cough", US_national_yearly!$D:$AM, 32, FALSE) / VLOOKUP("electricity|NOx|Asthma symptoms cough", US_national_yearly!$D:$AM, 10, FALSE), 1)</f>
        <v>3.3304842920086513E-4</v>
      </c>
      <c r="Y6" s="7">
        <f>$B6 * IFERROR(VLOOKUP("electricity|NOx|Asthma symptoms cough", US_national_yearly!$D:$AM, 33, FALSE) / VLOOKUP("electricity|NOx|Asthma symptoms cough", US_national_yearly!$D:$AM, 10, FALSE), 1)</f>
        <v>3.345723013309405E-4</v>
      </c>
      <c r="Z6" s="7">
        <f>$B6 * IFERROR(VLOOKUP("electricity|NOx|Asthma symptoms cough", US_national_yearly!$D:$AM, 34, FALSE) / VLOOKUP("electricity|NOx|Asthma symptoms cough", US_national_yearly!$D:$AM, 10, FALSE), 1)</f>
        <v>3.3609617346101582E-4</v>
      </c>
      <c r="AA6" s="7">
        <f>$B6 * IFERROR(VLOOKUP("electricity|NOx|Asthma symptoms cough", US_national_yearly!$D:$AM, 35, FALSE) / VLOOKUP("electricity|NOx|Asthma symptoms cough", US_national_yearly!$D:$AM, 10, FALSE), 1)</f>
        <v>3.3762004559109113E-4</v>
      </c>
      <c r="AB6" s="7">
        <f>$B6 * IFERROR(VLOOKUP("electricity|NOx|Asthma symptoms cough", US_national_yearly!$D:$AM, 36, FALSE) / VLOOKUP("electricity|NOx|Asthma symptoms cough", US_national_yearly!$D:$AM, 10, FALSE), 1)</f>
        <v>3.3914391772116645E-4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3.8833081464497316E-4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3.9366210390735145E-4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3.9899339316972984E-4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4.0432468243210818E-4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4.0965597169448646E-4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4.1399059253618135E-4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4.1832521337787618E-4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4.1993655683421685E-4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4.2154790029055736E-4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4.2315924374689793E-4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4.2477058720323839E-4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4.2638193065957895E-4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4.2816728579081129E-4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4.2995264092204373E-4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4.3173799605327601E-4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4.3352335118450845E-4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4.3530870631574079E-4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4.3753610125727853E-4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4.3976349619881622E-4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4.4199089114035396E-4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4.4421828608189165E-4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4.4644568102342939E-4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4.4849779485008236E-4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4.5054990867673532E-4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4.5260202250338829E-4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4.546541363300412E-4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4.5670625015669422E-4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5.9330441716141219E-4</v>
      </c>
      <c r="C8" s="7">
        <f>$B8 * IFERROR(VLOOKUP("electricity|NOx|Asthma symptoms wheeze", US_national_yearly!$D:$AM, 11, FALSE) / VLOOKUP("electricity|NOx|Asthma symptoms wheeze", US_national_yearly!$D:$AM, 10, FALSE), 1)</f>
        <v>6.0144973387161332E-4</v>
      </c>
      <c r="D8" s="7">
        <f>$B8 * IFERROR(VLOOKUP("electricity|NOx|Asthma symptoms wheeze", US_national_yearly!$D:$AM, 12, FALSE) / VLOOKUP("electricity|NOx|Asthma symptoms wheeze", US_national_yearly!$D:$AM, 10, FALSE), 1)</f>
        <v>6.0959505058181434E-4</v>
      </c>
      <c r="E8" s="7">
        <f>$B8 * IFERROR(VLOOKUP("electricity|NOx|Asthma symptoms wheeze", US_national_yearly!$D:$AM, 13, FALSE) / VLOOKUP("electricity|NOx|Asthma symptoms wheeze", US_national_yearly!$D:$AM, 10, FALSE), 1)</f>
        <v>6.1774036729201546E-4</v>
      </c>
      <c r="F8" s="7">
        <f>$B8 * IFERROR(VLOOKUP("electricity|NOx|Asthma symptoms wheeze", US_national_yearly!$D:$AM, 14, FALSE) / VLOOKUP("electricity|NOx|Asthma symptoms wheeze", US_national_yearly!$D:$AM, 10, FALSE), 1)</f>
        <v>6.258856840022167E-4</v>
      </c>
      <c r="G8" s="7">
        <f>$B8 * IFERROR(VLOOKUP("electricity|NOx|Asthma symptoms wheeze", US_national_yearly!$D:$AM, 15, FALSE) / VLOOKUP("electricity|NOx|Asthma symptoms wheeze", US_national_yearly!$D:$AM, 10, FALSE), 1)</f>
        <v>6.3250825836908193E-4</v>
      </c>
      <c r="H8" s="7">
        <f>$B8 * IFERROR(VLOOKUP("electricity|NOx|Asthma symptoms wheeze", US_national_yearly!$D:$AM, 16, FALSE) / VLOOKUP("electricity|NOx|Asthma symptoms wheeze", US_national_yearly!$D:$AM, 10, FALSE), 1)</f>
        <v>6.3913083273594727E-4</v>
      </c>
      <c r="I8" s="7">
        <f>$B8 * IFERROR(VLOOKUP("electricity|NOx|Asthma symptoms wheeze", US_national_yearly!$D:$AM, 17, FALSE) / VLOOKUP("electricity|NOx|Asthma symptoms wheeze", US_national_yearly!$D:$AM, 10, FALSE), 1)</f>
        <v>6.4159269556396501E-4</v>
      </c>
      <c r="J8" s="7">
        <f>$B8 * IFERROR(VLOOKUP("electricity|NOx|Asthma symptoms wheeze", US_national_yearly!$D:$AM, 18, FALSE) / VLOOKUP("electricity|NOx|Asthma symptoms wheeze", US_national_yearly!$D:$AM, 10, FALSE), 1)</f>
        <v>6.4405455839198263E-4</v>
      </c>
      <c r="K8" s="7">
        <f>$B8 * IFERROR(VLOOKUP("electricity|NOx|Asthma symptoms wheeze", US_national_yearly!$D:$AM, 19, FALSE) / VLOOKUP("electricity|NOx|Asthma symptoms wheeze", US_national_yearly!$D:$AM, 10, FALSE), 1)</f>
        <v>6.4651642122000059E-4</v>
      </c>
      <c r="L8" s="7">
        <f>$B8 * IFERROR(VLOOKUP("electricity|NOx|Asthma symptoms wheeze", US_national_yearly!$D:$AM, 20, FALSE) / VLOOKUP("electricity|NOx|Asthma symptoms wheeze", US_national_yearly!$D:$AM, 10, FALSE), 1)</f>
        <v>6.4897828404801832E-4</v>
      </c>
      <c r="M8" s="7">
        <f>$B8 * IFERROR(VLOOKUP("electricity|NOx|Asthma symptoms wheeze", US_national_yearly!$D:$AM, 21, FALSE) / VLOOKUP("electricity|NOx|Asthma symptoms wheeze", US_national_yearly!$D:$AM, 10, FALSE), 1)</f>
        <v>6.5144014687603595E-4</v>
      </c>
      <c r="N8" s="7">
        <f>$B8 * IFERROR(VLOOKUP("electricity|NOx|Asthma symptoms wheeze", US_national_yearly!$D:$AM, 22, FALSE) / VLOOKUP("electricity|NOx|Asthma symptoms wheeze", US_national_yearly!$D:$AM, 10, FALSE), 1)</f>
        <v>6.541678703836357E-4</v>
      </c>
      <c r="O8" s="7">
        <f>$B8 * IFERROR(VLOOKUP("electricity|NOx|Asthma symptoms wheeze", US_national_yearly!$D:$AM, 23, FALSE) / VLOOKUP("electricity|NOx|Asthma symptoms wheeze", US_national_yearly!$D:$AM, 10, FALSE), 1)</f>
        <v>6.5689559389123567E-4</v>
      </c>
      <c r="P8" s="7">
        <f>$B8 * IFERROR(VLOOKUP("electricity|NOx|Asthma symptoms wheeze", US_national_yearly!$D:$AM, 24, FALSE) / VLOOKUP("electricity|NOx|Asthma symptoms wheeze", US_national_yearly!$D:$AM, 10, FALSE), 1)</f>
        <v>6.5962331739883554E-4</v>
      </c>
      <c r="Q8" s="7">
        <f>$B8 * IFERROR(VLOOKUP("electricity|NOx|Asthma symptoms wheeze", US_national_yearly!$D:$AM, 25, FALSE) / VLOOKUP("electricity|NOx|Asthma symptoms wheeze", US_national_yearly!$D:$AM, 10, FALSE), 1)</f>
        <v>6.6235104090643529E-4</v>
      </c>
      <c r="R8" s="7">
        <f>$B8 * IFERROR(VLOOKUP("electricity|NOx|Asthma symptoms wheeze", US_national_yearly!$D:$AM, 26, FALSE) / VLOOKUP("electricity|NOx|Asthma symptoms wheeze", US_national_yearly!$D:$AM, 10, FALSE), 1)</f>
        <v>6.6507876441403505E-4</v>
      </c>
      <c r="S8" s="7">
        <f>$B8 * IFERROR(VLOOKUP("electricity|NOx|Asthma symptoms wheeze", US_national_yearly!$D:$AM, 27, FALSE) / VLOOKUP("electricity|NOx|Asthma symptoms wheeze", US_national_yearly!$D:$AM, 10, FALSE), 1)</f>
        <v>6.6848185068109941E-4</v>
      </c>
      <c r="T8" s="7">
        <f>$B8 * IFERROR(VLOOKUP("electricity|NOx|Asthma symptoms wheeze", US_national_yearly!$D:$AM, 28, FALSE) / VLOOKUP("electricity|NOx|Asthma symptoms wheeze", US_national_yearly!$D:$AM, 10, FALSE), 1)</f>
        <v>6.7188493694816378E-4</v>
      </c>
      <c r="U8" s="7">
        <f>$B8 * IFERROR(VLOOKUP("electricity|NOx|Asthma symptoms wheeze", US_national_yearly!$D:$AM, 29, FALSE) / VLOOKUP("electricity|NOx|Asthma symptoms wheeze", US_national_yearly!$D:$AM, 10, FALSE), 1)</f>
        <v>6.7528802321522804E-4</v>
      </c>
      <c r="V8" s="7">
        <f>$B8 * IFERROR(VLOOKUP("electricity|NOx|Asthma symptoms wheeze", US_national_yearly!$D:$AM, 30, FALSE) / VLOOKUP("electricity|NOx|Asthma symptoms wheeze", US_national_yearly!$D:$AM, 10, FALSE), 1)</f>
        <v>6.7869110948229241E-4</v>
      </c>
      <c r="W8" s="7">
        <f>$B8 * IFERROR(VLOOKUP("electricity|NOx|Asthma symptoms wheeze", US_national_yearly!$D:$AM, 31, FALSE) / VLOOKUP("electricity|NOx|Asthma symptoms wheeze", US_national_yearly!$D:$AM, 10, FALSE), 1)</f>
        <v>6.8209419574935689E-4</v>
      </c>
      <c r="X8" s="7">
        <f>$B8 * IFERROR(VLOOKUP("electricity|NOx|Asthma symptoms wheeze", US_national_yearly!$D:$AM, 32, FALSE) / VLOOKUP("electricity|NOx|Asthma symptoms wheeze", US_national_yearly!$D:$AM, 10, FALSE), 1)</f>
        <v>6.8522948184287884E-4</v>
      </c>
      <c r="Y8" s="7">
        <f>$B8 * IFERROR(VLOOKUP("electricity|NOx|Asthma symptoms wheeze", US_national_yearly!$D:$AM, 33, FALSE) / VLOOKUP("electricity|NOx|Asthma symptoms wheeze", US_national_yearly!$D:$AM, 10, FALSE), 1)</f>
        <v>6.883647679364009E-4</v>
      </c>
      <c r="Z8" s="7">
        <f>$B8 * IFERROR(VLOOKUP("electricity|NOx|Asthma symptoms wheeze", US_national_yearly!$D:$AM, 34, FALSE) / VLOOKUP("electricity|NOx|Asthma symptoms wheeze", US_national_yearly!$D:$AM, 10, FALSE), 1)</f>
        <v>6.9150005402992274E-4</v>
      </c>
      <c r="AA8" s="7">
        <f>$B8 * IFERROR(VLOOKUP("electricity|NOx|Asthma symptoms wheeze", US_national_yearly!$D:$AM, 35, FALSE) / VLOOKUP("electricity|NOx|Asthma symptoms wheeze", US_national_yearly!$D:$AM, 10, FALSE), 1)</f>
        <v>6.946353401234448E-4</v>
      </c>
      <c r="AB8" s="7">
        <f>$B8 * IFERROR(VLOOKUP("electricity|NOx|Asthma symptoms wheeze", US_national_yearly!$D:$AM, 36, FALSE) / VLOOKUP("electricity|NOx|Asthma symptoms wheeze", US_national_yearly!$D:$AM, 10, FALSE), 1)</f>
        <v>6.9777062621696675E-4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8.5044903525858692E-6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8.7223045550314935E-6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8.9401187574771213E-6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9.1579329599227457E-6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9.37574716236837E-6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9.5854269376623683E-6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9.7951067129563682E-6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9.9754140696938703E-6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1.0155721426431372E-5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1.0336028783168878E-5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1.051633613990638E-5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1.0696643496643884E-5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1.0820210392352099E-5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1.0943777288060314E-5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1.106734418376853E-5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1.1190911079476746E-5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1.1314477975184962E-5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1.1384853264469027E-5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1.1455228553753097E-5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1.1525603843037161E-5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1.1595979132321227E-5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1.1666354421605293E-5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1.1717541578095473E-5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1.1768728734585652E-5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1.1819915891075834E-5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1.1871103047566015E-5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1.1922290204056194E-5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4.665033623215303E-5</v>
      </c>
      <c r="C13" s="7">
        <f>$B13 * IFERROR(VLOOKUP("electricity|NOx|Non-fatal heart attacks", US_national_yearly!$D:$AM, 11, FALSE) / VLOOKUP("electricity|NOx|Non-fatal heart attacks", US_national_yearly!$D:$AM, 10, FALSE), 1)</f>
        <v>4.798907236269707E-5</v>
      </c>
      <c r="D13" s="7">
        <f>$B13 * IFERROR(VLOOKUP("electricity|NOx|Non-fatal heart attacks", US_national_yearly!$D:$AM, 12, FALSE) / VLOOKUP("electricity|NOx|Non-fatal heart attacks", US_national_yearly!$D:$AM, 10, FALSE), 1)</f>
        <v>4.9327808493241103E-5</v>
      </c>
      <c r="E13" s="7">
        <f>$B13 * IFERROR(VLOOKUP("electricity|NOx|Non-fatal heart attacks", US_national_yearly!$D:$AM, 13, FALSE) / VLOOKUP("electricity|NOx|Non-fatal heart attacks", US_national_yearly!$D:$AM, 10, FALSE), 1)</f>
        <v>5.0666544623785143E-5</v>
      </c>
      <c r="F13" s="7">
        <f>$B13 * IFERROR(VLOOKUP("electricity|NOx|Non-fatal heart attacks", US_national_yearly!$D:$AM, 14, FALSE) / VLOOKUP("electricity|NOx|Non-fatal heart attacks", US_national_yearly!$D:$AM, 10, FALSE), 1)</f>
        <v>5.2005280754329189E-5</v>
      </c>
      <c r="G13" s="7">
        <f>$B13 * IFERROR(VLOOKUP("electricity|NOx|Non-fatal heart attacks", US_national_yearly!$D:$AM, 15, FALSE) / VLOOKUP("electricity|NOx|Non-fatal heart attacks", US_national_yearly!$D:$AM, 10, FALSE), 1)</f>
        <v>5.3266421554392374E-5</v>
      </c>
      <c r="H13" s="7">
        <f>$B13 * IFERROR(VLOOKUP("electricity|NOx|Non-fatal heart attacks", US_national_yearly!$D:$AM, 16, FALSE) / VLOOKUP("electricity|NOx|Non-fatal heart attacks", US_national_yearly!$D:$AM, 10, FALSE), 1)</f>
        <v>5.4527562354455559E-5</v>
      </c>
      <c r="I13" s="7">
        <f>$B13 * IFERROR(VLOOKUP("electricity|NOx|Non-fatal heart attacks", US_national_yearly!$D:$AM, 17, FALSE) / VLOOKUP("electricity|NOx|Non-fatal heart attacks", US_national_yearly!$D:$AM, 10, FALSE), 1)</f>
        <v>5.5538869687355317E-5</v>
      </c>
      <c r="J13" s="7">
        <f>$B13 * IFERROR(VLOOKUP("electricity|NOx|Non-fatal heart attacks", US_national_yearly!$D:$AM, 18, FALSE) / VLOOKUP("electricity|NOx|Non-fatal heart attacks", US_national_yearly!$D:$AM, 10, FALSE), 1)</f>
        <v>5.6550177020255068E-5</v>
      </c>
      <c r="K13" s="7">
        <f>$B13 * IFERROR(VLOOKUP("electricity|NOx|Non-fatal heart attacks", US_national_yearly!$D:$AM, 19, FALSE) / VLOOKUP("electricity|NOx|Non-fatal heart attacks", US_national_yearly!$D:$AM, 10, FALSE), 1)</f>
        <v>5.7561484353154772E-5</v>
      </c>
      <c r="L13" s="7">
        <f>$B13 * IFERROR(VLOOKUP("electricity|NOx|Non-fatal heart attacks", US_national_yearly!$D:$AM, 20, FALSE) / VLOOKUP("electricity|NOx|Non-fatal heart attacks", US_national_yearly!$D:$AM, 10, FALSE), 1)</f>
        <v>5.857279168605453E-5</v>
      </c>
      <c r="M13" s="7">
        <f>$B13 * IFERROR(VLOOKUP("electricity|NOx|Non-fatal heart attacks", US_national_yearly!$D:$AM, 21, FALSE) / VLOOKUP("electricity|NOx|Non-fatal heart attacks", US_national_yearly!$D:$AM, 10, FALSE), 1)</f>
        <v>5.9584099018954295E-5</v>
      </c>
      <c r="N13" s="7">
        <f>$B13 * IFERROR(VLOOKUP("electricity|NOx|Non-fatal heart attacks", US_national_yearly!$D:$AM, 22, FALSE) / VLOOKUP("electricity|NOx|Non-fatal heart attacks", US_national_yearly!$D:$AM, 10, FALSE), 1)</f>
        <v>6.0207793263539723E-5</v>
      </c>
      <c r="O13" s="7">
        <f>$B13 * IFERROR(VLOOKUP("electricity|NOx|Non-fatal heart attacks", US_national_yearly!$D:$AM, 23, FALSE) / VLOOKUP("electricity|NOx|Non-fatal heart attacks", US_national_yearly!$D:$AM, 10, FALSE), 1)</f>
        <v>6.0831487508125171E-5</v>
      </c>
      <c r="P13" s="7">
        <f>$B13 * IFERROR(VLOOKUP("electricity|NOx|Non-fatal heart attacks", US_national_yearly!$D:$AM, 24, FALSE) / VLOOKUP("electricity|NOx|Non-fatal heart attacks", US_national_yearly!$D:$AM, 10, FALSE), 1)</f>
        <v>6.145518175271062E-5</v>
      </c>
      <c r="Q13" s="7">
        <f>$B13 * IFERROR(VLOOKUP("electricity|NOx|Non-fatal heart attacks", US_national_yearly!$D:$AM, 25, FALSE) / VLOOKUP("electricity|NOx|Non-fatal heart attacks", US_national_yearly!$D:$AM, 10, FALSE), 1)</f>
        <v>6.2078875997296048E-5</v>
      </c>
      <c r="R13" s="7">
        <f>$B13 * IFERROR(VLOOKUP("electricity|NOx|Non-fatal heart attacks", US_national_yearly!$D:$AM, 26, FALSE) / VLOOKUP("electricity|NOx|Non-fatal heart attacks", US_national_yearly!$D:$AM, 10, FALSE), 1)</f>
        <v>6.2702570241881489E-5</v>
      </c>
      <c r="S13" s="7">
        <f>$B13 * IFERROR(VLOOKUP("electricity|NOx|Non-fatal heart attacks", US_national_yearly!$D:$AM, 27, FALSE) / VLOOKUP("electricity|NOx|Non-fatal heart attacks", US_national_yearly!$D:$AM, 10, FALSE), 1)</f>
        <v>6.3007305171937906E-5</v>
      </c>
      <c r="T13" s="7">
        <f>$B13 * IFERROR(VLOOKUP("electricity|NOx|Non-fatal heart attacks", US_national_yearly!$D:$AM, 28, FALSE) / VLOOKUP("electricity|NOx|Non-fatal heart attacks", US_national_yearly!$D:$AM, 10, FALSE), 1)</f>
        <v>6.3312040101994309E-5</v>
      </c>
      <c r="U13" s="7">
        <f>$B13 * IFERROR(VLOOKUP("electricity|NOx|Non-fatal heart attacks", US_national_yearly!$D:$AM, 29, FALSE) / VLOOKUP("electricity|NOx|Non-fatal heart attacks", US_national_yearly!$D:$AM, 10, FALSE), 1)</f>
        <v>6.3616775032050726E-5</v>
      </c>
      <c r="V13" s="7">
        <f>$B13 * IFERROR(VLOOKUP("electricity|NOx|Non-fatal heart attacks", US_national_yearly!$D:$AM, 30, FALSE) / VLOOKUP("electricity|NOx|Non-fatal heart attacks", US_national_yearly!$D:$AM, 10, FALSE), 1)</f>
        <v>6.3921509962107129E-5</v>
      </c>
      <c r="W13" s="7">
        <f>$B13 * IFERROR(VLOOKUP("electricity|NOx|Non-fatal heart attacks", US_national_yearly!$D:$AM, 31, FALSE) / VLOOKUP("electricity|NOx|Non-fatal heart attacks", US_national_yearly!$D:$AM, 10, FALSE), 1)</f>
        <v>6.4226244892163546E-5</v>
      </c>
      <c r="X13" s="7">
        <f>$B13 * IFERROR(VLOOKUP("electricity|NOx|Non-fatal heart attacks", US_national_yearly!$D:$AM, 32, FALSE) / VLOOKUP("electricity|NOx|Non-fatal heart attacks", US_national_yearly!$D:$AM, 10, FALSE), 1)</f>
        <v>6.4438941774973486E-5</v>
      </c>
      <c r="Y13" s="7">
        <f>$B13 * IFERROR(VLOOKUP("electricity|NOx|Non-fatal heart attacks", US_national_yearly!$D:$AM, 33, FALSE) / VLOOKUP("electricity|NOx|Non-fatal heart attacks", US_national_yearly!$D:$AM, 10, FALSE), 1)</f>
        <v>6.4651638657783452E-5</v>
      </c>
      <c r="Z13" s="7">
        <f>$B13 * IFERROR(VLOOKUP("electricity|NOx|Non-fatal heart attacks", US_national_yearly!$D:$AM, 34, FALSE) / VLOOKUP("electricity|NOx|Non-fatal heart attacks", US_national_yearly!$D:$AM, 10, FALSE), 1)</f>
        <v>6.4864335540593406E-5</v>
      </c>
      <c r="AA13" s="7">
        <f>$B13 * IFERROR(VLOOKUP("electricity|NOx|Non-fatal heart attacks", US_national_yearly!$D:$AM, 35, FALSE) / VLOOKUP("electricity|NOx|Non-fatal heart attacks", US_national_yearly!$D:$AM, 10, FALSE), 1)</f>
        <v>6.5077032423403345E-5</v>
      </c>
      <c r="AB13" s="7">
        <f>$B13 * IFERROR(VLOOKUP("electricity|NOx|Non-fatal heart attacks", US_national_yearly!$D:$AM, 36, FALSE) / VLOOKUP("electricity|NOx|Non-fatal heart attacks", US_national_yearly!$D:$AM, 10, FALSE), 1)</f>
        <v>6.5289729306213312E-5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3.2192762578303787E-2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3.2242121112315579E-2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3.2291479646327365E-2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3.2340838180339157E-2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3.2390196714350949E-2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3.2476295246385137E-2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3.256239377841931E-2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3.2732739140976852E-2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3.2903084503534373E-2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3.3073429866091908E-2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3.3243775228649429E-2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3.3414120591206964E-2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3.3660454297942698E-2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3.3906788004678425E-2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3.4153121711414151E-2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3.4399455418149885E-2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3.4645789124885626E-2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3.4893985686532403E-2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3.5142182248179187E-2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3.5390378809825977E-2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3.5638575371472754E-2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3.5886771933119538E-2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3.6096672670696196E-2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3.6306573408272834E-2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3.651647414584952E-2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3.6726374883426172E-2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3.6936275621002823E-2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5.4463307509315132E-3</v>
      </c>
      <c r="C15" s="7">
        <f>$B15 * IFERROR(VLOOKUP("electricity|NOx|Work loss days", US_national_yearly!$D:$AM, 11, FALSE) / VLOOKUP("electricity|NOx|Work loss days", US_national_yearly!$D:$AM, 10, FALSE), 1)</f>
        <v>5.4584780150266736E-3</v>
      </c>
      <c r="D15" s="7">
        <f>$B15 * IFERROR(VLOOKUP("electricity|NOx|Work loss days", US_national_yearly!$D:$AM, 12, FALSE) / VLOOKUP("electricity|NOx|Work loss days", US_national_yearly!$D:$AM, 10, FALSE), 1)</f>
        <v>5.4706252791218331E-3</v>
      </c>
      <c r="E15" s="7">
        <f>$B15 * IFERROR(VLOOKUP("electricity|NOx|Work loss days", US_national_yearly!$D:$AM, 13, FALSE) / VLOOKUP("electricity|NOx|Work loss days", US_national_yearly!$D:$AM, 10, FALSE), 1)</f>
        <v>5.4827725432169934E-3</v>
      </c>
      <c r="F15" s="7">
        <f>$B15 * IFERROR(VLOOKUP("electricity|NOx|Work loss days", US_national_yearly!$D:$AM, 14, FALSE) / VLOOKUP("electricity|NOx|Work loss days", US_national_yearly!$D:$AM, 10, FALSE), 1)</f>
        <v>5.4949198073121538E-3</v>
      </c>
      <c r="G15" s="7">
        <f>$B15 * IFERROR(VLOOKUP("electricity|NOx|Work loss days", US_national_yearly!$D:$AM, 15, FALSE) / VLOOKUP("electricity|NOx|Work loss days", US_national_yearly!$D:$AM, 10, FALSE), 1)</f>
        <v>5.5120446650252734E-3</v>
      </c>
      <c r="H15" s="7">
        <f>$B15 * IFERROR(VLOOKUP("electricity|NOx|Work loss days", US_national_yearly!$D:$AM, 16, FALSE) / VLOOKUP("electricity|NOx|Work loss days", US_national_yearly!$D:$AM, 10, FALSE), 1)</f>
        <v>5.5291695227383912E-3</v>
      </c>
      <c r="I15" s="7">
        <f>$B15 * IFERROR(VLOOKUP("electricity|NOx|Work loss days", US_national_yearly!$D:$AM, 17, FALSE) / VLOOKUP("electricity|NOx|Work loss days", US_national_yearly!$D:$AM, 10, FALSE), 1)</f>
        <v>5.5569756945386189E-3</v>
      </c>
      <c r="J15" s="7">
        <f>$B15 * IFERROR(VLOOKUP("electricity|NOx|Work loss days", US_national_yearly!$D:$AM, 18, FALSE) / VLOOKUP("electricity|NOx|Work loss days", US_national_yearly!$D:$AM, 10, FALSE), 1)</f>
        <v>5.5847818663388457E-3</v>
      </c>
      <c r="K15" s="7">
        <f>$B15 * IFERROR(VLOOKUP("electricity|NOx|Work loss days", US_national_yearly!$D:$AM, 19, FALSE) / VLOOKUP("electricity|NOx|Work loss days", US_national_yearly!$D:$AM, 10, FALSE), 1)</f>
        <v>5.6125880381390717E-3</v>
      </c>
      <c r="L15" s="7">
        <f>$B15 * IFERROR(VLOOKUP("electricity|NOx|Work loss days", US_national_yearly!$D:$AM, 20, FALSE) / VLOOKUP("electricity|NOx|Work loss days", US_national_yearly!$D:$AM, 10, FALSE), 1)</f>
        <v>5.6403942099392985E-3</v>
      </c>
      <c r="M15" s="7">
        <f>$B15 * IFERROR(VLOOKUP("electricity|NOx|Work loss days", US_national_yearly!$D:$AM, 21, FALSE) / VLOOKUP("electricity|NOx|Work loss days", US_national_yearly!$D:$AM, 10, FALSE), 1)</f>
        <v>5.6682003817395245E-3</v>
      </c>
      <c r="N15" s="7">
        <f>$B15 * IFERROR(VLOOKUP("electricity|NOx|Work loss days", US_national_yearly!$D:$AM, 22, FALSE) / VLOOKUP("electricity|NOx|Work loss days", US_national_yearly!$D:$AM, 10, FALSE), 1)</f>
        <v>5.7048869845613857E-3</v>
      </c>
      <c r="O15" s="7">
        <f>$B15 * IFERROR(VLOOKUP("electricity|NOx|Work loss days", US_national_yearly!$D:$AM, 23, FALSE) / VLOOKUP("electricity|NOx|Work loss days", US_national_yearly!$D:$AM, 10, FALSE), 1)</f>
        <v>5.7415735873832469E-3</v>
      </c>
      <c r="P15" s="7">
        <f>$B15 * IFERROR(VLOOKUP("electricity|NOx|Work loss days", US_national_yearly!$D:$AM, 24, FALSE) / VLOOKUP("electricity|NOx|Work loss days", US_national_yearly!$D:$AM, 10, FALSE), 1)</f>
        <v>5.7782601902051089E-3</v>
      </c>
      <c r="Q15" s="7">
        <f>$B15 * IFERROR(VLOOKUP("electricity|NOx|Work loss days", US_national_yearly!$D:$AM, 25, FALSE) / VLOOKUP("electricity|NOx|Work loss days", US_national_yearly!$D:$AM, 10, FALSE), 1)</f>
        <v>5.8149467930269701E-3</v>
      </c>
      <c r="R15" s="7">
        <f>$B15 * IFERROR(VLOOKUP("electricity|NOx|Work loss days", US_national_yearly!$D:$AM, 26, FALSE) / VLOOKUP("electricity|NOx|Work loss days", US_national_yearly!$D:$AM, 10, FALSE), 1)</f>
        <v>5.8516333958488296E-3</v>
      </c>
      <c r="S15" s="7">
        <f>$B15 * IFERROR(VLOOKUP("electricity|NOx|Work loss days", US_national_yearly!$D:$AM, 27, FALSE) / VLOOKUP("electricity|NOx|Work loss days", US_national_yearly!$D:$AM, 10, FALSE), 1)</f>
        <v>5.8927454059878757E-3</v>
      </c>
      <c r="T15" s="7">
        <f>$B15 * IFERROR(VLOOKUP("electricity|NOx|Work loss days", US_national_yearly!$D:$AM, 28, FALSE) / VLOOKUP("electricity|NOx|Work loss days", US_national_yearly!$D:$AM, 10, FALSE), 1)</f>
        <v>5.933857416126921E-3</v>
      </c>
      <c r="U15" s="7">
        <f>$B15 * IFERROR(VLOOKUP("electricity|NOx|Work loss days", US_national_yearly!$D:$AM, 29, FALSE) / VLOOKUP("electricity|NOx|Work loss days", US_national_yearly!$D:$AM, 10, FALSE), 1)</f>
        <v>5.9749694262659653E-3</v>
      </c>
      <c r="V15" s="7">
        <f>$B15 * IFERROR(VLOOKUP("electricity|NOx|Work loss days", US_national_yearly!$D:$AM, 30, FALSE) / VLOOKUP("electricity|NOx|Work loss days", US_national_yearly!$D:$AM, 10, FALSE), 1)</f>
        <v>6.0160814364050106E-3</v>
      </c>
      <c r="W15" s="7">
        <f>$B15 * IFERROR(VLOOKUP("electricity|NOx|Work loss days", US_national_yearly!$D:$AM, 31, FALSE) / VLOOKUP("electricity|NOx|Work loss days", US_national_yearly!$D:$AM, 10, FALSE), 1)</f>
        <v>6.0571934465440567E-3</v>
      </c>
      <c r="X15" s="7">
        <f>$B15 * IFERROR(VLOOKUP("electricity|NOx|Work loss days", US_national_yearly!$D:$AM, 32, FALSE) / VLOOKUP("electricity|NOx|Work loss days", US_national_yearly!$D:$AM, 10, FALSE), 1)</f>
        <v>6.0930309637828419E-3</v>
      </c>
      <c r="Y15" s="7">
        <f>$B15 * IFERROR(VLOOKUP("electricity|NOx|Work loss days", US_national_yearly!$D:$AM, 33, FALSE) / VLOOKUP("electricity|NOx|Work loss days", US_national_yearly!$D:$AM, 10, FALSE), 1)</f>
        <v>6.128868481021627E-3</v>
      </c>
      <c r="Z15" s="7">
        <f>$B15 * IFERROR(VLOOKUP("electricity|NOx|Work loss days", US_national_yearly!$D:$AM, 34, FALSE) / VLOOKUP("electricity|NOx|Work loss days", US_national_yearly!$D:$AM, 10, FALSE), 1)</f>
        <v>6.1647059982604131E-3</v>
      </c>
      <c r="AA15" s="7">
        <f>$B15 * IFERROR(VLOOKUP("electricity|NOx|Work loss days", US_national_yearly!$D:$AM, 35, FALSE) / VLOOKUP("electricity|NOx|Work loss days", US_national_yearly!$D:$AM, 10, FALSE), 1)</f>
        <v>6.2005435154992E-3</v>
      </c>
      <c r="AB15" s="7">
        <f>$B15 * IFERROR(VLOOKUP("electricity|NOx|Work loss days", US_national_yearly!$D:$AM, 36, FALSE) / VLOOKUP("electricity|NOx|Work loss days", US_national_yearly!$D:$AM, 10, FALSE), 1)</f>
        <v>6.2363810327379851E-3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1.1622174087844643E-5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1.1964524209345834E-5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1.2306874330847027E-5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1.2649224452348218E-5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1.2991574573849413E-5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1.3319401396409594E-5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1.3647228218969776E-5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1.3927045240931509E-5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1.4206862262893245E-5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1.4486679284854982E-5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1.4766496306816718E-5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1.5046313328778452E-5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1.522589209323587E-5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1.5405470857693289E-5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1.5585049622150705E-5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1.5764628386608122E-5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1.5944207151065543E-5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1.6032581025806588E-5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1.6120954900547636E-5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1.6209328775288681E-5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1.6297702650029733E-5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1.6386076524770778E-5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1.6439042344663701E-5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1.6492008164556624E-5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1.6544973984449546E-5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1.6597939804342469E-5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1.6650905624235391E-5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3.2543948369270634E-4</v>
      </c>
      <c r="C2" s="7">
        <f>$B2 * IFERROR(VLOOKUP("electricity|SO2|Premature mortality", US_national_yearly!$D:$AM, 11, FALSE) / VLOOKUP("electricity|SO2|Premature mortality", US_national_yearly!$D:$AM, 10, FALSE), 1)</f>
        <v>3.2961169295465497E-4</v>
      </c>
      <c r="D2" s="7">
        <f>$B2 * IFERROR(VLOOKUP("electricity|SO2|Premature mortality", US_national_yearly!$D:$AM, 12, FALSE) / VLOOKUP("electricity|SO2|Premature mortality", US_national_yearly!$D:$AM, 10, FALSE), 1)</f>
        <v>3.3378390221660355E-4</v>
      </c>
      <c r="E2" s="7">
        <f>$B2 * IFERROR(VLOOKUP("electricity|SO2|Premature mortality", US_national_yearly!$D:$AM, 13, FALSE) / VLOOKUP("electricity|SO2|Premature mortality", US_national_yearly!$D:$AM, 10, FALSE), 1)</f>
        <v>3.3795611147855218E-4</v>
      </c>
      <c r="F2" s="7">
        <f>$B2 * IFERROR(VLOOKUP("electricity|SO2|Premature mortality", US_national_yearly!$D:$AM, 14, FALSE) / VLOOKUP("electricity|SO2|Premature mortality", US_national_yearly!$D:$AM, 10, FALSE), 1)</f>
        <v>3.421283207405007E-4</v>
      </c>
      <c r="G2" s="7">
        <f>$B2 * IFERROR(VLOOKUP("electricity|SO2|Premature mortality", US_national_yearly!$D:$AM, 15, FALSE) / VLOOKUP("electricity|SO2|Premature mortality", US_national_yearly!$D:$AM, 10, FALSE), 1)</f>
        <v>3.5016566923385149E-4</v>
      </c>
      <c r="H2" s="7">
        <f>$B2 * IFERROR(VLOOKUP("electricity|SO2|Premature mortality", US_national_yearly!$D:$AM, 16, FALSE) / VLOOKUP("electricity|SO2|Premature mortality", US_national_yearly!$D:$AM, 10, FALSE), 1)</f>
        <v>3.5820301772720222E-4</v>
      </c>
      <c r="I2" s="7">
        <f>$B2 * IFERROR(VLOOKUP("electricity|SO2|Premature mortality", US_national_yearly!$D:$AM, 17, FALSE) / VLOOKUP("electricity|SO2|Premature mortality", US_national_yearly!$D:$AM, 10, FALSE), 1)</f>
        <v>3.6361326335315682E-4</v>
      </c>
      <c r="J2" s="7">
        <f>$B2 * IFERROR(VLOOKUP("electricity|SO2|Premature mortality", US_national_yearly!$D:$AM, 18, FALSE) / VLOOKUP("electricity|SO2|Premature mortality", US_national_yearly!$D:$AM, 10, FALSE), 1)</f>
        <v>3.6902350897911141E-4</v>
      </c>
      <c r="K2" s="7">
        <f>$B2 * IFERROR(VLOOKUP("electricity|SO2|Premature mortality", US_national_yearly!$D:$AM, 19, FALSE) / VLOOKUP("electricity|SO2|Premature mortality", US_national_yearly!$D:$AM, 10, FALSE), 1)</f>
        <v>3.7443375460506596E-4</v>
      </c>
      <c r="L2" s="7">
        <f>$B2 * IFERROR(VLOOKUP("electricity|SO2|Premature mortality", US_national_yearly!$D:$AM, 20, FALSE) / VLOOKUP("electricity|SO2|Premature mortality", US_national_yearly!$D:$AM, 10, FALSE), 1)</f>
        <v>3.7984400023102066E-4</v>
      </c>
      <c r="M2" s="7">
        <f>$B2 * IFERROR(VLOOKUP("electricity|SO2|Premature mortality", US_national_yearly!$D:$AM, 21, FALSE) / VLOOKUP("electricity|SO2|Premature mortality", US_national_yearly!$D:$AM, 10, FALSE), 1)</f>
        <v>3.8525424585697515E-4</v>
      </c>
      <c r="N2" s="7">
        <f>$B2 * IFERROR(VLOOKUP("electricity|SO2|Premature mortality", US_national_yearly!$D:$AM, 22, FALSE) / VLOOKUP("electricity|SO2|Premature mortality", US_national_yearly!$D:$AM, 10, FALSE), 1)</f>
        <v>3.8959012650601388E-4</v>
      </c>
      <c r="O2" s="7">
        <f>$B2 * IFERROR(VLOOKUP("electricity|SO2|Premature mortality", US_national_yearly!$D:$AM, 23, FALSE) / VLOOKUP("electricity|SO2|Premature mortality", US_national_yearly!$D:$AM, 10, FALSE), 1)</f>
        <v>3.9392600715505266E-4</v>
      </c>
      <c r="P2" s="7">
        <f>$B2 * IFERROR(VLOOKUP("electricity|SO2|Premature mortality", US_national_yearly!$D:$AM, 24, FALSE) / VLOOKUP("electricity|SO2|Premature mortality", US_national_yearly!$D:$AM, 10, FALSE), 1)</f>
        <v>3.9826188780409127E-4</v>
      </c>
      <c r="Q2" s="7">
        <f>$B2 * IFERROR(VLOOKUP("electricity|SO2|Premature mortality", US_national_yearly!$D:$AM, 25, FALSE) / VLOOKUP("electricity|SO2|Premature mortality", US_national_yearly!$D:$AM, 10, FALSE), 1)</f>
        <v>4.0259776845312994E-4</v>
      </c>
      <c r="R2" s="7">
        <f>$B2 * IFERROR(VLOOKUP("electricity|SO2|Premature mortality", US_national_yearly!$D:$AM, 26, FALSE) / VLOOKUP("electricity|SO2|Premature mortality", US_national_yearly!$D:$AM, 10, FALSE), 1)</f>
        <v>4.0693364910216866E-4</v>
      </c>
      <c r="S2" s="7">
        <f>$B2 * IFERROR(VLOOKUP("electricity|SO2|Premature mortality", US_national_yearly!$D:$AM, 27, FALSE) / VLOOKUP("electricity|SO2|Premature mortality", US_national_yearly!$D:$AM, 10, FALSE), 1)</f>
        <v>4.0941953612736587E-4</v>
      </c>
      <c r="T2" s="7">
        <f>$B2 * IFERROR(VLOOKUP("electricity|SO2|Premature mortality", US_national_yearly!$D:$AM, 28, FALSE) / VLOOKUP("electricity|SO2|Premature mortality", US_national_yearly!$D:$AM, 10, FALSE), 1)</f>
        <v>4.1190542315256313E-4</v>
      </c>
      <c r="U2" s="7">
        <f>$B2 * IFERROR(VLOOKUP("electricity|SO2|Premature mortality", US_national_yearly!$D:$AM, 29, FALSE) / VLOOKUP("electricity|SO2|Premature mortality", US_national_yearly!$D:$AM, 10, FALSE), 1)</f>
        <v>4.1439131017776033E-4</v>
      </c>
      <c r="V2" s="7">
        <f>$B2 * IFERROR(VLOOKUP("electricity|SO2|Premature mortality", US_national_yearly!$D:$AM, 30, FALSE) / VLOOKUP("electricity|SO2|Premature mortality", US_national_yearly!$D:$AM, 10, FALSE), 1)</f>
        <v>4.1687719720295759E-4</v>
      </c>
      <c r="W2" s="7">
        <f>$B2 * IFERROR(VLOOKUP("electricity|SO2|Premature mortality", US_national_yearly!$D:$AM, 31, FALSE) / VLOOKUP("electricity|SO2|Premature mortality", US_national_yearly!$D:$AM, 10, FALSE), 1)</f>
        <v>4.193630842281548E-4</v>
      </c>
      <c r="X2" s="7">
        <f>$B2 * IFERROR(VLOOKUP("electricity|SO2|Premature mortality", US_national_yearly!$D:$AM, 32, FALSE) / VLOOKUP("electricity|SO2|Premature mortality", US_national_yearly!$D:$AM, 10, FALSE), 1)</f>
        <v>4.2009554007215605E-4</v>
      </c>
      <c r="Y2" s="7">
        <f>$B2 * IFERROR(VLOOKUP("electricity|SO2|Premature mortality", US_national_yearly!$D:$AM, 33, FALSE) / VLOOKUP("electricity|SO2|Premature mortality", US_national_yearly!$D:$AM, 10, FALSE), 1)</f>
        <v>4.2082799591615719E-4</v>
      </c>
      <c r="Z2" s="7">
        <f>$B2 * IFERROR(VLOOKUP("electricity|SO2|Premature mortality", US_national_yearly!$D:$AM, 34, FALSE) / VLOOKUP("electricity|SO2|Premature mortality", US_national_yearly!$D:$AM, 10, FALSE), 1)</f>
        <v>4.2156045176015838E-4</v>
      </c>
      <c r="AA2" s="7">
        <f>$B2 * IFERROR(VLOOKUP("electricity|SO2|Premature mortality", US_national_yearly!$D:$AM, 35, FALSE) / VLOOKUP("electricity|SO2|Premature mortality", US_national_yearly!$D:$AM, 10, FALSE), 1)</f>
        <v>4.2229290760415964E-4</v>
      </c>
      <c r="AB2" s="7">
        <f>$B2 * IFERROR(VLOOKUP("electricity|SO2|Premature mortality", US_national_yearly!$D:$AM, 36, FALSE) / VLOOKUP("electricity|SO2|Premature mortality", US_national_yearly!$D:$AM, 10, FALSE), 1)</f>
        <v>4.2302536344816078E-4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1.043220633043172E-6</v>
      </c>
      <c r="C3" s="7">
        <f>$B3 * IFERROR(VLOOKUP("electricity|SO2|Infant mortality", US_national_yearly!$D:$AM, 11, FALSE) / VLOOKUP("electricity|SO2|Infant mortality", US_national_yearly!$D:$AM, 10, FALSE), 1)</f>
        <v>1.0344074022375002E-6</v>
      </c>
      <c r="D3" s="7">
        <f>$B3 * IFERROR(VLOOKUP("electricity|SO2|Infant mortality", US_national_yearly!$D:$AM, 12, FALSE) / VLOOKUP("electricity|SO2|Infant mortality", US_national_yearly!$D:$AM, 10, FALSE), 1)</f>
        <v>1.0255941714318281E-6</v>
      </c>
      <c r="E3" s="7">
        <f>$B3 * IFERROR(VLOOKUP("electricity|SO2|Infant mortality", US_national_yearly!$D:$AM, 13, FALSE) / VLOOKUP("electricity|SO2|Infant mortality", US_national_yearly!$D:$AM, 10, FALSE), 1)</f>
        <v>1.016780940626156E-6</v>
      </c>
      <c r="F3" s="7">
        <f>$B3 * IFERROR(VLOOKUP("electricity|SO2|Infant mortality", US_national_yearly!$D:$AM, 14, FALSE) / VLOOKUP("electricity|SO2|Infant mortality", US_national_yearly!$D:$AM, 10, FALSE), 1)</f>
        <v>1.0079677098204842E-6</v>
      </c>
      <c r="G3" s="7">
        <f>$B3 * IFERROR(VLOOKUP("electricity|SO2|Infant mortality", US_national_yearly!$D:$AM, 15, FALSE) / VLOOKUP("electricity|SO2|Infant mortality", US_national_yearly!$D:$AM, 10, FALSE), 1)</f>
        <v>6.7035074103485171E-7</v>
      </c>
      <c r="H3" s="7">
        <f>$B3 * IFERROR(VLOOKUP("electricity|SO2|Infant mortality", US_national_yearly!$D:$AM, 16, FALSE) / VLOOKUP("electricity|SO2|Infant mortality", US_national_yearly!$D:$AM, 10, FALSE), 1)</f>
        <v>3.3273377224921924E-7</v>
      </c>
      <c r="I3" s="7">
        <f>$B3 * IFERROR(VLOOKUP("electricity|SO2|Infant mortality", US_national_yearly!$D:$AM, 17, FALSE) / VLOOKUP("electricity|SO2|Infant mortality", US_national_yearly!$D:$AM, 10, FALSE), 1)</f>
        <v>3.3060511438312743E-7</v>
      </c>
      <c r="J3" s="7">
        <f>$B3 * IFERROR(VLOOKUP("electricity|SO2|Infant mortality", US_national_yearly!$D:$AM, 18, FALSE) / VLOOKUP("electricity|SO2|Infant mortality", US_national_yearly!$D:$AM, 10, FALSE), 1)</f>
        <v>3.2847645651703558E-7</v>
      </c>
      <c r="K3" s="7">
        <f>$B3 * IFERROR(VLOOKUP("electricity|SO2|Infant mortality", US_national_yearly!$D:$AM, 19, FALSE) / VLOOKUP("electricity|SO2|Infant mortality", US_national_yearly!$D:$AM, 10, FALSE), 1)</f>
        <v>3.2634779865094388E-7</v>
      </c>
      <c r="L3" s="7">
        <f>$B3 * IFERROR(VLOOKUP("electricity|SO2|Infant mortality", US_national_yearly!$D:$AM, 20, FALSE) / VLOOKUP("electricity|SO2|Infant mortality", US_national_yearly!$D:$AM, 10, FALSE), 1)</f>
        <v>3.2421914078485202E-7</v>
      </c>
      <c r="M3" s="7">
        <f>$B3 * IFERROR(VLOOKUP("electricity|SO2|Infant mortality", US_national_yearly!$D:$AM, 21, FALSE) / VLOOKUP("electricity|SO2|Infant mortality", US_national_yearly!$D:$AM, 10, FALSE), 1)</f>
        <v>3.2209048291876022E-7</v>
      </c>
      <c r="N3" s="7">
        <f>$B3 * IFERROR(VLOOKUP("electricity|SO2|Infant mortality", US_national_yearly!$D:$AM, 22, FALSE) / VLOOKUP("electricity|SO2|Infant mortality", US_national_yearly!$D:$AM, 10, FALSE), 1)</f>
        <v>3.2074167096752542E-7</v>
      </c>
      <c r="O3" s="7">
        <f>$B3 * IFERROR(VLOOKUP("electricity|SO2|Infant mortality", US_national_yearly!$D:$AM, 23, FALSE) / VLOOKUP("electricity|SO2|Infant mortality", US_national_yearly!$D:$AM, 10, FALSE), 1)</f>
        <v>3.1939285901629056E-7</v>
      </c>
      <c r="P3" s="7">
        <f>$B3 * IFERROR(VLOOKUP("electricity|SO2|Infant mortality", US_national_yearly!$D:$AM, 24, FALSE) / VLOOKUP("electricity|SO2|Infant mortality", US_national_yearly!$D:$AM, 10, FALSE), 1)</f>
        <v>3.180440470650557E-7</v>
      </c>
      <c r="Q3" s="7">
        <f>$B3 * IFERROR(VLOOKUP("electricity|SO2|Infant mortality", US_national_yearly!$D:$AM, 25, FALSE) / VLOOKUP("electricity|SO2|Infant mortality", US_national_yearly!$D:$AM, 10, FALSE), 1)</f>
        <v>3.166952351138209E-7</v>
      </c>
      <c r="R3" s="7">
        <f>$B3 * IFERROR(VLOOKUP("electricity|SO2|Infant mortality", US_national_yearly!$D:$AM, 26, FALSE) / VLOOKUP("electricity|SO2|Infant mortality", US_national_yearly!$D:$AM, 10, FALSE), 1)</f>
        <v>3.1534642316258614E-7</v>
      </c>
      <c r="S3" s="7">
        <f>$B3 * IFERROR(VLOOKUP("electricity|SO2|Infant mortality", US_national_yearly!$D:$AM, 27, FALSE) / VLOOKUP("electricity|SO2|Infant mortality", US_national_yearly!$D:$AM, 10, FALSE), 1)</f>
        <v>3.1366529997443673E-7</v>
      </c>
      <c r="T3" s="7">
        <f>$B3 * IFERROR(VLOOKUP("electricity|SO2|Infant mortality", US_national_yearly!$D:$AM, 28, FALSE) / VLOOKUP("electricity|SO2|Infant mortality", US_national_yearly!$D:$AM, 10, FALSE), 1)</f>
        <v>3.1198417678628737E-7</v>
      </c>
      <c r="U3" s="7">
        <f>$B3 * IFERROR(VLOOKUP("electricity|SO2|Infant mortality", US_national_yearly!$D:$AM, 29, FALSE) / VLOOKUP("electricity|SO2|Infant mortality", US_national_yearly!$D:$AM, 10, FALSE), 1)</f>
        <v>3.1030305359813806E-7</v>
      </c>
      <c r="V3" s="7">
        <f>$B3 * IFERROR(VLOOKUP("electricity|SO2|Infant mortality", US_national_yearly!$D:$AM, 30, FALSE) / VLOOKUP("electricity|SO2|Infant mortality", US_national_yearly!$D:$AM, 10, FALSE), 1)</f>
        <v>3.086219304099887E-7</v>
      </c>
      <c r="W3" s="7">
        <f>$B3 * IFERROR(VLOOKUP("electricity|SO2|Infant mortality", US_national_yearly!$D:$AM, 31, FALSE) / VLOOKUP("electricity|SO2|Infant mortality", US_national_yearly!$D:$AM, 10, FALSE), 1)</f>
        <v>3.0694080722183929E-7</v>
      </c>
      <c r="X3" s="7">
        <f>$B3 * IFERROR(VLOOKUP("electricity|SO2|Infant mortality", US_national_yearly!$D:$AM, 32, FALSE) / VLOOKUP("electricity|SO2|Infant mortality", US_national_yearly!$D:$AM, 10, FALSE), 1)</f>
        <v>3.0514709800995572E-7</v>
      </c>
      <c r="Y3" s="7">
        <f>$B3 * IFERROR(VLOOKUP("electricity|SO2|Infant mortality", US_national_yearly!$D:$AM, 33, FALSE) / VLOOKUP("electricity|SO2|Infant mortality", US_national_yearly!$D:$AM, 10, FALSE), 1)</f>
        <v>3.0335338879807199E-7</v>
      </c>
      <c r="Z3" s="7">
        <f>$B3 * IFERROR(VLOOKUP("electricity|SO2|Infant mortality", US_national_yearly!$D:$AM, 34, FALSE) / VLOOKUP("electricity|SO2|Infant mortality", US_national_yearly!$D:$AM, 10, FALSE), 1)</f>
        <v>3.0155967958618842E-7</v>
      </c>
      <c r="AA3" s="7">
        <f>$B3 * IFERROR(VLOOKUP("electricity|SO2|Infant mortality", US_national_yearly!$D:$AM, 35, FALSE) / VLOOKUP("electricity|SO2|Infant mortality", US_national_yearly!$D:$AM, 10, FALSE), 1)</f>
        <v>2.997659703743048E-7</v>
      </c>
      <c r="AB3" s="7">
        <f>$B3 * IFERROR(VLOOKUP("electricity|SO2|Infant mortality", US_national_yearly!$D:$AM, 36, FALSE) / VLOOKUP("electricity|SO2|Infant mortality", US_national_yearly!$D:$AM, 10, FALSE), 1)</f>
        <v>2.9797226116242117E-7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8.1953695736078369E-4</v>
      </c>
      <c r="C6" s="7">
        <f>$B6 * IFERROR(VLOOKUP("electricity|SO2|Asthma symptoms cough", US_national_yearly!$D:$AM, 11, FALSE) / VLOOKUP("electricity|SO2|Asthma symptoms cough", US_national_yearly!$D:$AM, 10, FALSE), 1)</f>
        <v>8.1953695736078369E-4</v>
      </c>
      <c r="D6" s="7">
        <f>$B6 * IFERROR(VLOOKUP("electricity|SO2|Asthma symptoms cough", US_national_yearly!$D:$AM, 12, FALSE) / VLOOKUP("electricity|SO2|Asthma symptoms cough", US_national_yearly!$D:$AM, 10, FALSE), 1)</f>
        <v>8.1953695736078369E-4</v>
      </c>
      <c r="E6" s="7">
        <f>$B6 * IFERROR(VLOOKUP("electricity|SO2|Asthma symptoms cough", US_national_yearly!$D:$AM, 13, FALSE) / VLOOKUP("electricity|SO2|Asthma symptoms cough", US_national_yearly!$D:$AM, 10, FALSE), 1)</f>
        <v>8.1953695736078369E-4</v>
      </c>
      <c r="F6" s="7">
        <f>$B6 * IFERROR(VLOOKUP("electricity|SO2|Asthma symptoms cough", US_national_yearly!$D:$AM, 14, FALSE) / VLOOKUP("electricity|SO2|Asthma symptoms cough", US_national_yearly!$D:$AM, 10, FALSE), 1)</f>
        <v>8.1953695736078369E-4</v>
      </c>
      <c r="G6" s="7">
        <f>$B6 * IFERROR(VLOOKUP("electricity|SO2|Asthma symptoms cough", US_national_yearly!$D:$AM, 15, FALSE) / VLOOKUP("electricity|SO2|Asthma symptoms cough", US_national_yearly!$D:$AM, 10, FALSE), 1)</f>
        <v>8.1953695736078369E-4</v>
      </c>
      <c r="H6" s="7">
        <f>$B6 * IFERROR(VLOOKUP("electricity|SO2|Asthma symptoms cough", US_national_yearly!$D:$AM, 16, FALSE) / VLOOKUP("electricity|SO2|Asthma symptoms cough", US_national_yearly!$D:$AM, 10, FALSE), 1)</f>
        <v>8.1953695736078369E-4</v>
      </c>
      <c r="I6" s="7">
        <f>$B6 * IFERROR(VLOOKUP("electricity|SO2|Asthma symptoms cough", US_national_yearly!$D:$AM, 17, FALSE) / VLOOKUP("electricity|SO2|Asthma symptoms cough", US_national_yearly!$D:$AM, 10, FALSE), 1)</f>
        <v>8.1953695736078369E-4</v>
      </c>
      <c r="J6" s="7">
        <f>$B6 * IFERROR(VLOOKUP("electricity|SO2|Asthma symptoms cough", US_national_yearly!$D:$AM, 18, FALSE) / VLOOKUP("electricity|SO2|Asthma symptoms cough", US_national_yearly!$D:$AM, 10, FALSE), 1)</f>
        <v>8.1953695736078369E-4</v>
      </c>
      <c r="K6" s="7">
        <f>$B6 * IFERROR(VLOOKUP("electricity|SO2|Asthma symptoms cough", US_national_yearly!$D:$AM, 19, FALSE) / VLOOKUP("electricity|SO2|Asthma symptoms cough", US_national_yearly!$D:$AM, 10, FALSE), 1)</f>
        <v>8.1953695736078369E-4</v>
      </c>
      <c r="L6" s="7">
        <f>$B6 * IFERROR(VLOOKUP("electricity|SO2|Asthma symptoms cough", US_national_yearly!$D:$AM, 20, FALSE) / VLOOKUP("electricity|SO2|Asthma symptoms cough", US_national_yearly!$D:$AM, 10, FALSE), 1)</f>
        <v>8.1953695736078369E-4</v>
      </c>
      <c r="M6" s="7">
        <f>$B6 * IFERROR(VLOOKUP("electricity|SO2|Asthma symptoms cough", US_national_yearly!$D:$AM, 21, FALSE) / VLOOKUP("electricity|SO2|Asthma symptoms cough", US_national_yearly!$D:$AM, 10, FALSE), 1)</f>
        <v>8.1953695736078369E-4</v>
      </c>
      <c r="N6" s="7">
        <f>$B6 * IFERROR(VLOOKUP("electricity|SO2|Asthma symptoms cough", US_national_yearly!$D:$AM, 22, FALSE) / VLOOKUP("electricity|SO2|Asthma symptoms cough", US_national_yearly!$D:$AM, 10, FALSE), 1)</f>
        <v>8.1953695736078369E-4</v>
      </c>
      <c r="O6" s="7">
        <f>$B6 * IFERROR(VLOOKUP("electricity|SO2|Asthma symptoms cough", US_national_yearly!$D:$AM, 23, FALSE) / VLOOKUP("electricity|SO2|Asthma symptoms cough", US_national_yearly!$D:$AM, 10, FALSE), 1)</f>
        <v>8.1953695736078369E-4</v>
      </c>
      <c r="P6" s="7">
        <f>$B6 * IFERROR(VLOOKUP("electricity|SO2|Asthma symptoms cough", US_national_yearly!$D:$AM, 24, FALSE) / VLOOKUP("electricity|SO2|Asthma symptoms cough", US_national_yearly!$D:$AM, 10, FALSE), 1)</f>
        <v>8.1953695736078369E-4</v>
      </c>
      <c r="Q6" s="7">
        <f>$B6 * IFERROR(VLOOKUP("electricity|SO2|Asthma symptoms cough", US_national_yearly!$D:$AM, 25, FALSE) / VLOOKUP("electricity|SO2|Asthma symptoms cough", US_national_yearly!$D:$AM, 10, FALSE), 1)</f>
        <v>8.1953695736078369E-4</v>
      </c>
      <c r="R6" s="7">
        <f>$B6 * IFERROR(VLOOKUP("electricity|SO2|Asthma symptoms cough", US_national_yearly!$D:$AM, 26, FALSE) / VLOOKUP("electricity|SO2|Asthma symptoms cough", US_national_yearly!$D:$AM, 10, FALSE), 1)</f>
        <v>8.1953695736078369E-4</v>
      </c>
      <c r="S6" s="7">
        <f>$B6 * IFERROR(VLOOKUP("electricity|SO2|Asthma symptoms cough", US_national_yearly!$D:$AM, 27, FALSE) / VLOOKUP("electricity|SO2|Asthma symptoms cough", US_national_yearly!$D:$AM, 10, FALSE), 1)</f>
        <v>8.1953695736078369E-4</v>
      </c>
      <c r="T6" s="7">
        <f>$B6 * IFERROR(VLOOKUP("electricity|SO2|Asthma symptoms cough", US_national_yearly!$D:$AM, 28, FALSE) / VLOOKUP("electricity|SO2|Asthma symptoms cough", US_national_yearly!$D:$AM, 10, FALSE), 1)</f>
        <v>8.1953695736078369E-4</v>
      </c>
      <c r="U6" s="7">
        <f>$B6 * IFERROR(VLOOKUP("electricity|SO2|Asthma symptoms cough", US_national_yearly!$D:$AM, 29, FALSE) / VLOOKUP("electricity|SO2|Asthma symptoms cough", US_national_yearly!$D:$AM, 10, FALSE), 1)</f>
        <v>8.1953695736078369E-4</v>
      </c>
      <c r="V6" s="7">
        <f>$B6 * IFERROR(VLOOKUP("electricity|SO2|Asthma symptoms cough", US_national_yearly!$D:$AM, 30, FALSE) / VLOOKUP("electricity|SO2|Asthma symptoms cough", US_national_yearly!$D:$AM, 10, FALSE), 1)</f>
        <v>8.1953695736078369E-4</v>
      </c>
      <c r="W6" s="7">
        <f>$B6 * IFERROR(VLOOKUP("electricity|SO2|Asthma symptoms cough", US_national_yearly!$D:$AM, 31, FALSE) / VLOOKUP("electricity|SO2|Asthma symptoms cough", US_national_yearly!$D:$AM, 10, FALSE), 1)</f>
        <v>8.1953695736078369E-4</v>
      </c>
      <c r="X6" s="7">
        <f>$B6 * IFERROR(VLOOKUP("electricity|SO2|Asthma symptoms cough", US_national_yearly!$D:$AM, 32, FALSE) / VLOOKUP("electricity|SO2|Asthma symptoms cough", US_national_yearly!$D:$AM, 10, FALSE), 1)</f>
        <v>8.1953695736078369E-4</v>
      </c>
      <c r="Y6" s="7">
        <f>$B6 * IFERROR(VLOOKUP("electricity|SO2|Asthma symptoms cough", US_national_yearly!$D:$AM, 33, FALSE) / VLOOKUP("electricity|SO2|Asthma symptoms cough", US_national_yearly!$D:$AM, 10, FALSE), 1)</f>
        <v>8.1953695736078369E-4</v>
      </c>
      <c r="Z6" s="7">
        <f>$B6 * IFERROR(VLOOKUP("electricity|SO2|Asthma symptoms cough", US_national_yearly!$D:$AM, 34, FALSE) / VLOOKUP("electricity|SO2|Asthma symptoms cough", US_national_yearly!$D:$AM, 10, FALSE), 1)</f>
        <v>8.1953695736078369E-4</v>
      </c>
      <c r="AA6" s="7">
        <f>$B6 * IFERROR(VLOOKUP("electricity|SO2|Asthma symptoms cough", US_national_yearly!$D:$AM, 35, FALSE) / VLOOKUP("electricity|SO2|Asthma symptoms cough", US_national_yearly!$D:$AM, 10, FALSE), 1)</f>
        <v>8.1953695736078369E-4</v>
      </c>
      <c r="AB6" s="7">
        <f>$B6 * IFERROR(VLOOKUP("electricity|SO2|Asthma symptoms cough", US_national_yearly!$D:$AM, 36, FALSE) / VLOOKUP("electricity|SO2|Asthma symptoms cough", US_national_yearly!$D:$AM, 10, FALSE), 1)</f>
        <v>8.1953695736078369E-4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1.1036249119940791E-3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1.1036249119940791E-3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1.1036249119940791E-3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1.1036249119940791E-3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1.1036249119940791E-3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1.1036249119940791E-3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1.1036249119940791E-3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1.1036249119940791E-3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1.1036249119940791E-3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1.1036249119940791E-3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1.1036249119940791E-3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1.1036249119940791E-3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1.1036249119940791E-3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1.1036249119940791E-3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1.1036249119940791E-3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1.1036249119940791E-3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1.1036249119940791E-3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1.1036249119940791E-3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1.1036249119940791E-3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1.1036249119940791E-3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1.1036249119940791E-3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1.1036249119940791E-3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1.1036249119940791E-3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1.1036249119940791E-3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1.1036249119940791E-3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1.1036249119940791E-3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1.1036249119940791E-3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1.6861536820725429E-3</v>
      </c>
      <c r="C8" s="7">
        <f>$B8 * IFERROR(VLOOKUP("electricity|SO2|Asthma symptoms wheeze", US_national_yearly!$D:$AM, 11, FALSE) / VLOOKUP("electricity|SO2|Asthma symptoms wheeze", US_national_yearly!$D:$AM, 10, FALSE), 1)</f>
        <v>1.6861536820725429E-3</v>
      </c>
      <c r="D8" s="7">
        <f>$B8 * IFERROR(VLOOKUP("electricity|SO2|Asthma symptoms wheeze", US_national_yearly!$D:$AM, 12, FALSE) / VLOOKUP("electricity|SO2|Asthma symptoms wheeze", US_national_yearly!$D:$AM, 10, FALSE), 1)</f>
        <v>1.6861536820725429E-3</v>
      </c>
      <c r="E8" s="7">
        <f>$B8 * IFERROR(VLOOKUP("electricity|SO2|Asthma symptoms wheeze", US_national_yearly!$D:$AM, 13, FALSE) / VLOOKUP("electricity|SO2|Asthma symptoms wheeze", US_national_yearly!$D:$AM, 10, FALSE), 1)</f>
        <v>1.6861536820725429E-3</v>
      </c>
      <c r="F8" s="7">
        <f>$B8 * IFERROR(VLOOKUP("electricity|SO2|Asthma symptoms wheeze", US_national_yearly!$D:$AM, 14, FALSE) / VLOOKUP("electricity|SO2|Asthma symptoms wheeze", US_national_yearly!$D:$AM, 10, FALSE), 1)</f>
        <v>1.6861536820725429E-3</v>
      </c>
      <c r="G8" s="7">
        <f>$B8 * IFERROR(VLOOKUP("electricity|SO2|Asthma symptoms wheeze", US_national_yearly!$D:$AM, 15, FALSE) / VLOOKUP("electricity|SO2|Asthma symptoms wheeze", US_national_yearly!$D:$AM, 10, FALSE), 1)</f>
        <v>1.6861536820725429E-3</v>
      </c>
      <c r="H8" s="7">
        <f>$B8 * IFERROR(VLOOKUP("electricity|SO2|Asthma symptoms wheeze", US_national_yearly!$D:$AM, 16, FALSE) / VLOOKUP("electricity|SO2|Asthma symptoms wheeze", US_national_yearly!$D:$AM, 10, FALSE), 1)</f>
        <v>1.6861536820725429E-3</v>
      </c>
      <c r="I8" s="7">
        <f>$B8 * IFERROR(VLOOKUP("electricity|SO2|Asthma symptoms wheeze", US_national_yearly!$D:$AM, 17, FALSE) / VLOOKUP("electricity|SO2|Asthma symptoms wheeze", US_national_yearly!$D:$AM, 10, FALSE), 1)</f>
        <v>1.6861536820725429E-3</v>
      </c>
      <c r="J8" s="7">
        <f>$B8 * IFERROR(VLOOKUP("electricity|SO2|Asthma symptoms wheeze", US_national_yearly!$D:$AM, 18, FALSE) / VLOOKUP("electricity|SO2|Asthma symptoms wheeze", US_national_yearly!$D:$AM, 10, FALSE), 1)</f>
        <v>1.6861536820725429E-3</v>
      </c>
      <c r="K8" s="7">
        <f>$B8 * IFERROR(VLOOKUP("electricity|SO2|Asthma symptoms wheeze", US_national_yearly!$D:$AM, 19, FALSE) / VLOOKUP("electricity|SO2|Asthma symptoms wheeze", US_national_yearly!$D:$AM, 10, FALSE), 1)</f>
        <v>1.6861536820725429E-3</v>
      </c>
      <c r="L8" s="7">
        <f>$B8 * IFERROR(VLOOKUP("electricity|SO2|Asthma symptoms wheeze", US_national_yearly!$D:$AM, 20, FALSE) / VLOOKUP("electricity|SO2|Asthma symptoms wheeze", US_national_yearly!$D:$AM, 10, FALSE), 1)</f>
        <v>1.6861536820725429E-3</v>
      </c>
      <c r="M8" s="7">
        <f>$B8 * IFERROR(VLOOKUP("electricity|SO2|Asthma symptoms wheeze", US_national_yearly!$D:$AM, 21, FALSE) / VLOOKUP("electricity|SO2|Asthma symptoms wheeze", US_national_yearly!$D:$AM, 10, FALSE), 1)</f>
        <v>1.6861536820725429E-3</v>
      </c>
      <c r="N8" s="7">
        <f>$B8 * IFERROR(VLOOKUP("electricity|SO2|Asthma symptoms wheeze", US_national_yearly!$D:$AM, 22, FALSE) / VLOOKUP("electricity|SO2|Asthma symptoms wheeze", US_national_yearly!$D:$AM, 10, FALSE), 1)</f>
        <v>1.6861536820725429E-3</v>
      </c>
      <c r="O8" s="7">
        <f>$B8 * IFERROR(VLOOKUP("electricity|SO2|Asthma symptoms wheeze", US_national_yearly!$D:$AM, 23, FALSE) / VLOOKUP("electricity|SO2|Asthma symptoms wheeze", US_national_yearly!$D:$AM, 10, FALSE), 1)</f>
        <v>1.6861536820725429E-3</v>
      </c>
      <c r="P8" s="7">
        <f>$B8 * IFERROR(VLOOKUP("electricity|SO2|Asthma symptoms wheeze", US_national_yearly!$D:$AM, 24, FALSE) / VLOOKUP("electricity|SO2|Asthma symptoms wheeze", US_national_yearly!$D:$AM, 10, FALSE), 1)</f>
        <v>1.6861536820725429E-3</v>
      </c>
      <c r="Q8" s="7">
        <f>$B8 * IFERROR(VLOOKUP("electricity|SO2|Asthma symptoms wheeze", US_national_yearly!$D:$AM, 25, FALSE) / VLOOKUP("electricity|SO2|Asthma symptoms wheeze", US_national_yearly!$D:$AM, 10, FALSE), 1)</f>
        <v>1.6861536820725429E-3</v>
      </c>
      <c r="R8" s="7">
        <f>$B8 * IFERROR(VLOOKUP("electricity|SO2|Asthma symptoms wheeze", US_national_yearly!$D:$AM, 26, FALSE) / VLOOKUP("electricity|SO2|Asthma symptoms wheeze", US_national_yearly!$D:$AM, 10, FALSE), 1)</f>
        <v>1.6861536820725429E-3</v>
      </c>
      <c r="S8" s="7">
        <f>$B8 * IFERROR(VLOOKUP("electricity|SO2|Asthma symptoms wheeze", US_national_yearly!$D:$AM, 27, FALSE) / VLOOKUP("electricity|SO2|Asthma symptoms wheeze", US_national_yearly!$D:$AM, 10, FALSE), 1)</f>
        <v>1.6861536820725429E-3</v>
      </c>
      <c r="T8" s="7">
        <f>$B8 * IFERROR(VLOOKUP("electricity|SO2|Asthma symptoms wheeze", US_national_yearly!$D:$AM, 28, FALSE) / VLOOKUP("electricity|SO2|Asthma symptoms wheeze", US_national_yearly!$D:$AM, 10, FALSE), 1)</f>
        <v>1.6861536820725429E-3</v>
      </c>
      <c r="U8" s="7">
        <f>$B8 * IFERROR(VLOOKUP("electricity|SO2|Asthma symptoms wheeze", US_national_yearly!$D:$AM, 29, FALSE) / VLOOKUP("electricity|SO2|Asthma symptoms wheeze", US_national_yearly!$D:$AM, 10, FALSE), 1)</f>
        <v>1.6861536820725429E-3</v>
      </c>
      <c r="V8" s="7">
        <f>$B8 * IFERROR(VLOOKUP("electricity|SO2|Asthma symptoms wheeze", US_national_yearly!$D:$AM, 30, FALSE) / VLOOKUP("electricity|SO2|Asthma symptoms wheeze", US_national_yearly!$D:$AM, 10, FALSE), 1)</f>
        <v>1.6861536820725429E-3</v>
      </c>
      <c r="W8" s="7">
        <f>$B8 * IFERROR(VLOOKUP("electricity|SO2|Asthma symptoms wheeze", US_national_yearly!$D:$AM, 31, FALSE) / VLOOKUP("electricity|SO2|Asthma symptoms wheeze", US_national_yearly!$D:$AM, 10, FALSE), 1)</f>
        <v>1.6861536820725429E-3</v>
      </c>
      <c r="X8" s="7">
        <f>$B8 * IFERROR(VLOOKUP("electricity|SO2|Asthma symptoms wheeze", US_national_yearly!$D:$AM, 32, FALSE) / VLOOKUP("electricity|SO2|Asthma symptoms wheeze", US_national_yearly!$D:$AM, 10, FALSE), 1)</f>
        <v>1.6861536820725429E-3</v>
      </c>
      <c r="Y8" s="7">
        <f>$B8 * IFERROR(VLOOKUP("electricity|SO2|Asthma symptoms wheeze", US_national_yearly!$D:$AM, 33, FALSE) / VLOOKUP("electricity|SO2|Asthma symptoms wheeze", US_national_yearly!$D:$AM, 10, FALSE), 1)</f>
        <v>1.6861536820725429E-3</v>
      </c>
      <c r="Z8" s="7">
        <f>$B8 * IFERROR(VLOOKUP("electricity|SO2|Asthma symptoms wheeze", US_national_yearly!$D:$AM, 34, FALSE) / VLOOKUP("electricity|SO2|Asthma symptoms wheeze", US_national_yearly!$D:$AM, 10, FALSE), 1)</f>
        <v>1.6861536820725429E-3</v>
      </c>
      <c r="AA8" s="7">
        <f>$B8 * IFERROR(VLOOKUP("electricity|SO2|Asthma symptoms wheeze", US_national_yearly!$D:$AM, 35, FALSE) / VLOOKUP("electricity|SO2|Asthma symptoms wheeze", US_national_yearly!$D:$AM, 10, FALSE), 1)</f>
        <v>1.6861536820725429E-3</v>
      </c>
      <c r="AB8" s="7">
        <f>$B8 * IFERROR(VLOOKUP("electricity|SO2|Asthma symptoms wheeze", US_national_yearly!$D:$AM, 36, FALSE) / VLOOKUP("electricity|SO2|Asthma symptoms wheeze", US_national_yearly!$D:$AM, 10, FALSE), 1)</f>
        <v>1.6861536820725429E-3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2.2558566216399738E-5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2.2691427845437911E-5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2.2824289474476087E-5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2.295715110351426E-5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2.3090012732552437E-5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2.3234791460254182E-5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2.337957018795593E-5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2.3518849439832402E-5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2.3658128691708876E-5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2.3797407943585355E-5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2.3936687195461826E-5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2.4075966447338301E-5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2.4175865939546507E-5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2.4275765431754716E-5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2.4375664923962922E-5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2.4475564416171127E-5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2.4575463908379336E-5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2.4669754323901848E-5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2.4764044739424363E-5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2.4858335154946871E-5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2.4952625570469386E-5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2.5046915985991901E-5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2.5137371321868039E-5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2.5227826657744188E-5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2.5318281993620336E-5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2.5408737329496478E-5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2.5499192665372626E-5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1.2517923574101092E-4</v>
      </c>
      <c r="C13" s="7">
        <f>$B13 * IFERROR(VLOOKUP("electricity|SO2|Non-fatal heart attacks", US_national_yearly!$D:$AM, 11, FALSE) / VLOOKUP("electricity|SO2|Non-fatal heart attacks", US_national_yearly!$D:$AM, 10, FALSE), 1)</f>
        <v>1.2886646142150612E-4</v>
      </c>
      <c r="D13" s="7">
        <f>$B13 * IFERROR(VLOOKUP("electricity|SO2|Non-fatal heart attacks", US_national_yearly!$D:$AM, 12, FALSE) / VLOOKUP("electricity|SO2|Non-fatal heart attacks", US_national_yearly!$D:$AM, 10, FALSE), 1)</f>
        <v>1.3255368710200126E-4</v>
      </c>
      <c r="E13" s="7">
        <f>$B13 * IFERROR(VLOOKUP("electricity|SO2|Non-fatal heart attacks", US_national_yearly!$D:$AM, 13, FALSE) / VLOOKUP("electricity|SO2|Non-fatal heart attacks", US_national_yearly!$D:$AM, 10, FALSE), 1)</f>
        <v>1.3624091278249643E-4</v>
      </c>
      <c r="F13" s="7">
        <f>$B13 * IFERROR(VLOOKUP("electricity|SO2|Non-fatal heart attacks", US_national_yearly!$D:$AM, 14, FALSE) / VLOOKUP("electricity|SO2|Non-fatal heart attacks", US_national_yearly!$D:$AM, 10, FALSE), 1)</f>
        <v>1.3992813846299161E-4</v>
      </c>
      <c r="G13" s="7">
        <f>$B13 * IFERROR(VLOOKUP("electricity|SO2|Non-fatal heart attacks", US_national_yearly!$D:$AM, 15, FALSE) / VLOOKUP("electricity|SO2|Non-fatal heart attacks", US_national_yearly!$D:$AM, 10, FALSE), 1)</f>
        <v>1.4342742626184842E-4</v>
      </c>
      <c r="H13" s="7">
        <f>$B13 * IFERROR(VLOOKUP("electricity|SO2|Non-fatal heart attacks", US_national_yearly!$D:$AM, 16, FALSE) / VLOOKUP("electricity|SO2|Non-fatal heart attacks", US_national_yearly!$D:$AM, 10, FALSE), 1)</f>
        <v>1.4692671406070525E-4</v>
      </c>
      <c r="I13" s="7">
        <f>$B13 * IFERROR(VLOOKUP("electricity|SO2|Non-fatal heart attacks", US_national_yearly!$D:$AM, 17, FALSE) / VLOOKUP("electricity|SO2|Non-fatal heart attacks", US_national_yearly!$D:$AM, 10, FALSE), 1)</f>
        <v>1.4977648343819105E-4</v>
      </c>
      <c r="J13" s="7">
        <f>$B13 * IFERROR(VLOOKUP("electricity|SO2|Non-fatal heart attacks", US_national_yearly!$D:$AM, 18, FALSE) / VLOOKUP("electricity|SO2|Non-fatal heart attacks", US_national_yearly!$D:$AM, 10, FALSE), 1)</f>
        <v>1.5262625281567679E-4</v>
      </c>
      <c r="K13" s="7">
        <f>$B13 * IFERROR(VLOOKUP("electricity|SO2|Non-fatal heart attacks", US_national_yearly!$D:$AM, 19, FALSE) / VLOOKUP("electricity|SO2|Non-fatal heart attacks", US_national_yearly!$D:$AM, 10, FALSE), 1)</f>
        <v>1.5547602219316255E-4</v>
      </c>
      <c r="L13" s="7">
        <f>$B13 * IFERROR(VLOOKUP("electricity|SO2|Non-fatal heart attacks", US_national_yearly!$D:$AM, 20, FALSE) / VLOOKUP("electricity|SO2|Non-fatal heart attacks", US_national_yearly!$D:$AM, 10, FALSE), 1)</f>
        <v>1.5832579157064829E-4</v>
      </c>
      <c r="M13" s="7">
        <f>$B13 * IFERROR(VLOOKUP("electricity|SO2|Non-fatal heart attacks", US_national_yearly!$D:$AM, 21, FALSE) / VLOOKUP("electricity|SO2|Non-fatal heart attacks", US_national_yearly!$D:$AM, 10, FALSE), 1)</f>
        <v>1.6117556094813405E-4</v>
      </c>
      <c r="N13" s="7">
        <f>$B13 * IFERROR(VLOOKUP("electricity|SO2|Non-fatal heart attacks", US_national_yearly!$D:$AM, 22, FALSE) / VLOOKUP("electricity|SO2|Non-fatal heart attacks", US_national_yearly!$D:$AM, 10, FALSE), 1)</f>
        <v>1.6305484968987075E-4</v>
      </c>
      <c r="O13" s="7">
        <f>$B13 * IFERROR(VLOOKUP("electricity|SO2|Non-fatal heart attacks", US_national_yearly!$D:$AM, 23, FALSE) / VLOOKUP("electricity|SO2|Non-fatal heart attacks", US_national_yearly!$D:$AM, 10, FALSE), 1)</f>
        <v>1.6493413843160742E-4</v>
      </c>
      <c r="P13" s="7">
        <f>$B13 * IFERROR(VLOOKUP("electricity|SO2|Non-fatal heart attacks", US_national_yearly!$D:$AM, 24, FALSE) / VLOOKUP("electricity|SO2|Non-fatal heart attacks", US_national_yearly!$D:$AM, 10, FALSE), 1)</f>
        <v>1.6681342717334412E-4</v>
      </c>
      <c r="Q13" s="7">
        <f>$B13 * IFERROR(VLOOKUP("electricity|SO2|Non-fatal heart attacks", US_national_yearly!$D:$AM, 25, FALSE) / VLOOKUP("electricity|SO2|Non-fatal heart attacks", US_national_yearly!$D:$AM, 10, FALSE), 1)</f>
        <v>1.6869271591508082E-4</v>
      </c>
      <c r="R13" s="7">
        <f>$B13 * IFERROR(VLOOKUP("electricity|SO2|Non-fatal heart attacks", US_national_yearly!$D:$AM, 26, FALSE) / VLOOKUP("electricity|SO2|Non-fatal heart attacks", US_national_yearly!$D:$AM, 10, FALSE), 1)</f>
        <v>1.7057200465681751E-4</v>
      </c>
      <c r="S13" s="7">
        <f>$B13 * IFERROR(VLOOKUP("electricity|SO2|Non-fatal heart attacks", US_national_yearly!$D:$AM, 27, FALSE) / VLOOKUP("electricity|SO2|Non-fatal heart attacks", US_national_yearly!$D:$AM, 10, FALSE), 1)</f>
        <v>1.715946688685893E-4</v>
      </c>
      <c r="T13" s="7">
        <f>$B13 * IFERROR(VLOOKUP("electricity|SO2|Non-fatal heart attacks", US_national_yearly!$D:$AM, 28, FALSE) / VLOOKUP("electricity|SO2|Non-fatal heart attacks", US_national_yearly!$D:$AM, 10, FALSE), 1)</f>
        <v>1.7261733308036111E-4</v>
      </c>
      <c r="U13" s="7">
        <f>$B13 * IFERROR(VLOOKUP("electricity|SO2|Non-fatal heart attacks", US_national_yearly!$D:$AM, 29, FALSE) / VLOOKUP("electricity|SO2|Non-fatal heart attacks", US_national_yearly!$D:$AM, 10, FALSE), 1)</f>
        <v>1.7363999729213292E-4</v>
      </c>
      <c r="V13" s="7">
        <f>$B13 * IFERROR(VLOOKUP("electricity|SO2|Non-fatal heart attacks", US_national_yearly!$D:$AM, 30, FALSE) / VLOOKUP("electricity|SO2|Non-fatal heart attacks", US_national_yearly!$D:$AM, 10, FALSE), 1)</f>
        <v>1.7466266150390467E-4</v>
      </c>
      <c r="W13" s="7">
        <f>$B13 * IFERROR(VLOOKUP("electricity|SO2|Non-fatal heart attacks", US_national_yearly!$D:$AM, 31, FALSE) / VLOOKUP("electricity|SO2|Non-fatal heart attacks", US_national_yearly!$D:$AM, 10, FALSE), 1)</f>
        <v>1.7568532571567651E-4</v>
      </c>
      <c r="X13" s="7">
        <f>$B13 * IFERROR(VLOOKUP("electricity|SO2|Non-fatal heart attacks", US_national_yearly!$D:$AM, 32, FALSE) / VLOOKUP("electricity|SO2|Non-fatal heart attacks", US_national_yearly!$D:$AM, 10, FALSE), 1)</f>
        <v>1.7647090255993407E-4</v>
      </c>
      <c r="Y13" s="7">
        <f>$B13 * IFERROR(VLOOKUP("electricity|SO2|Non-fatal heart attacks", US_national_yearly!$D:$AM, 33, FALSE) / VLOOKUP("electricity|SO2|Non-fatal heart attacks", US_national_yearly!$D:$AM, 10, FALSE), 1)</f>
        <v>1.7725647940419168E-4</v>
      </c>
      <c r="Z13" s="7">
        <f>$B13 * IFERROR(VLOOKUP("electricity|SO2|Non-fatal heart attacks", US_national_yearly!$D:$AM, 34, FALSE) / VLOOKUP("electricity|SO2|Non-fatal heart attacks", US_national_yearly!$D:$AM, 10, FALSE), 1)</f>
        <v>1.7804205624844923E-4</v>
      </c>
      <c r="AA13" s="7">
        <f>$B13 * IFERROR(VLOOKUP("electricity|SO2|Non-fatal heart attacks", US_national_yearly!$D:$AM, 35, FALSE) / VLOOKUP("electricity|SO2|Non-fatal heart attacks", US_national_yearly!$D:$AM, 10, FALSE), 1)</f>
        <v>1.7882763309270681E-4</v>
      </c>
      <c r="AB13" s="7">
        <f>$B13 * IFERROR(VLOOKUP("electricity|SO2|Non-fatal heart attacks", US_national_yearly!$D:$AM, 36, FALSE) / VLOOKUP("electricity|SO2|Non-fatal heart attacks", US_national_yearly!$D:$AM, 10, FALSE), 1)</f>
        <v>1.7961320993696439E-4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9.0651089791790901E-2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9.0878891643919574E-2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9.1106693496048233E-2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9.133449534817692E-2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9.1562297200305565E-2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9.1891421627359443E-2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9.2220546054413322E-2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9.2785019786490591E-2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9.3349493518567889E-2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9.3913967250645158E-2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9.447844098272247E-2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9.5042914714799739E-2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9.5820276580657837E-2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9.6597638446515907E-2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9.7375000312373991E-2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9.8152362178232075E-2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9.8929724044090159E-2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9.9726642514379807E-2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0.10052356098466945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0.10132047945495909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0.10211739792524874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0.10291431639553839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0.10361551730916839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0.10431671822279837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0.10501791913642834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0.10571912005005833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0.10642032096368831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1.5377889354113555E-2</v>
      </c>
      <c r="C15" s="7">
        <f>$B15 * IFERROR(VLOOKUP("electricity|SO2|Work loss days", US_national_yearly!$D:$AM, 11, FALSE) / VLOOKUP("electricity|SO2|Work loss days", US_national_yearly!$D:$AM, 10, FALSE), 1)</f>
        <v>1.5427683424918327E-2</v>
      </c>
      <c r="D15" s="7">
        <f>$B15 * IFERROR(VLOOKUP("electricity|SO2|Work loss days", US_national_yearly!$D:$AM, 12, FALSE) / VLOOKUP("electricity|SO2|Work loss days", US_national_yearly!$D:$AM, 10, FALSE), 1)</f>
        <v>1.5477477495723101E-2</v>
      </c>
      <c r="E15" s="7">
        <f>$B15 * IFERROR(VLOOKUP("electricity|SO2|Work loss days", US_national_yearly!$D:$AM, 13, FALSE) / VLOOKUP("electricity|SO2|Work loss days", US_national_yearly!$D:$AM, 10, FALSE), 1)</f>
        <v>1.5527271566527877E-2</v>
      </c>
      <c r="F15" s="7">
        <f>$B15 * IFERROR(VLOOKUP("electricity|SO2|Work loss days", US_national_yearly!$D:$AM, 14, FALSE) / VLOOKUP("electricity|SO2|Work loss days", US_national_yearly!$D:$AM, 10, FALSE), 1)</f>
        <v>1.5577065637332651E-2</v>
      </c>
      <c r="G15" s="7">
        <f>$B15 * IFERROR(VLOOKUP("electricity|SO2|Work loss days", US_national_yearly!$D:$AM, 15, FALSE) / VLOOKUP("electricity|SO2|Work loss days", US_national_yearly!$D:$AM, 10, FALSE), 1)</f>
        <v>1.5640854927470804E-2</v>
      </c>
      <c r="H15" s="7">
        <f>$B15 * IFERROR(VLOOKUP("electricity|SO2|Work loss days", US_national_yearly!$D:$AM, 16, FALSE) / VLOOKUP("electricity|SO2|Work loss days", US_national_yearly!$D:$AM, 10, FALSE), 1)</f>
        <v>1.5704644217608955E-2</v>
      </c>
      <c r="I15" s="7">
        <f>$B15 * IFERROR(VLOOKUP("electricity|SO2|Work loss days", US_national_yearly!$D:$AM, 17, FALSE) / VLOOKUP("electricity|SO2|Work loss days", US_national_yearly!$D:$AM, 10, FALSE), 1)</f>
        <v>1.5797975452555235E-2</v>
      </c>
      <c r="J15" s="7">
        <f>$B15 * IFERROR(VLOOKUP("electricity|SO2|Work loss days", US_national_yearly!$D:$AM, 18, FALSE) / VLOOKUP("electricity|SO2|Work loss days", US_national_yearly!$D:$AM, 10, FALSE), 1)</f>
        <v>1.5891306687501511E-2</v>
      </c>
      <c r="K15" s="7">
        <f>$B15 * IFERROR(VLOOKUP("electricity|SO2|Work loss days", US_national_yearly!$D:$AM, 19, FALSE) / VLOOKUP("electricity|SO2|Work loss days", US_national_yearly!$D:$AM, 10, FALSE), 1)</f>
        <v>1.5984637922447798E-2</v>
      </c>
      <c r="L15" s="7">
        <f>$B15 * IFERROR(VLOOKUP("electricity|SO2|Work loss days", US_national_yearly!$D:$AM, 20, FALSE) / VLOOKUP("electricity|SO2|Work loss days", US_national_yearly!$D:$AM, 10, FALSE), 1)</f>
        <v>1.6077969157394074E-2</v>
      </c>
      <c r="M15" s="7">
        <f>$B15 * IFERROR(VLOOKUP("electricity|SO2|Work loss days", US_national_yearly!$D:$AM, 21, FALSE) / VLOOKUP("electricity|SO2|Work loss days", US_national_yearly!$D:$AM, 10, FALSE), 1)</f>
        <v>1.6171300392340358E-2</v>
      </c>
      <c r="N15" s="7">
        <f>$B15 * IFERROR(VLOOKUP("electricity|SO2|Work loss days", US_national_yearly!$D:$AM, 22, FALSE) / VLOOKUP("electricity|SO2|Work loss days", US_national_yearly!$D:$AM, 10, FALSE), 1)</f>
        <v>1.6289387615488034E-2</v>
      </c>
      <c r="O15" s="7">
        <f>$B15 * IFERROR(VLOOKUP("electricity|SO2|Work loss days", US_national_yearly!$D:$AM, 23, FALSE) / VLOOKUP("electricity|SO2|Work loss days", US_national_yearly!$D:$AM, 10, FALSE), 1)</f>
        <v>1.6407474838635718E-2</v>
      </c>
      <c r="P15" s="7">
        <f>$B15 * IFERROR(VLOOKUP("electricity|SO2|Work loss days", US_national_yearly!$D:$AM, 24, FALSE) / VLOOKUP("electricity|SO2|Work loss days", US_national_yearly!$D:$AM, 10, FALSE), 1)</f>
        <v>1.6525562061783398E-2</v>
      </c>
      <c r="Q15" s="7">
        <f>$B15 * IFERROR(VLOOKUP("electricity|SO2|Work loss days", US_national_yearly!$D:$AM, 25, FALSE) / VLOOKUP("electricity|SO2|Work loss days", US_national_yearly!$D:$AM, 10, FALSE), 1)</f>
        <v>1.6643649284931075E-2</v>
      </c>
      <c r="R15" s="7">
        <f>$B15 * IFERROR(VLOOKUP("electricity|SO2|Work loss days", US_national_yearly!$D:$AM, 26, FALSE) / VLOOKUP("electricity|SO2|Work loss days", US_national_yearly!$D:$AM, 10, FALSE), 1)</f>
        <v>1.6761736508078755E-2</v>
      </c>
      <c r="S15" s="7">
        <f>$B15 * IFERROR(VLOOKUP("electricity|SO2|Work loss days", US_national_yearly!$D:$AM, 27, FALSE) / VLOOKUP("electricity|SO2|Work loss days", US_national_yearly!$D:$AM, 10, FALSE), 1)</f>
        <v>1.6894123304780181E-2</v>
      </c>
      <c r="T15" s="7">
        <f>$B15 * IFERROR(VLOOKUP("electricity|SO2|Work loss days", US_national_yearly!$D:$AM, 28, FALSE) / VLOOKUP("electricity|SO2|Work loss days", US_national_yearly!$D:$AM, 10, FALSE), 1)</f>
        <v>1.7026510101481613E-2</v>
      </c>
      <c r="U15" s="7">
        <f>$B15 * IFERROR(VLOOKUP("electricity|SO2|Work loss days", US_national_yearly!$D:$AM, 29, FALSE) / VLOOKUP("electricity|SO2|Work loss days", US_national_yearly!$D:$AM, 10, FALSE), 1)</f>
        <v>1.7158896898183042E-2</v>
      </c>
      <c r="V15" s="7">
        <f>$B15 * IFERROR(VLOOKUP("electricity|SO2|Work loss days", US_national_yearly!$D:$AM, 30, FALSE) / VLOOKUP("electricity|SO2|Work loss days", US_national_yearly!$D:$AM, 10, FALSE), 1)</f>
        <v>1.729128369488447E-2</v>
      </c>
      <c r="W15" s="7">
        <f>$B15 * IFERROR(VLOOKUP("electricity|SO2|Work loss days", US_national_yearly!$D:$AM, 31, FALSE) / VLOOKUP("electricity|SO2|Work loss days", US_national_yearly!$D:$AM, 10, FALSE), 1)</f>
        <v>1.7423670491585899E-2</v>
      </c>
      <c r="X15" s="7">
        <f>$B15 * IFERROR(VLOOKUP("electricity|SO2|Work loss days", US_national_yearly!$D:$AM, 32, FALSE) / VLOOKUP("electricity|SO2|Work loss days", US_national_yearly!$D:$AM, 10, FALSE), 1)</f>
        <v>1.7542937901582095E-2</v>
      </c>
      <c r="Y15" s="7">
        <f>$B15 * IFERROR(VLOOKUP("electricity|SO2|Work loss days", US_national_yearly!$D:$AM, 33, FALSE) / VLOOKUP("electricity|SO2|Work loss days", US_national_yearly!$D:$AM, 10, FALSE), 1)</f>
        <v>1.7662205311578291E-2</v>
      </c>
      <c r="Z15" s="7">
        <f>$B15 * IFERROR(VLOOKUP("electricity|SO2|Work loss days", US_national_yearly!$D:$AM, 34, FALSE) / VLOOKUP("electricity|SO2|Work loss days", US_national_yearly!$D:$AM, 10, FALSE), 1)</f>
        <v>1.7781472721574487E-2</v>
      </c>
      <c r="AA15" s="7">
        <f>$B15 * IFERROR(VLOOKUP("electricity|SO2|Work loss days", US_national_yearly!$D:$AM, 35, FALSE) / VLOOKUP("electricity|SO2|Work loss days", US_national_yearly!$D:$AM, 10, FALSE), 1)</f>
        <v>1.7900740131570683E-2</v>
      </c>
      <c r="AB15" s="7">
        <f>$B15 * IFERROR(VLOOKUP("electricity|SO2|Work loss days", US_national_yearly!$D:$AM, 36, FALSE) / VLOOKUP("electricity|SO2|Work loss days", US_national_yearly!$D:$AM, 10, FALSE), 1)</f>
        <v>1.8020007541566879E-2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3.1198092880319045E-5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3.2143481819737808E-5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3.3088870759156571E-5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3.4034259698575341E-5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3.4979648637994104E-5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3.5890943333945521E-5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3.6802238029896938E-5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3.7591182792063312E-5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3.8380127554229679E-5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3.9169072316396053E-5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3.995801707856242E-5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4.0746961840728787E-5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4.128541453748879E-5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4.1823867234248779E-5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4.2362319931008794E-5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4.2900772627768783E-5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4.3439225324528786E-5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4.3734414957005577E-5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4.4029604589482355E-5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4.4324794221959146E-5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4.461998385443593E-5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4.4915173486912715E-5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4.5118939295099827E-5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4.5322705103286926E-5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4.5526470911474031E-5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4.5730236719661137E-5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4.5934002527848242E-5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1.0966179696880971E-2</v>
      </c>
      <c r="C2" s="7">
        <f>$B2 * IFERROR(VLOOKUP("buildings|PM25|Premature mortality", US_national_yearly!$D:$AM, 11, FALSE) / VLOOKUP("buildings|PM25|Premature mortality", US_national_yearly!$D:$AM, 10, FALSE), 1)</f>
        <v>1.1102234768106624E-2</v>
      </c>
      <c r="D2" s="7">
        <f>$B2 * IFERROR(VLOOKUP("buildings|PM25|Premature mortality", US_national_yearly!$D:$AM, 12, FALSE) / VLOOKUP("buildings|PM25|Premature mortality", US_national_yearly!$D:$AM, 10, FALSE), 1)</f>
        <v>1.1238289839332278E-2</v>
      </c>
      <c r="E2" s="7">
        <f>$B2 * IFERROR(VLOOKUP("buildings|PM25|Premature mortality", US_national_yearly!$D:$AM, 13, FALSE) / VLOOKUP("buildings|PM25|Premature mortality", US_national_yearly!$D:$AM, 10, FALSE), 1)</f>
        <v>1.1374344910557929E-2</v>
      </c>
      <c r="F2" s="7">
        <f>$B2 * IFERROR(VLOOKUP("buildings|PM25|Premature mortality", US_national_yearly!$D:$AM, 14, FALSE) / VLOOKUP("buildings|PM25|Premature mortality", US_national_yearly!$D:$AM, 10, FALSE), 1)</f>
        <v>1.1510399981783583E-2</v>
      </c>
      <c r="G2" s="7">
        <f>$B2 * IFERROR(VLOOKUP("buildings|PM25|Premature mortality", US_national_yearly!$D:$AM, 15, FALSE) / VLOOKUP("buildings|PM25|Premature mortality", US_national_yearly!$D:$AM, 10, FALSE), 1)</f>
        <v>1.1775327106419903E-2</v>
      </c>
      <c r="H2" s="7">
        <f>$B2 * IFERROR(VLOOKUP("buildings|PM25|Premature mortality", US_national_yearly!$D:$AM, 16, FALSE) / VLOOKUP("buildings|PM25|Premature mortality", US_national_yearly!$D:$AM, 10, FALSE), 1)</f>
        <v>1.2040254231056221E-2</v>
      </c>
      <c r="I2" s="7">
        <f>$B2 * IFERROR(VLOOKUP("buildings|PM25|Premature mortality", US_national_yearly!$D:$AM, 17, FALSE) / VLOOKUP("buildings|PM25|Premature mortality", US_national_yearly!$D:$AM, 10, FALSE), 1)</f>
        <v>1.2214492237815318E-2</v>
      </c>
      <c r="J2" s="7">
        <f>$B2 * IFERROR(VLOOKUP("buildings|PM25|Premature mortality", US_national_yearly!$D:$AM, 18, FALSE) / VLOOKUP("buildings|PM25|Premature mortality", US_national_yearly!$D:$AM, 10, FALSE), 1)</f>
        <v>1.2388730244574415E-2</v>
      </c>
      <c r="K2" s="7">
        <f>$B2 * IFERROR(VLOOKUP("buildings|PM25|Premature mortality", US_national_yearly!$D:$AM, 19, FALSE) / VLOOKUP("buildings|PM25|Premature mortality", US_national_yearly!$D:$AM, 10, FALSE), 1)</f>
        <v>1.2562968251333514E-2</v>
      </c>
      <c r="L2" s="7">
        <f>$B2 * IFERROR(VLOOKUP("buildings|PM25|Premature mortality", US_national_yearly!$D:$AM, 20, FALSE) / VLOOKUP("buildings|PM25|Premature mortality", US_national_yearly!$D:$AM, 10, FALSE), 1)</f>
        <v>1.2737206258092611E-2</v>
      </c>
      <c r="M2" s="7">
        <f>$B2 * IFERROR(VLOOKUP("buildings|PM25|Premature mortality", US_national_yearly!$D:$AM, 21, FALSE) / VLOOKUP("buildings|PM25|Premature mortality", US_national_yearly!$D:$AM, 10, FALSE), 1)</f>
        <v>1.2911444264851708E-2</v>
      </c>
      <c r="N2" s="7">
        <f>$B2 * IFERROR(VLOOKUP("buildings|PM25|Premature mortality", US_national_yearly!$D:$AM, 22, FALSE) / VLOOKUP("buildings|PM25|Premature mortality", US_national_yearly!$D:$AM, 10, FALSE), 1)</f>
        <v>1.3046933680234728E-2</v>
      </c>
      <c r="O2" s="7">
        <f>$B2 * IFERROR(VLOOKUP("buildings|PM25|Premature mortality", US_national_yearly!$D:$AM, 23, FALSE) / VLOOKUP("buildings|PM25|Premature mortality", US_national_yearly!$D:$AM, 10, FALSE), 1)</f>
        <v>1.318242309561775E-2</v>
      </c>
      <c r="P2" s="7">
        <f>$B2 * IFERROR(VLOOKUP("buildings|PM25|Premature mortality", US_national_yearly!$D:$AM, 24, FALSE) / VLOOKUP("buildings|PM25|Premature mortality", US_national_yearly!$D:$AM, 10, FALSE), 1)</f>
        <v>1.3317912511000771E-2</v>
      </c>
      <c r="Q2" s="7">
        <f>$B2 * IFERROR(VLOOKUP("buildings|PM25|Premature mortality", US_national_yearly!$D:$AM, 25, FALSE) / VLOOKUP("buildings|PM25|Premature mortality", US_national_yearly!$D:$AM, 10, FALSE), 1)</f>
        <v>1.3453401926383795E-2</v>
      </c>
      <c r="R2" s="7">
        <f>$B2 * IFERROR(VLOOKUP("buildings|PM25|Premature mortality", US_national_yearly!$D:$AM, 26, FALSE) / VLOOKUP("buildings|PM25|Premature mortality", US_national_yearly!$D:$AM, 10, FALSE), 1)</f>
        <v>1.3588891341766815E-2</v>
      </c>
      <c r="S2" s="7">
        <f>$B2 * IFERROR(VLOOKUP("buildings|PM25|Premature mortality", US_national_yearly!$D:$AM, 27, FALSE) / VLOOKUP("buildings|PM25|Premature mortality", US_national_yearly!$D:$AM, 10, FALSE), 1)</f>
        <v>1.3660905311842692E-2</v>
      </c>
      <c r="T2" s="7">
        <f>$B2 * IFERROR(VLOOKUP("buildings|PM25|Premature mortality", US_national_yearly!$D:$AM, 28, FALSE) / VLOOKUP("buildings|PM25|Premature mortality", US_national_yearly!$D:$AM, 10, FALSE), 1)</f>
        <v>1.373291928191857E-2</v>
      </c>
      <c r="U2" s="7">
        <f>$B2 * IFERROR(VLOOKUP("buildings|PM25|Premature mortality", US_national_yearly!$D:$AM, 29, FALSE) / VLOOKUP("buildings|PM25|Premature mortality", US_national_yearly!$D:$AM, 10, FALSE), 1)</f>
        <v>1.3804933251994448E-2</v>
      </c>
      <c r="V2" s="7">
        <f>$B2 * IFERROR(VLOOKUP("buildings|PM25|Premature mortality", US_national_yearly!$D:$AM, 30, FALSE) / VLOOKUP("buildings|PM25|Premature mortality", US_national_yearly!$D:$AM, 10, FALSE), 1)</f>
        <v>1.3876947222070328E-2</v>
      </c>
      <c r="W2" s="7">
        <f>$B2 * IFERROR(VLOOKUP("buildings|PM25|Premature mortality", US_national_yearly!$D:$AM, 31, FALSE) / VLOOKUP("buildings|PM25|Premature mortality", US_national_yearly!$D:$AM, 10, FALSE), 1)</f>
        <v>1.3948961192146205E-2</v>
      </c>
      <c r="X2" s="7">
        <f>$B2 * IFERROR(VLOOKUP("buildings|PM25|Premature mortality", US_national_yearly!$D:$AM, 32, FALSE) / VLOOKUP("buildings|PM25|Premature mortality", US_national_yearly!$D:$AM, 10, FALSE), 1)</f>
        <v>1.3961887121634767E-2</v>
      </c>
      <c r="Y2" s="7">
        <f>$B2 * IFERROR(VLOOKUP("buildings|PM25|Premature mortality", US_national_yearly!$D:$AM, 33, FALSE) / VLOOKUP("buildings|PM25|Premature mortality", US_national_yearly!$D:$AM, 10, FALSE), 1)</f>
        <v>1.397481305112333E-2</v>
      </c>
      <c r="Z2" s="7">
        <f>$B2 * IFERROR(VLOOKUP("buildings|PM25|Premature mortality", US_national_yearly!$D:$AM, 34, FALSE) / VLOOKUP("buildings|PM25|Premature mortality", US_national_yearly!$D:$AM, 10, FALSE), 1)</f>
        <v>1.3987738980611895E-2</v>
      </c>
      <c r="AA2" s="7">
        <f>$B2 * IFERROR(VLOOKUP("buildings|PM25|Premature mortality", US_national_yearly!$D:$AM, 35, FALSE) / VLOOKUP("buildings|PM25|Premature mortality", US_national_yearly!$D:$AM, 10, FALSE), 1)</f>
        <v>1.4000664910100458E-2</v>
      </c>
      <c r="AB2" s="7">
        <f>$B2 * IFERROR(VLOOKUP("buildings|PM25|Premature mortality", US_national_yearly!$D:$AM, 36, FALSE) / VLOOKUP("buildings|PM25|Premature mortality", US_national_yearly!$D:$AM, 10, FALSE), 1)</f>
        <v>1.4013590839589021E-2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3.7654586287562324E-5</v>
      </c>
      <c r="C3" s="7">
        <f>$B3 * IFERROR(VLOOKUP("buildings|PM25|Infant mortality", US_national_yearly!$D:$AM, 11, FALSE) / VLOOKUP("buildings|PM25|Infant mortality", US_national_yearly!$D:$AM, 10, FALSE), 1)</f>
        <v>3.7328436658303793E-5</v>
      </c>
      <c r="D3" s="7">
        <f>$B3 * IFERROR(VLOOKUP("buildings|PM25|Infant mortality", US_national_yearly!$D:$AM, 12, FALSE) / VLOOKUP("buildings|PM25|Infant mortality", US_national_yearly!$D:$AM, 10, FALSE), 1)</f>
        <v>3.7002287029045255E-5</v>
      </c>
      <c r="E3" s="7">
        <f>$B3 * IFERROR(VLOOKUP("buildings|PM25|Infant mortality", US_national_yearly!$D:$AM, 13, FALSE) / VLOOKUP("buildings|PM25|Infant mortality", US_national_yearly!$D:$AM, 10, FALSE), 1)</f>
        <v>3.6676137399786724E-5</v>
      </c>
      <c r="F3" s="7">
        <f>$B3 * IFERROR(VLOOKUP("buildings|PM25|Infant mortality", US_national_yearly!$D:$AM, 14, FALSE) / VLOOKUP("buildings|PM25|Infant mortality", US_national_yearly!$D:$AM, 10, FALSE), 1)</f>
        <v>3.6349987770528193E-5</v>
      </c>
      <c r="G3" s="7">
        <f>$B3 * IFERROR(VLOOKUP("buildings|PM25|Infant mortality", US_national_yearly!$D:$AM, 15, FALSE) / VLOOKUP("buildings|PM25|Infant mortality", US_national_yearly!$D:$AM, 10, FALSE), 1)</f>
        <v>2.4171423119825601E-5</v>
      </c>
      <c r="H3" s="7">
        <f>$B3 * IFERROR(VLOOKUP("buildings|PM25|Infant mortality", US_national_yearly!$D:$AM, 16, FALSE) / VLOOKUP("buildings|PM25|Infant mortality", US_national_yearly!$D:$AM, 10, FALSE), 1)</f>
        <v>1.1992858469123008E-5</v>
      </c>
      <c r="I3" s="7">
        <f>$B3 * IFERROR(VLOOKUP("buildings|PM25|Infant mortality", US_national_yearly!$D:$AM, 17, FALSE) / VLOOKUP("buildings|PM25|Infant mortality", US_national_yearly!$D:$AM, 10, FALSE), 1)</f>
        <v>1.191470813866499E-5</v>
      </c>
      <c r="J3" s="7">
        <f>$B3 * IFERROR(VLOOKUP("buildings|PM25|Infant mortality", US_national_yearly!$D:$AM, 18, FALSE) / VLOOKUP("buildings|PM25|Infant mortality", US_national_yearly!$D:$AM, 10, FALSE), 1)</f>
        <v>1.1836557808206973E-5</v>
      </c>
      <c r="K3" s="7">
        <f>$B3 * IFERROR(VLOOKUP("buildings|PM25|Infant mortality", US_national_yearly!$D:$AM, 19, FALSE) / VLOOKUP("buildings|PM25|Infant mortality", US_national_yearly!$D:$AM, 10, FALSE), 1)</f>
        <v>1.1758407477748956E-5</v>
      </c>
      <c r="L3" s="7">
        <f>$B3 * IFERROR(VLOOKUP("buildings|PM25|Infant mortality", US_national_yearly!$D:$AM, 20, FALSE) / VLOOKUP("buildings|PM25|Infant mortality", US_national_yearly!$D:$AM, 10, FALSE), 1)</f>
        <v>1.1680257147290938E-5</v>
      </c>
      <c r="M3" s="7">
        <f>$B3 * IFERROR(VLOOKUP("buildings|PM25|Infant mortality", US_national_yearly!$D:$AM, 21, FALSE) / VLOOKUP("buildings|PM25|Infant mortality", US_national_yearly!$D:$AM, 10, FALSE), 1)</f>
        <v>1.1602106816832923E-5</v>
      </c>
      <c r="N3" s="7">
        <f>$B3 * IFERROR(VLOOKUP("buildings|PM25|Infant mortality", US_national_yearly!$D:$AM, 22, FALSE) / VLOOKUP("buildings|PM25|Infant mortality", US_national_yearly!$D:$AM, 10, FALSE), 1)</f>
        <v>1.1553208490457496E-5</v>
      </c>
      <c r="O3" s="7">
        <f>$B3 * IFERROR(VLOOKUP("buildings|PM25|Infant mortality", US_national_yearly!$D:$AM, 23, FALSE) / VLOOKUP("buildings|PM25|Infant mortality", US_national_yearly!$D:$AM, 10, FALSE), 1)</f>
        <v>1.1504310164082069E-5</v>
      </c>
      <c r="P3" s="7">
        <f>$B3 * IFERROR(VLOOKUP("buildings|PM25|Infant mortality", US_national_yearly!$D:$AM, 24, FALSE) / VLOOKUP("buildings|PM25|Infant mortality", US_national_yearly!$D:$AM, 10, FALSE), 1)</f>
        <v>1.1455411837706642E-5</v>
      </c>
      <c r="Q3" s="7">
        <f>$B3 * IFERROR(VLOOKUP("buildings|PM25|Infant mortality", US_national_yearly!$D:$AM, 25, FALSE) / VLOOKUP("buildings|PM25|Infant mortality", US_national_yearly!$D:$AM, 10, FALSE), 1)</f>
        <v>1.1406513511331217E-5</v>
      </c>
      <c r="R3" s="7">
        <f>$B3 * IFERROR(VLOOKUP("buildings|PM25|Infant mortality", US_national_yearly!$D:$AM, 26, FALSE) / VLOOKUP("buildings|PM25|Infant mortality", US_national_yearly!$D:$AM, 10, FALSE), 1)</f>
        <v>1.1357615184955791E-5</v>
      </c>
      <c r="S3" s="7">
        <f>$B3 * IFERROR(VLOOKUP("buildings|PM25|Infant mortality", US_national_yearly!$D:$AM, 27, FALSE) / VLOOKUP("buildings|PM25|Infant mortality", US_national_yearly!$D:$AM, 10, FALSE), 1)</f>
        <v>1.12965622621009E-5</v>
      </c>
      <c r="T3" s="7">
        <f>$B3 * IFERROR(VLOOKUP("buildings|PM25|Infant mortality", US_national_yearly!$D:$AM, 28, FALSE) / VLOOKUP("buildings|PM25|Infant mortality", US_national_yearly!$D:$AM, 10, FALSE), 1)</f>
        <v>1.1235509339246013E-5</v>
      </c>
      <c r="U3" s="7">
        <f>$B3 * IFERROR(VLOOKUP("buildings|PM25|Infant mortality", US_national_yearly!$D:$AM, 29, FALSE) / VLOOKUP("buildings|PM25|Infant mortality", US_national_yearly!$D:$AM, 10, FALSE), 1)</f>
        <v>1.1174456416391121E-5</v>
      </c>
      <c r="V3" s="7">
        <f>$B3 * IFERROR(VLOOKUP("buildings|PM25|Infant mortality", US_national_yearly!$D:$AM, 30, FALSE) / VLOOKUP("buildings|PM25|Infant mortality", US_national_yearly!$D:$AM, 10, FALSE), 1)</f>
        <v>1.1113403493536235E-5</v>
      </c>
      <c r="W3" s="7">
        <f>$B3 * IFERROR(VLOOKUP("buildings|PM25|Infant mortality", US_national_yearly!$D:$AM, 31, FALSE) / VLOOKUP("buildings|PM25|Infant mortality", US_national_yearly!$D:$AM, 10, FALSE), 1)</f>
        <v>1.1052350570681344E-5</v>
      </c>
      <c r="X3" s="7">
        <f>$B3 * IFERROR(VLOOKUP("buildings|PM25|Infant mortality", US_national_yearly!$D:$AM, 32, FALSE) / VLOOKUP("buildings|PM25|Infant mortality", US_national_yearly!$D:$AM, 10, FALSE), 1)</f>
        <v>1.0986619238430218E-5</v>
      </c>
      <c r="Y3" s="7">
        <f>$B3 * IFERROR(VLOOKUP("buildings|PM25|Infant mortality", US_national_yearly!$D:$AM, 33, FALSE) / VLOOKUP("buildings|PM25|Infant mortality", US_national_yearly!$D:$AM, 10, FALSE), 1)</f>
        <v>1.0920887906179091E-5</v>
      </c>
      <c r="Z3" s="7">
        <f>$B3 * IFERROR(VLOOKUP("buildings|PM25|Infant mortality", US_national_yearly!$D:$AM, 34, FALSE) / VLOOKUP("buildings|PM25|Infant mortality", US_national_yearly!$D:$AM, 10, FALSE), 1)</f>
        <v>1.0855156573927963E-5</v>
      </c>
      <c r="AA3" s="7">
        <f>$B3 * IFERROR(VLOOKUP("buildings|PM25|Infant mortality", US_national_yearly!$D:$AM, 35, FALSE) / VLOOKUP("buildings|PM25|Infant mortality", US_national_yearly!$D:$AM, 10, FALSE), 1)</f>
        <v>1.0789425241676835E-5</v>
      </c>
      <c r="AB3" s="7">
        <f>$B3 * IFERROR(VLOOKUP("buildings|PM25|Infant mortality", US_national_yearly!$D:$AM, 36, FALSE) / VLOOKUP("buildings|PM25|Infant mortality", US_national_yearly!$D:$AM, 10, FALSE), 1)</f>
        <v>1.072369390942571E-5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2.9695968116279989E-2</v>
      </c>
      <c r="C6" s="7">
        <f>$B6 * IFERROR(VLOOKUP("buildings|PM25|Asthma symptoms cough", US_national_yearly!$D:$AM, 11, FALSE) / VLOOKUP("buildings|PM25|Asthma symptoms cough", US_national_yearly!$D:$AM, 10, FALSE), 1)</f>
        <v>2.9695968116279989E-2</v>
      </c>
      <c r="D6" s="7">
        <f>$B6 * IFERROR(VLOOKUP("buildings|PM25|Asthma symptoms cough", US_national_yearly!$D:$AM, 12, FALSE) / VLOOKUP("buildings|PM25|Asthma symptoms cough", US_national_yearly!$D:$AM, 10, FALSE), 1)</f>
        <v>2.9695968116279989E-2</v>
      </c>
      <c r="E6" s="7">
        <f>$B6 * IFERROR(VLOOKUP("buildings|PM25|Asthma symptoms cough", US_national_yearly!$D:$AM, 13, FALSE) / VLOOKUP("buildings|PM25|Asthma symptoms cough", US_national_yearly!$D:$AM, 10, FALSE), 1)</f>
        <v>2.9695968116279989E-2</v>
      </c>
      <c r="F6" s="7">
        <f>$B6 * IFERROR(VLOOKUP("buildings|PM25|Asthma symptoms cough", US_national_yearly!$D:$AM, 14, FALSE) / VLOOKUP("buildings|PM25|Asthma symptoms cough", US_national_yearly!$D:$AM, 10, FALSE), 1)</f>
        <v>2.9695968116279989E-2</v>
      </c>
      <c r="G6" s="7">
        <f>$B6 * IFERROR(VLOOKUP("buildings|PM25|Asthma symptoms cough", US_national_yearly!$D:$AM, 15, FALSE) / VLOOKUP("buildings|PM25|Asthma symptoms cough", US_national_yearly!$D:$AM, 10, FALSE), 1)</f>
        <v>2.9695968116279989E-2</v>
      </c>
      <c r="H6" s="7">
        <f>$B6 * IFERROR(VLOOKUP("buildings|PM25|Asthma symptoms cough", US_national_yearly!$D:$AM, 16, FALSE) / VLOOKUP("buildings|PM25|Asthma symptoms cough", US_national_yearly!$D:$AM, 10, FALSE), 1)</f>
        <v>2.9695968116279989E-2</v>
      </c>
      <c r="I6" s="7">
        <f>$B6 * IFERROR(VLOOKUP("buildings|PM25|Asthma symptoms cough", US_national_yearly!$D:$AM, 17, FALSE) / VLOOKUP("buildings|PM25|Asthma symptoms cough", US_national_yearly!$D:$AM, 10, FALSE), 1)</f>
        <v>2.9695968116279989E-2</v>
      </c>
      <c r="J6" s="7">
        <f>$B6 * IFERROR(VLOOKUP("buildings|PM25|Asthma symptoms cough", US_national_yearly!$D:$AM, 18, FALSE) / VLOOKUP("buildings|PM25|Asthma symptoms cough", US_national_yearly!$D:$AM, 10, FALSE), 1)</f>
        <v>2.9695968116279989E-2</v>
      </c>
      <c r="K6" s="7">
        <f>$B6 * IFERROR(VLOOKUP("buildings|PM25|Asthma symptoms cough", US_national_yearly!$D:$AM, 19, FALSE) / VLOOKUP("buildings|PM25|Asthma symptoms cough", US_national_yearly!$D:$AM, 10, FALSE), 1)</f>
        <v>2.9695968116279989E-2</v>
      </c>
      <c r="L6" s="7">
        <f>$B6 * IFERROR(VLOOKUP("buildings|PM25|Asthma symptoms cough", US_national_yearly!$D:$AM, 20, FALSE) / VLOOKUP("buildings|PM25|Asthma symptoms cough", US_national_yearly!$D:$AM, 10, FALSE), 1)</f>
        <v>2.9695968116279989E-2</v>
      </c>
      <c r="M6" s="7">
        <f>$B6 * IFERROR(VLOOKUP("buildings|PM25|Asthma symptoms cough", US_national_yearly!$D:$AM, 21, FALSE) / VLOOKUP("buildings|PM25|Asthma symptoms cough", US_national_yearly!$D:$AM, 10, FALSE), 1)</f>
        <v>2.9695968116279989E-2</v>
      </c>
      <c r="N6" s="7">
        <f>$B6 * IFERROR(VLOOKUP("buildings|PM25|Asthma symptoms cough", US_national_yearly!$D:$AM, 22, FALSE) / VLOOKUP("buildings|PM25|Asthma symptoms cough", US_national_yearly!$D:$AM, 10, FALSE), 1)</f>
        <v>2.9695968116279989E-2</v>
      </c>
      <c r="O6" s="7">
        <f>$B6 * IFERROR(VLOOKUP("buildings|PM25|Asthma symptoms cough", US_national_yearly!$D:$AM, 23, FALSE) / VLOOKUP("buildings|PM25|Asthma symptoms cough", US_national_yearly!$D:$AM, 10, FALSE), 1)</f>
        <v>2.9695968116279989E-2</v>
      </c>
      <c r="P6" s="7">
        <f>$B6 * IFERROR(VLOOKUP("buildings|PM25|Asthma symptoms cough", US_national_yearly!$D:$AM, 24, FALSE) / VLOOKUP("buildings|PM25|Asthma symptoms cough", US_national_yearly!$D:$AM, 10, FALSE), 1)</f>
        <v>2.9695968116279989E-2</v>
      </c>
      <c r="Q6" s="7">
        <f>$B6 * IFERROR(VLOOKUP("buildings|PM25|Asthma symptoms cough", US_national_yearly!$D:$AM, 25, FALSE) / VLOOKUP("buildings|PM25|Asthma symptoms cough", US_national_yearly!$D:$AM, 10, FALSE), 1)</f>
        <v>2.9695968116279989E-2</v>
      </c>
      <c r="R6" s="7">
        <f>$B6 * IFERROR(VLOOKUP("buildings|PM25|Asthma symptoms cough", US_national_yearly!$D:$AM, 26, FALSE) / VLOOKUP("buildings|PM25|Asthma symptoms cough", US_national_yearly!$D:$AM, 10, FALSE), 1)</f>
        <v>2.9695968116279989E-2</v>
      </c>
      <c r="S6" s="7">
        <f>$B6 * IFERROR(VLOOKUP("buildings|PM25|Asthma symptoms cough", US_national_yearly!$D:$AM, 27, FALSE) / VLOOKUP("buildings|PM25|Asthma symptoms cough", US_national_yearly!$D:$AM, 10, FALSE), 1)</f>
        <v>2.9695968116279989E-2</v>
      </c>
      <c r="T6" s="7">
        <f>$B6 * IFERROR(VLOOKUP("buildings|PM25|Asthma symptoms cough", US_national_yearly!$D:$AM, 28, FALSE) / VLOOKUP("buildings|PM25|Asthma symptoms cough", US_national_yearly!$D:$AM, 10, FALSE), 1)</f>
        <v>2.9695968116279989E-2</v>
      </c>
      <c r="U6" s="7">
        <f>$B6 * IFERROR(VLOOKUP("buildings|PM25|Asthma symptoms cough", US_national_yearly!$D:$AM, 29, FALSE) / VLOOKUP("buildings|PM25|Asthma symptoms cough", US_national_yearly!$D:$AM, 10, FALSE), 1)</f>
        <v>2.9695968116279989E-2</v>
      </c>
      <c r="V6" s="7">
        <f>$B6 * IFERROR(VLOOKUP("buildings|PM25|Asthma symptoms cough", US_national_yearly!$D:$AM, 30, FALSE) / VLOOKUP("buildings|PM25|Asthma symptoms cough", US_national_yearly!$D:$AM, 10, FALSE), 1)</f>
        <v>2.9695968116279989E-2</v>
      </c>
      <c r="W6" s="7">
        <f>$B6 * IFERROR(VLOOKUP("buildings|PM25|Asthma symptoms cough", US_national_yearly!$D:$AM, 31, FALSE) / VLOOKUP("buildings|PM25|Asthma symptoms cough", US_national_yearly!$D:$AM, 10, FALSE), 1)</f>
        <v>2.9695968116279989E-2</v>
      </c>
      <c r="X6" s="7">
        <f>$B6 * IFERROR(VLOOKUP("buildings|PM25|Asthma symptoms cough", US_national_yearly!$D:$AM, 32, FALSE) / VLOOKUP("buildings|PM25|Asthma symptoms cough", US_national_yearly!$D:$AM, 10, FALSE), 1)</f>
        <v>2.9695968116279989E-2</v>
      </c>
      <c r="Y6" s="7">
        <f>$B6 * IFERROR(VLOOKUP("buildings|PM25|Asthma symptoms cough", US_national_yearly!$D:$AM, 33, FALSE) / VLOOKUP("buildings|PM25|Asthma symptoms cough", US_national_yearly!$D:$AM, 10, FALSE), 1)</f>
        <v>2.9695968116279989E-2</v>
      </c>
      <c r="Z6" s="7">
        <f>$B6 * IFERROR(VLOOKUP("buildings|PM25|Asthma symptoms cough", US_national_yearly!$D:$AM, 34, FALSE) / VLOOKUP("buildings|PM25|Asthma symptoms cough", US_national_yearly!$D:$AM, 10, FALSE), 1)</f>
        <v>2.9695968116279989E-2</v>
      </c>
      <c r="AA6" s="7">
        <f>$B6 * IFERROR(VLOOKUP("buildings|PM25|Asthma symptoms cough", US_national_yearly!$D:$AM, 35, FALSE) / VLOOKUP("buildings|PM25|Asthma symptoms cough", US_national_yearly!$D:$AM, 10, FALSE), 1)</f>
        <v>2.9695968116279989E-2</v>
      </c>
      <c r="AB6" s="7">
        <f>$B6 * IFERROR(VLOOKUP("buildings|PM25|Asthma symptoms cough", US_national_yearly!$D:$AM, 36, FALSE) / VLOOKUP("buildings|PM25|Asthma symptoms cough", US_national_yearly!$D:$AM, 10, FALSE), 1)</f>
        <v>2.9695968116279989E-2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3.9989966824055929E-2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3.9989966824055929E-2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3.9989966824055929E-2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3.9989966824055929E-2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3.9989966824055929E-2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3.9989966824055929E-2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3.9989966824055929E-2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3.9989966824055929E-2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3.9989966824055929E-2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3.9989966824055929E-2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3.9989966824055929E-2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3.9989966824055929E-2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3.9989966824055929E-2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3.9989966824055929E-2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3.9989966824055929E-2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3.9989966824055929E-2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3.9989966824055929E-2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3.9989966824055929E-2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3.9989966824055929E-2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3.9989966824055929E-2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3.9989966824055929E-2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3.9989966824055929E-2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3.9989966824055929E-2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3.9989966824055929E-2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3.9989966824055929E-2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3.9989966824055929E-2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3.9989966824055929E-2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6.1097760995386947E-2</v>
      </c>
      <c r="C8" s="7">
        <f>$B8 * IFERROR(VLOOKUP("buildings|PM25|Asthma symptoms wheeze", US_national_yearly!$D:$AM, 11, FALSE) / VLOOKUP("buildings|PM25|Asthma symptoms wheeze", US_national_yearly!$D:$AM, 10, FALSE), 1)</f>
        <v>6.1097760995386947E-2</v>
      </c>
      <c r="D8" s="7">
        <f>$B8 * IFERROR(VLOOKUP("buildings|PM25|Asthma symptoms wheeze", US_national_yearly!$D:$AM, 12, FALSE) / VLOOKUP("buildings|PM25|Asthma symptoms wheeze", US_national_yearly!$D:$AM, 10, FALSE), 1)</f>
        <v>6.1097760995386947E-2</v>
      </c>
      <c r="E8" s="7">
        <f>$B8 * IFERROR(VLOOKUP("buildings|PM25|Asthma symptoms wheeze", US_national_yearly!$D:$AM, 13, FALSE) / VLOOKUP("buildings|PM25|Asthma symptoms wheeze", US_national_yearly!$D:$AM, 10, FALSE), 1)</f>
        <v>6.1097760995386947E-2</v>
      </c>
      <c r="F8" s="7">
        <f>$B8 * IFERROR(VLOOKUP("buildings|PM25|Asthma symptoms wheeze", US_national_yearly!$D:$AM, 14, FALSE) / VLOOKUP("buildings|PM25|Asthma symptoms wheeze", US_national_yearly!$D:$AM, 10, FALSE), 1)</f>
        <v>6.1097760995386947E-2</v>
      </c>
      <c r="G8" s="7">
        <f>$B8 * IFERROR(VLOOKUP("buildings|PM25|Asthma symptoms wheeze", US_national_yearly!$D:$AM, 15, FALSE) / VLOOKUP("buildings|PM25|Asthma symptoms wheeze", US_national_yearly!$D:$AM, 10, FALSE), 1)</f>
        <v>6.1097760995386947E-2</v>
      </c>
      <c r="H8" s="7">
        <f>$B8 * IFERROR(VLOOKUP("buildings|PM25|Asthma symptoms wheeze", US_national_yearly!$D:$AM, 16, FALSE) / VLOOKUP("buildings|PM25|Asthma symptoms wheeze", US_national_yearly!$D:$AM, 10, FALSE), 1)</f>
        <v>6.1097760995386947E-2</v>
      </c>
      <c r="I8" s="7">
        <f>$B8 * IFERROR(VLOOKUP("buildings|PM25|Asthma symptoms wheeze", US_national_yearly!$D:$AM, 17, FALSE) / VLOOKUP("buildings|PM25|Asthma symptoms wheeze", US_national_yearly!$D:$AM, 10, FALSE), 1)</f>
        <v>6.1097760995386947E-2</v>
      </c>
      <c r="J8" s="7">
        <f>$B8 * IFERROR(VLOOKUP("buildings|PM25|Asthma symptoms wheeze", US_national_yearly!$D:$AM, 18, FALSE) / VLOOKUP("buildings|PM25|Asthma symptoms wheeze", US_national_yearly!$D:$AM, 10, FALSE), 1)</f>
        <v>6.1097760995386947E-2</v>
      </c>
      <c r="K8" s="7">
        <f>$B8 * IFERROR(VLOOKUP("buildings|PM25|Asthma symptoms wheeze", US_national_yearly!$D:$AM, 19, FALSE) / VLOOKUP("buildings|PM25|Asthma symptoms wheeze", US_national_yearly!$D:$AM, 10, FALSE), 1)</f>
        <v>6.1097760995386947E-2</v>
      </c>
      <c r="L8" s="7">
        <f>$B8 * IFERROR(VLOOKUP("buildings|PM25|Asthma symptoms wheeze", US_national_yearly!$D:$AM, 20, FALSE) / VLOOKUP("buildings|PM25|Asthma symptoms wheeze", US_national_yearly!$D:$AM, 10, FALSE), 1)</f>
        <v>6.1097760995386947E-2</v>
      </c>
      <c r="M8" s="7">
        <f>$B8 * IFERROR(VLOOKUP("buildings|PM25|Asthma symptoms wheeze", US_national_yearly!$D:$AM, 21, FALSE) / VLOOKUP("buildings|PM25|Asthma symptoms wheeze", US_national_yearly!$D:$AM, 10, FALSE), 1)</f>
        <v>6.1097760995386947E-2</v>
      </c>
      <c r="N8" s="7">
        <f>$B8 * IFERROR(VLOOKUP("buildings|PM25|Asthma symptoms wheeze", US_national_yearly!$D:$AM, 22, FALSE) / VLOOKUP("buildings|PM25|Asthma symptoms wheeze", US_national_yearly!$D:$AM, 10, FALSE), 1)</f>
        <v>6.1097760995386947E-2</v>
      </c>
      <c r="O8" s="7">
        <f>$B8 * IFERROR(VLOOKUP("buildings|PM25|Asthma symptoms wheeze", US_national_yearly!$D:$AM, 23, FALSE) / VLOOKUP("buildings|PM25|Asthma symptoms wheeze", US_national_yearly!$D:$AM, 10, FALSE), 1)</f>
        <v>6.1097760995386947E-2</v>
      </c>
      <c r="P8" s="7">
        <f>$B8 * IFERROR(VLOOKUP("buildings|PM25|Asthma symptoms wheeze", US_national_yearly!$D:$AM, 24, FALSE) / VLOOKUP("buildings|PM25|Asthma symptoms wheeze", US_national_yearly!$D:$AM, 10, FALSE), 1)</f>
        <v>6.1097760995386947E-2</v>
      </c>
      <c r="Q8" s="7">
        <f>$B8 * IFERROR(VLOOKUP("buildings|PM25|Asthma symptoms wheeze", US_national_yearly!$D:$AM, 25, FALSE) / VLOOKUP("buildings|PM25|Asthma symptoms wheeze", US_national_yearly!$D:$AM, 10, FALSE), 1)</f>
        <v>6.1097760995386947E-2</v>
      </c>
      <c r="R8" s="7">
        <f>$B8 * IFERROR(VLOOKUP("buildings|PM25|Asthma symptoms wheeze", US_national_yearly!$D:$AM, 26, FALSE) / VLOOKUP("buildings|PM25|Asthma symptoms wheeze", US_national_yearly!$D:$AM, 10, FALSE), 1)</f>
        <v>6.1097760995386947E-2</v>
      </c>
      <c r="S8" s="7">
        <f>$B8 * IFERROR(VLOOKUP("buildings|PM25|Asthma symptoms wheeze", US_national_yearly!$D:$AM, 27, FALSE) / VLOOKUP("buildings|PM25|Asthma symptoms wheeze", US_national_yearly!$D:$AM, 10, FALSE), 1)</f>
        <v>6.1097760995386947E-2</v>
      </c>
      <c r="T8" s="7">
        <f>$B8 * IFERROR(VLOOKUP("buildings|PM25|Asthma symptoms wheeze", US_national_yearly!$D:$AM, 28, FALSE) / VLOOKUP("buildings|PM25|Asthma symptoms wheeze", US_national_yearly!$D:$AM, 10, FALSE), 1)</f>
        <v>6.1097760995386947E-2</v>
      </c>
      <c r="U8" s="7">
        <f>$B8 * IFERROR(VLOOKUP("buildings|PM25|Asthma symptoms wheeze", US_national_yearly!$D:$AM, 29, FALSE) / VLOOKUP("buildings|PM25|Asthma symptoms wheeze", US_national_yearly!$D:$AM, 10, FALSE), 1)</f>
        <v>6.1097760995386947E-2</v>
      </c>
      <c r="V8" s="7">
        <f>$B8 * IFERROR(VLOOKUP("buildings|PM25|Asthma symptoms wheeze", US_national_yearly!$D:$AM, 30, FALSE) / VLOOKUP("buildings|PM25|Asthma symptoms wheeze", US_national_yearly!$D:$AM, 10, FALSE), 1)</f>
        <v>6.1097760995386947E-2</v>
      </c>
      <c r="W8" s="7">
        <f>$B8 * IFERROR(VLOOKUP("buildings|PM25|Asthma symptoms wheeze", US_national_yearly!$D:$AM, 31, FALSE) / VLOOKUP("buildings|PM25|Asthma symptoms wheeze", US_national_yearly!$D:$AM, 10, FALSE), 1)</f>
        <v>6.1097760995386947E-2</v>
      </c>
      <c r="X8" s="7">
        <f>$B8 * IFERROR(VLOOKUP("buildings|PM25|Asthma symptoms wheeze", US_national_yearly!$D:$AM, 32, FALSE) / VLOOKUP("buildings|PM25|Asthma symptoms wheeze", US_national_yearly!$D:$AM, 10, FALSE), 1)</f>
        <v>6.1097760995386947E-2</v>
      </c>
      <c r="Y8" s="7">
        <f>$B8 * IFERROR(VLOOKUP("buildings|PM25|Asthma symptoms wheeze", US_national_yearly!$D:$AM, 33, FALSE) / VLOOKUP("buildings|PM25|Asthma symptoms wheeze", US_national_yearly!$D:$AM, 10, FALSE), 1)</f>
        <v>6.1097760995386947E-2</v>
      </c>
      <c r="Z8" s="7">
        <f>$B8 * IFERROR(VLOOKUP("buildings|PM25|Asthma symptoms wheeze", US_national_yearly!$D:$AM, 34, FALSE) / VLOOKUP("buildings|PM25|Asthma symptoms wheeze", US_national_yearly!$D:$AM, 10, FALSE), 1)</f>
        <v>6.1097760995386947E-2</v>
      </c>
      <c r="AA8" s="7">
        <f>$B8 * IFERROR(VLOOKUP("buildings|PM25|Asthma symptoms wheeze", US_national_yearly!$D:$AM, 35, FALSE) / VLOOKUP("buildings|PM25|Asthma symptoms wheeze", US_national_yearly!$D:$AM, 10, FALSE), 1)</f>
        <v>6.1097760995386947E-2</v>
      </c>
      <c r="AB8" s="7">
        <f>$B8 * IFERROR(VLOOKUP("buildings|PM25|Asthma symptoms wheeze", US_national_yearly!$D:$AM, 36, FALSE) / VLOOKUP("buildings|PM25|Asthma symptoms wheeze", US_national_yearly!$D:$AM, 10, FALSE), 1)</f>
        <v>6.1097760995386947E-2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7.5841362219578989E-4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7.6278524441351307E-4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7.6715686663123635E-4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7.7152848884895963E-4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7.7590011106668303E-4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7.8061749646310722E-4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7.8533488185953142E-4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7.8982154195656612E-4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7.943082020536006E-4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7.9879486215063519E-4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8.032815222476699E-4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8.0776818234470449E-4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8.1099530636890237E-4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8.1422243039310025E-4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8.1744955441729814E-4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8.2067667844149591E-4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8.2390380246569379E-4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8.269785188133803E-4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8.3005323516106724E-4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8.3312795150875375E-4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8.3620266785644037E-4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8.3927738420412721E-4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8.4224707279822455E-4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8.45216761392322E-4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8.4818644998641934E-4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8.5115613858051679E-4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8.5412582717461403E-4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4.261770474616987E-3</v>
      </c>
      <c r="C13" s="7">
        <f>$B13 * IFERROR(VLOOKUP("buildings|PM25|Non-fatal heart attacks", US_national_yearly!$D:$AM, 11, FALSE) / VLOOKUP("buildings|PM25|Non-fatal heart attacks", US_national_yearly!$D:$AM, 10, FALSE), 1)</f>
        <v>4.3857300993959333E-3</v>
      </c>
      <c r="D13" s="7">
        <f>$B13 * IFERROR(VLOOKUP("buildings|PM25|Non-fatal heart attacks", US_national_yearly!$D:$AM, 12, FALSE) / VLOOKUP("buildings|PM25|Non-fatal heart attacks", US_national_yearly!$D:$AM, 10, FALSE), 1)</f>
        <v>4.5096897241748797E-3</v>
      </c>
      <c r="E13" s="7">
        <f>$B13 * IFERROR(VLOOKUP("buildings|PM25|Non-fatal heart attacks", US_national_yearly!$D:$AM, 13, FALSE) / VLOOKUP("buildings|PM25|Non-fatal heart attacks", US_national_yearly!$D:$AM, 10, FALSE), 1)</f>
        <v>4.6336493489538251E-3</v>
      </c>
      <c r="F13" s="7">
        <f>$B13 * IFERROR(VLOOKUP("buildings|PM25|Non-fatal heart attacks", US_national_yearly!$D:$AM, 14, FALSE) / VLOOKUP("buildings|PM25|Non-fatal heart attacks", US_national_yearly!$D:$AM, 10, FALSE), 1)</f>
        <v>4.7576089737327723E-3</v>
      </c>
      <c r="G13" s="7">
        <f>$B13 * IFERROR(VLOOKUP("buildings|PM25|Non-fatal heart attacks", US_national_yearly!$D:$AM, 15, FALSE) / VLOOKUP("buildings|PM25|Non-fatal heart attacks", US_national_yearly!$D:$AM, 10, FALSE), 1)</f>
        <v>4.8745719596865042E-3</v>
      </c>
      <c r="H13" s="7">
        <f>$B13 * IFERROR(VLOOKUP("buildings|PM25|Non-fatal heart attacks", US_national_yearly!$D:$AM, 16, FALSE) / VLOOKUP("buildings|PM25|Non-fatal heart attacks", US_national_yearly!$D:$AM, 10, FALSE), 1)</f>
        <v>4.9915349456402351E-3</v>
      </c>
      <c r="I13" s="7">
        <f>$B13 * IFERROR(VLOOKUP("buildings|PM25|Non-fatal heart attacks", US_national_yearly!$D:$AM, 17, FALSE) / VLOOKUP("buildings|PM25|Non-fatal heart attacks", US_national_yearly!$D:$AM, 10, FALSE), 1)</f>
        <v>5.0856407522196388E-3</v>
      </c>
      <c r="J13" s="7">
        <f>$B13 * IFERROR(VLOOKUP("buildings|PM25|Non-fatal heart attacks", US_national_yearly!$D:$AM, 18, FALSE) / VLOOKUP("buildings|PM25|Non-fatal heart attacks", US_national_yearly!$D:$AM, 10, FALSE), 1)</f>
        <v>5.1797465587990425E-3</v>
      </c>
      <c r="K13" s="7">
        <f>$B13 * IFERROR(VLOOKUP("buildings|PM25|Non-fatal heart attacks", US_national_yearly!$D:$AM, 19, FALSE) / VLOOKUP("buildings|PM25|Non-fatal heart attacks", US_national_yearly!$D:$AM, 10, FALSE), 1)</f>
        <v>5.2738523653784453E-3</v>
      </c>
      <c r="L13" s="7">
        <f>$B13 * IFERROR(VLOOKUP("buildings|PM25|Non-fatal heart attacks", US_national_yearly!$D:$AM, 20, FALSE) / VLOOKUP("buildings|PM25|Non-fatal heart attacks", US_national_yearly!$D:$AM, 10, FALSE), 1)</f>
        <v>5.3679581719578481E-3</v>
      </c>
      <c r="M13" s="7">
        <f>$B13 * IFERROR(VLOOKUP("buildings|PM25|Non-fatal heart attacks", US_national_yearly!$D:$AM, 21, FALSE) / VLOOKUP("buildings|PM25|Non-fatal heart attacks", US_national_yearly!$D:$AM, 10, FALSE), 1)</f>
        <v>5.4620639785372509E-3</v>
      </c>
      <c r="N13" s="7">
        <f>$B13 * IFERROR(VLOOKUP("buildings|PM25|Non-fatal heart attacks", US_national_yearly!$D:$AM, 22, FALSE) / VLOOKUP("buildings|PM25|Non-fatal heart attacks", US_national_yearly!$D:$AM, 10, FALSE), 1)</f>
        <v>5.522857799828809E-3</v>
      </c>
      <c r="O13" s="7">
        <f>$B13 * IFERROR(VLOOKUP("buildings|PM25|Non-fatal heart attacks", US_national_yearly!$D:$AM, 23, FALSE) / VLOOKUP("buildings|PM25|Non-fatal heart attacks", US_national_yearly!$D:$AM, 10, FALSE), 1)</f>
        <v>5.5836516211203654E-3</v>
      </c>
      <c r="P13" s="7">
        <f>$B13 * IFERROR(VLOOKUP("buildings|PM25|Non-fatal heart attacks", US_national_yearly!$D:$AM, 24, FALSE) / VLOOKUP("buildings|PM25|Non-fatal heart attacks", US_national_yearly!$D:$AM, 10, FALSE), 1)</f>
        <v>5.6444454424119219E-3</v>
      </c>
      <c r="Q13" s="7">
        <f>$B13 * IFERROR(VLOOKUP("buildings|PM25|Non-fatal heart attacks", US_national_yearly!$D:$AM, 25, FALSE) / VLOOKUP("buildings|PM25|Non-fatal heart attacks", US_national_yearly!$D:$AM, 10, FALSE), 1)</f>
        <v>5.7052392637034792E-3</v>
      </c>
      <c r="R13" s="7">
        <f>$B13 * IFERROR(VLOOKUP("buildings|PM25|Non-fatal heart attacks", US_national_yearly!$D:$AM, 26, FALSE) / VLOOKUP("buildings|PM25|Non-fatal heart attacks", US_national_yearly!$D:$AM, 10, FALSE), 1)</f>
        <v>5.7660330849950356E-3</v>
      </c>
      <c r="S13" s="7">
        <f>$B13 * IFERROR(VLOOKUP("buildings|PM25|Non-fatal heart attacks", US_national_yearly!$D:$AM, 27, FALSE) / VLOOKUP("buildings|PM25|Non-fatal heart attacks", US_national_yearly!$D:$AM, 10, FALSE), 1)</f>
        <v>5.7981875171640345E-3</v>
      </c>
      <c r="T13" s="7">
        <f>$B13 * IFERROR(VLOOKUP("buildings|PM25|Non-fatal heart attacks", US_national_yearly!$D:$AM, 28, FALSE) / VLOOKUP("buildings|PM25|Non-fatal heart attacks", US_national_yearly!$D:$AM, 10, FALSE), 1)</f>
        <v>5.8303419493330342E-3</v>
      </c>
      <c r="U13" s="7">
        <f>$B13 * IFERROR(VLOOKUP("buildings|PM25|Non-fatal heart attacks", US_national_yearly!$D:$AM, 29, FALSE) / VLOOKUP("buildings|PM25|Non-fatal heart attacks", US_national_yearly!$D:$AM, 10, FALSE), 1)</f>
        <v>5.862496381502034E-3</v>
      </c>
      <c r="V13" s="7">
        <f>$B13 * IFERROR(VLOOKUP("buildings|PM25|Non-fatal heart attacks", US_national_yearly!$D:$AM, 30, FALSE) / VLOOKUP("buildings|PM25|Non-fatal heart attacks", US_national_yearly!$D:$AM, 10, FALSE), 1)</f>
        <v>5.8946508136710329E-3</v>
      </c>
      <c r="W13" s="7">
        <f>$B13 * IFERROR(VLOOKUP("buildings|PM25|Non-fatal heart attacks", US_national_yearly!$D:$AM, 31, FALSE) / VLOOKUP("buildings|PM25|Non-fatal heart attacks", US_national_yearly!$D:$AM, 10, FALSE), 1)</f>
        <v>5.9268052458400326E-3</v>
      </c>
      <c r="X13" s="7">
        <f>$B13 * IFERROR(VLOOKUP("buildings|PM25|Non-fatal heart attacks", US_national_yearly!$D:$AM, 32, FALSE) / VLOOKUP("buildings|PM25|Non-fatal heart attacks", US_national_yearly!$D:$AM, 10, FALSE), 1)</f>
        <v>5.9512771172264356E-3</v>
      </c>
      <c r="Y13" s="7">
        <f>$B13 * IFERROR(VLOOKUP("buildings|PM25|Non-fatal heart attacks", US_national_yearly!$D:$AM, 33, FALSE) / VLOOKUP("buildings|PM25|Non-fatal heart attacks", US_national_yearly!$D:$AM, 10, FALSE), 1)</f>
        <v>5.9757489886128395E-3</v>
      </c>
      <c r="Z13" s="7">
        <f>$B13 * IFERROR(VLOOKUP("buildings|PM25|Non-fatal heart attacks", US_national_yearly!$D:$AM, 34, FALSE) / VLOOKUP("buildings|PM25|Non-fatal heart attacks", US_national_yearly!$D:$AM, 10, FALSE), 1)</f>
        <v>6.0002208599992416E-3</v>
      </c>
      <c r="AA13" s="7">
        <f>$B13 * IFERROR(VLOOKUP("buildings|PM25|Non-fatal heart attacks", US_national_yearly!$D:$AM, 35, FALSE) / VLOOKUP("buildings|PM25|Non-fatal heart attacks", US_national_yearly!$D:$AM, 10, FALSE), 1)</f>
        <v>6.0246927313856447E-3</v>
      </c>
      <c r="AB13" s="7">
        <f>$B13 * IFERROR(VLOOKUP("buildings|PM25|Non-fatal heart attacks", US_national_yearly!$D:$AM, 36, FALSE) / VLOOKUP("buildings|PM25|Non-fatal heart attacks", US_national_yearly!$D:$AM, 10, FALSE), 1)</f>
        <v>6.0491646027720494E-3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3.2675882395078375</v>
      </c>
      <c r="C14" s="7">
        <f>$B14 * IFERROR(VLOOKUP("buildings|PM25|Minor restricted activity days", US_national_yearly!$D:$AM, 11, FALSE) / VLOOKUP("buildings|PM25|Minor restricted activity days", US_national_yearly!$D:$AM, 10, FALSE), 1)</f>
        <v>3.2757149146485167</v>
      </c>
      <c r="D14" s="7">
        <f>$B14 * IFERROR(VLOOKUP("buildings|PM25|Minor restricted activity days", US_national_yearly!$D:$AM, 12, FALSE) / VLOOKUP("buildings|PM25|Minor restricted activity days", US_national_yearly!$D:$AM, 10, FALSE), 1)</f>
        <v>3.2838415897891955</v>
      </c>
      <c r="E14" s="7">
        <f>$B14 * IFERROR(VLOOKUP("buildings|PM25|Minor restricted activity days", US_national_yearly!$D:$AM, 13, FALSE) / VLOOKUP("buildings|PM25|Minor restricted activity days", US_national_yearly!$D:$AM, 10, FALSE), 1)</f>
        <v>3.2919682649298747</v>
      </c>
      <c r="F14" s="7">
        <f>$B14 * IFERROR(VLOOKUP("buildings|PM25|Minor restricted activity days", US_national_yearly!$D:$AM, 14, FALSE) / VLOOKUP("buildings|PM25|Minor restricted activity days", US_national_yearly!$D:$AM, 10, FALSE), 1)</f>
        <v>3.300094940070553</v>
      </c>
      <c r="G14" s="7">
        <f>$B14 * IFERROR(VLOOKUP("buildings|PM25|Minor restricted activity days", US_national_yearly!$D:$AM, 15, FALSE) / VLOOKUP("buildings|PM25|Minor restricted activity days", US_national_yearly!$D:$AM, 10, FALSE), 1)</f>
        <v>3.312014305066918</v>
      </c>
      <c r="H14" s="7">
        <f>$B14 * IFERROR(VLOOKUP("buildings|PM25|Minor restricted activity days", US_national_yearly!$D:$AM, 16, FALSE) / VLOOKUP("buildings|PM25|Minor restricted activity days", US_national_yearly!$D:$AM, 10, FALSE), 1)</f>
        <v>3.3239336700632816</v>
      </c>
      <c r="I14" s="7">
        <f>$B14 * IFERROR(VLOOKUP("buildings|PM25|Minor restricted activity days", US_national_yearly!$D:$AM, 17, FALSE) / VLOOKUP("buildings|PM25|Minor restricted activity days", US_national_yearly!$D:$AM, 10, FALSE), 1)</f>
        <v>3.3442019411739641</v>
      </c>
      <c r="J14" s="7">
        <f>$B14 * IFERROR(VLOOKUP("buildings|PM25|Minor restricted activity days", US_national_yearly!$D:$AM, 18, FALSE) / VLOOKUP("buildings|PM25|Minor restricted activity days", US_national_yearly!$D:$AM, 10, FALSE), 1)</f>
        <v>3.3644702122846479</v>
      </c>
      <c r="K14" s="7">
        <f>$B14 * IFERROR(VLOOKUP("buildings|PM25|Minor restricted activity days", US_national_yearly!$D:$AM, 19, FALSE) / VLOOKUP("buildings|PM25|Minor restricted activity days", US_national_yearly!$D:$AM, 10, FALSE), 1)</f>
        <v>3.3847384833953287</v>
      </c>
      <c r="L14" s="7">
        <f>$B14 * IFERROR(VLOOKUP("buildings|PM25|Minor restricted activity days", US_national_yearly!$D:$AM, 20, FALSE) / VLOOKUP("buildings|PM25|Minor restricted activity days", US_national_yearly!$D:$AM, 10, FALSE), 1)</f>
        <v>3.4050067545060103</v>
      </c>
      <c r="M14" s="7">
        <f>$B14 * IFERROR(VLOOKUP("buildings|PM25|Minor restricted activity days", US_national_yearly!$D:$AM, 21, FALSE) / VLOOKUP("buildings|PM25|Minor restricted activity days", US_national_yearly!$D:$AM, 10, FALSE), 1)</f>
        <v>3.4252750256166919</v>
      </c>
      <c r="N14" s="7">
        <f>$B14 * IFERROR(VLOOKUP("buildings|PM25|Minor restricted activity days", US_national_yearly!$D:$AM, 22, FALSE) / VLOOKUP("buildings|PM25|Minor restricted activity days", US_national_yearly!$D:$AM, 10, FALSE), 1)</f>
        <v>3.452814716058128</v>
      </c>
      <c r="O14" s="7">
        <f>$B14 * IFERROR(VLOOKUP("buildings|PM25|Minor restricted activity days", US_national_yearly!$D:$AM, 23, FALSE) / VLOOKUP("buildings|PM25|Minor restricted activity days", US_national_yearly!$D:$AM, 10, FALSE), 1)</f>
        <v>3.4803544064995635</v>
      </c>
      <c r="P14" s="7">
        <f>$B14 * IFERROR(VLOOKUP("buildings|PM25|Minor restricted activity days", US_national_yearly!$D:$AM, 24, FALSE) / VLOOKUP("buildings|PM25|Minor restricted activity days", US_national_yearly!$D:$AM, 10, FALSE), 1)</f>
        <v>3.5078940969409986</v>
      </c>
      <c r="Q14" s="7">
        <f>$B14 * IFERROR(VLOOKUP("buildings|PM25|Minor restricted activity days", US_national_yearly!$D:$AM, 25, FALSE) / VLOOKUP("buildings|PM25|Minor restricted activity days", US_national_yearly!$D:$AM, 10, FALSE), 1)</f>
        <v>3.5354337873824342</v>
      </c>
      <c r="R14" s="7">
        <f>$B14 * IFERROR(VLOOKUP("buildings|PM25|Minor restricted activity days", US_national_yearly!$D:$AM, 26, FALSE) / VLOOKUP("buildings|PM25|Minor restricted activity days", US_national_yearly!$D:$AM, 10, FALSE), 1)</f>
        <v>3.5629734778238693</v>
      </c>
      <c r="S14" s="7">
        <f>$B14 * IFERROR(VLOOKUP("buildings|PM25|Minor restricted activity days", US_national_yearly!$D:$AM, 27, FALSE) / VLOOKUP("buildings|PM25|Minor restricted activity days", US_national_yearly!$D:$AM, 10, FALSE), 1)</f>
        <v>3.5906838332167355</v>
      </c>
      <c r="T14" s="7">
        <f>$B14 * IFERROR(VLOOKUP("buildings|PM25|Minor restricted activity days", US_national_yearly!$D:$AM, 28, FALSE) / VLOOKUP("buildings|PM25|Minor restricted activity days", US_national_yearly!$D:$AM, 10, FALSE), 1)</f>
        <v>3.6183941886096007</v>
      </c>
      <c r="U14" s="7">
        <f>$B14 * IFERROR(VLOOKUP("buildings|PM25|Minor restricted activity days", US_national_yearly!$D:$AM, 29, FALSE) / VLOOKUP("buildings|PM25|Minor restricted activity days", US_national_yearly!$D:$AM, 10, FALSE), 1)</f>
        <v>3.6461045440024669</v>
      </c>
      <c r="V14" s="7">
        <f>$B14 * IFERROR(VLOOKUP("buildings|PM25|Minor restricted activity days", US_national_yearly!$D:$AM, 30, FALSE) / VLOOKUP("buildings|PM25|Minor restricted activity days", US_national_yearly!$D:$AM, 10, FALSE), 1)</f>
        <v>3.6738148993953321</v>
      </c>
      <c r="W14" s="7">
        <f>$B14 * IFERROR(VLOOKUP("buildings|PM25|Minor restricted activity days", US_national_yearly!$D:$AM, 31, FALSE) / VLOOKUP("buildings|PM25|Minor restricted activity days", US_national_yearly!$D:$AM, 10, FALSE), 1)</f>
        <v>3.7015252547881983</v>
      </c>
      <c r="X14" s="7">
        <f>$B14 * IFERROR(VLOOKUP("buildings|PM25|Minor restricted activity days", US_national_yearly!$D:$AM, 32, FALSE) / VLOOKUP("buildings|PM25|Minor restricted activity days", US_national_yearly!$D:$AM, 10, FALSE), 1)</f>
        <v>3.7255863112866643</v>
      </c>
      <c r="Y14" s="7">
        <f>$B14 * IFERROR(VLOOKUP("buildings|PM25|Minor restricted activity days", US_national_yearly!$D:$AM, 33, FALSE) / VLOOKUP("buildings|PM25|Minor restricted activity days", US_national_yearly!$D:$AM, 10, FALSE), 1)</f>
        <v>3.7496473677851299</v>
      </c>
      <c r="Z14" s="7">
        <f>$B14 * IFERROR(VLOOKUP("buildings|PM25|Minor restricted activity days", US_national_yearly!$D:$AM, 34, FALSE) / VLOOKUP("buildings|PM25|Minor restricted activity days", US_national_yearly!$D:$AM, 10, FALSE), 1)</f>
        <v>3.773708424283595</v>
      </c>
      <c r="AA14" s="7">
        <f>$B14 * IFERROR(VLOOKUP("buildings|PM25|Minor restricted activity days", US_national_yearly!$D:$AM, 35, FALSE) / VLOOKUP("buildings|PM25|Minor restricted activity days", US_national_yearly!$D:$AM, 10, FALSE), 1)</f>
        <v>3.7977694807820606</v>
      </c>
      <c r="AB14" s="7">
        <f>$B14 * IFERROR(VLOOKUP("buildings|PM25|Minor restricted activity days", US_national_yearly!$D:$AM, 36, FALSE) / VLOOKUP("buildings|PM25|Minor restricted activity days", US_national_yearly!$D:$AM, 10, FALSE), 1)</f>
        <v>3.8218305372805261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0.55608809128717018</v>
      </c>
      <c r="C15" s="7">
        <f>$B15 * IFERROR(VLOOKUP("buildings|PM25|Work loss days", US_national_yearly!$D:$AM, 11, FALSE) / VLOOKUP("buildings|PM25|Work loss days", US_national_yearly!$D:$AM, 10, FALSE), 1)</f>
        <v>0.55783321564365307</v>
      </c>
      <c r="D15" s="7">
        <f>$B15 * IFERROR(VLOOKUP("buildings|PM25|Work loss days", US_national_yearly!$D:$AM, 12, FALSE) / VLOOKUP("buildings|PM25|Work loss days", US_national_yearly!$D:$AM, 10, FALSE), 1)</f>
        <v>0.55957834000013595</v>
      </c>
      <c r="E15" s="7">
        <f>$B15 * IFERROR(VLOOKUP("buildings|PM25|Work loss days", US_national_yearly!$D:$AM, 13, FALSE) / VLOOKUP("buildings|PM25|Work loss days", US_national_yearly!$D:$AM, 10, FALSE), 1)</f>
        <v>0.56132346435661873</v>
      </c>
      <c r="F15" s="7">
        <f>$B15 * IFERROR(VLOOKUP("buildings|PM25|Work loss days", US_national_yearly!$D:$AM, 14, FALSE) / VLOOKUP("buildings|PM25|Work loss days", US_national_yearly!$D:$AM, 10, FALSE), 1)</f>
        <v>0.5630685887131015</v>
      </c>
      <c r="G15" s="7">
        <f>$B15 * IFERROR(VLOOKUP("buildings|PM25|Work loss days", US_national_yearly!$D:$AM, 15, FALSE) / VLOOKUP("buildings|PM25|Work loss days", US_national_yearly!$D:$AM, 10, FALSE), 1)</f>
        <v>0.56534962263483879</v>
      </c>
      <c r="H15" s="7">
        <f>$B15 * IFERROR(VLOOKUP("buildings|PM25|Work loss days", US_national_yearly!$D:$AM, 16, FALSE) / VLOOKUP("buildings|PM25|Work loss days", US_national_yearly!$D:$AM, 10, FALSE), 1)</f>
        <v>0.56763065655657607</v>
      </c>
      <c r="I15" s="7">
        <f>$B15 * IFERROR(VLOOKUP("buildings|PM25|Work loss days", US_national_yearly!$D:$AM, 17, FALSE) / VLOOKUP("buildings|PM25|Work loss days", US_national_yearly!$D:$AM, 10, FALSE), 1)</f>
        <v>0.57098073421853268</v>
      </c>
      <c r="J15" s="7">
        <f>$B15 * IFERROR(VLOOKUP("buildings|PM25|Work loss days", US_national_yearly!$D:$AM, 18, FALSE) / VLOOKUP("buildings|PM25|Work loss days", US_national_yearly!$D:$AM, 10, FALSE), 1)</f>
        <v>0.57433081188048929</v>
      </c>
      <c r="K15" s="7">
        <f>$B15 * IFERROR(VLOOKUP("buildings|PM25|Work loss days", US_national_yearly!$D:$AM, 19, FALSE) / VLOOKUP("buildings|PM25|Work loss days", US_national_yearly!$D:$AM, 10, FALSE), 1)</f>
        <v>0.5776808895424459</v>
      </c>
      <c r="L15" s="7">
        <f>$B15 * IFERROR(VLOOKUP("buildings|PM25|Work loss days", US_national_yearly!$D:$AM, 20, FALSE) / VLOOKUP("buildings|PM25|Work loss days", US_national_yearly!$D:$AM, 10, FALSE), 1)</f>
        <v>0.5810309672044025</v>
      </c>
      <c r="M15" s="7">
        <f>$B15 * IFERROR(VLOOKUP("buildings|PM25|Work loss days", US_national_yearly!$D:$AM, 21, FALSE) / VLOOKUP("buildings|PM25|Work loss days", US_national_yearly!$D:$AM, 10, FALSE), 1)</f>
        <v>0.58438104486635933</v>
      </c>
      <c r="N15" s="7">
        <f>$B15 * IFERROR(VLOOKUP("buildings|PM25|Work loss days", US_national_yearly!$D:$AM, 22, FALSE) / VLOOKUP("buildings|PM25|Work loss days", US_national_yearly!$D:$AM, 10, FALSE), 1)</f>
        <v>0.58859298169331276</v>
      </c>
      <c r="O15" s="7">
        <f>$B15 * IFERROR(VLOOKUP("buildings|PM25|Work loss days", US_national_yearly!$D:$AM, 23, FALSE) / VLOOKUP("buildings|PM25|Work loss days", US_national_yearly!$D:$AM, 10, FALSE), 1)</f>
        <v>0.59280491852026629</v>
      </c>
      <c r="P15" s="7">
        <f>$B15 * IFERROR(VLOOKUP("buildings|PM25|Work loss days", US_national_yearly!$D:$AM, 24, FALSE) / VLOOKUP("buildings|PM25|Work loss days", US_national_yearly!$D:$AM, 10, FALSE), 1)</f>
        <v>0.59701685534721971</v>
      </c>
      <c r="Q15" s="7">
        <f>$B15 * IFERROR(VLOOKUP("buildings|PM25|Work loss days", US_national_yearly!$D:$AM, 25, FALSE) / VLOOKUP("buildings|PM25|Work loss days", US_national_yearly!$D:$AM, 10, FALSE), 1)</f>
        <v>0.60122879217417313</v>
      </c>
      <c r="R15" s="7">
        <f>$B15 * IFERROR(VLOOKUP("buildings|PM25|Work loss days", US_national_yearly!$D:$AM, 26, FALSE) / VLOOKUP("buildings|PM25|Work loss days", US_national_yearly!$D:$AM, 10, FALSE), 1)</f>
        <v>0.60544072900112678</v>
      </c>
      <c r="S15" s="7">
        <f>$B15 * IFERROR(VLOOKUP("buildings|PM25|Work loss days", US_national_yearly!$D:$AM, 27, FALSE) / VLOOKUP("buildings|PM25|Work loss days", US_national_yearly!$D:$AM, 10, FALSE), 1)</f>
        <v>0.61009333670036925</v>
      </c>
      <c r="T15" s="7">
        <f>$B15 * IFERROR(VLOOKUP("buildings|PM25|Work loss days", US_national_yearly!$D:$AM, 28, FALSE) / VLOOKUP("buildings|PM25|Work loss days", US_national_yearly!$D:$AM, 10, FALSE), 1)</f>
        <v>0.61474594439961194</v>
      </c>
      <c r="U15" s="7">
        <f>$B15 * IFERROR(VLOOKUP("buildings|PM25|Work loss days", US_national_yearly!$D:$AM, 29, FALSE) / VLOOKUP("buildings|PM25|Work loss days", US_national_yearly!$D:$AM, 10, FALSE), 1)</f>
        <v>0.61939855209885453</v>
      </c>
      <c r="V15" s="7">
        <f>$B15 * IFERROR(VLOOKUP("buildings|PM25|Work loss days", US_national_yearly!$D:$AM, 30, FALSE) / VLOOKUP("buildings|PM25|Work loss days", US_national_yearly!$D:$AM, 10, FALSE), 1)</f>
        <v>0.624051159798097</v>
      </c>
      <c r="W15" s="7">
        <f>$B15 * IFERROR(VLOOKUP("buildings|PM25|Work loss days", US_national_yearly!$D:$AM, 31, FALSE) / VLOOKUP("buildings|PM25|Work loss days", US_national_yearly!$D:$AM, 10, FALSE), 1)</f>
        <v>0.62870376749733969</v>
      </c>
      <c r="X15" s="7">
        <f>$B15 * IFERROR(VLOOKUP("buildings|PM25|Work loss days", US_national_yearly!$D:$AM, 32, FALSE) / VLOOKUP("buildings|PM25|Work loss days", US_national_yearly!$D:$AM, 10, FALSE), 1)</f>
        <v>0.63283251339312019</v>
      </c>
      <c r="Y15" s="7">
        <f>$B15 * IFERROR(VLOOKUP("buildings|PM25|Work loss days", US_national_yearly!$D:$AM, 33, FALSE) / VLOOKUP("buildings|PM25|Work loss days", US_national_yearly!$D:$AM, 10, FALSE), 1)</f>
        <v>0.63696125928890091</v>
      </c>
      <c r="Z15" s="7">
        <f>$B15 * IFERROR(VLOOKUP("buildings|PM25|Work loss days", US_national_yearly!$D:$AM, 34, FALSE) / VLOOKUP("buildings|PM25|Work loss days", US_national_yearly!$D:$AM, 10, FALSE), 1)</f>
        <v>0.6410900051846814</v>
      </c>
      <c r="AA15" s="7">
        <f>$B15 * IFERROR(VLOOKUP("buildings|PM25|Work loss days", US_national_yearly!$D:$AM, 35, FALSE) / VLOOKUP("buildings|PM25|Work loss days", US_national_yearly!$D:$AM, 10, FALSE), 1)</f>
        <v>0.64521875108046201</v>
      </c>
      <c r="AB15" s="7">
        <f>$B15 * IFERROR(VLOOKUP("buildings|PM25|Work loss days", US_national_yearly!$D:$AM, 36, FALSE) / VLOOKUP("buildings|PM25|Work loss days", US_national_yearly!$D:$AM, 10, FALSE), 1)</f>
        <v>0.64934749697624261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1.0633309060512734E-3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1.0951099821710651E-3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1.1268890582908568E-3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1.1586681344106485E-3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1.1904472105304402E-3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1.2208963758920896E-3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1.2513455412537392E-3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1.2774128283734216E-3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1.3034801154931039E-3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1.3295474026127866E-3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1.3556146897324693E-3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1.381681976852152E-3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1.3990884286673739E-3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1.416494880482596E-3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1.433901332297818E-3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1.4513077841130401E-3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1.468714235928262E-3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1.4779634402644832E-3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1.4872126446007043E-3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1.4964618489369257E-3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1.5057110532731468E-3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1.5149602576093682E-3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1.5212141671988846E-3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1.5274680767884006E-3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1.5337219863779169E-3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1.5399758959674331E-3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1.5462298055569494E-3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7.4664881187201193E-4</v>
      </c>
      <c r="C2" s="7">
        <f>$B2 * IFERROR(VLOOKUP("buildings|NOx|Premature mortality", US_national_yearly!$D:$AM, 11, FALSE) / VLOOKUP("buildings|NOx|Premature mortality", US_national_yearly!$D:$AM, 10, FALSE), 1)</f>
        <v>7.5763103325831693E-4</v>
      </c>
      <c r="D2" s="7">
        <f>$B2 * IFERROR(VLOOKUP("buildings|NOx|Premature mortality", US_national_yearly!$D:$AM, 12, FALSE) / VLOOKUP("buildings|NOx|Premature mortality", US_national_yearly!$D:$AM, 10, FALSE), 1)</f>
        <v>7.6861325464462182E-4</v>
      </c>
      <c r="E2" s="7">
        <f>$B2 * IFERROR(VLOOKUP("buildings|NOx|Premature mortality", US_national_yearly!$D:$AM, 13, FALSE) / VLOOKUP("buildings|NOx|Premature mortality", US_national_yearly!$D:$AM, 10, FALSE), 1)</f>
        <v>7.7959547603092681E-4</v>
      </c>
      <c r="F2" s="7">
        <f>$B2 * IFERROR(VLOOKUP("buildings|NOx|Premature mortality", US_national_yearly!$D:$AM, 14, FALSE) / VLOOKUP("buildings|NOx|Premature mortality", US_national_yearly!$D:$AM, 10, FALSE), 1)</f>
        <v>7.905776974172317E-4</v>
      </c>
      <c r="G2" s="7">
        <f>$B2 * IFERROR(VLOOKUP("buildings|NOx|Premature mortality", US_national_yearly!$D:$AM, 15, FALSE) / VLOOKUP("buildings|NOx|Premature mortality", US_national_yearly!$D:$AM, 10, FALSE), 1)</f>
        <v>8.1029476443668033E-4</v>
      </c>
      <c r="H2" s="7">
        <f>$B2 * IFERROR(VLOOKUP("buildings|NOx|Premature mortality", US_national_yearly!$D:$AM, 16, FALSE) / VLOOKUP("buildings|NOx|Premature mortality", US_national_yearly!$D:$AM, 10, FALSE), 1)</f>
        <v>8.3001183145612906E-4</v>
      </c>
      <c r="I2" s="7">
        <f>$B2 * IFERROR(VLOOKUP("buildings|NOx|Premature mortality", US_national_yearly!$D:$AM, 17, FALSE) / VLOOKUP("buildings|NOx|Premature mortality", US_national_yearly!$D:$AM, 10, FALSE), 1)</f>
        <v>8.4275406228032177E-4</v>
      </c>
      <c r="J2" s="7">
        <f>$B2 * IFERROR(VLOOKUP("buildings|NOx|Premature mortality", US_national_yearly!$D:$AM, 18, FALSE) / VLOOKUP("buildings|NOx|Premature mortality", US_national_yearly!$D:$AM, 10, FALSE), 1)</f>
        <v>8.5549629310451426E-4</v>
      </c>
      <c r="K2" s="7">
        <f>$B2 * IFERROR(VLOOKUP("buildings|NOx|Premature mortality", US_national_yearly!$D:$AM, 19, FALSE) / VLOOKUP("buildings|NOx|Premature mortality", US_national_yearly!$D:$AM, 10, FALSE), 1)</f>
        <v>8.6823852392870697E-4</v>
      </c>
      <c r="L2" s="7">
        <f>$B2 * IFERROR(VLOOKUP("buildings|NOx|Premature mortality", US_national_yearly!$D:$AM, 20, FALSE) / VLOOKUP("buildings|NOx|Premature mortality", US_national_yearly!$D:$AM, 10, FALSE), 1)</f>
        <v>8.8098075475289968E-4</v>
      </c>
      <c r="M2" s="7">
        <f>$B2 * IFERROR(VLOOKUP("buildings|NOx|Premature mortality", US_national_yearly!$D:$AM, 21, FALSE) / VLOOKUP("buildings|NOx|Premature mortality", US_national_yearly!$D:$AM, 10, FALSE), 1)</f>
        <v>8.9372298557709228E-4</v>
      </c>
      <c r="N2" s="7">
        <f>$B2 * IFERROR(VLOOKUP("buildings|NOx|Premature mortality", US_national_yearly!$D:$AM, 22, FALSE) / VLOOKUP("buildings|NOx|Premature mortality", US_national_yearly!$D:$AM, 10, FALSE), 1)</f>
        <v>9.0316449220747999E-4</v>
      </c>
      <c r="O2" s="7">
        <f>$B2 * IFERROR(VLOOKUP("buildings|NOx|Premature mortality", US_national_yearly!$D:$AM, 23, FALSE) / VLOOKUP("buildings|NOx|Premature mortality", US_national_yearly!$D:$AM, 10, FALSE), 1)</f>
        <v>9.126059988378677E-4</v>
      </c>
      <c r="P2" s="7">
        <f>$B2 * IFERROR(VLOOKUP("buildings|NOx|Premature mortality", US_national_yearly!$D:$AM, 24, FALSE) / VLOOKUP("buildings|NOx|Premature mortality", US_national_yearly!$D:$AM, 10, FALSE), 1)</f>
        <v>9.2204750546825553E-4</v>
      </c>
      <c r="Q2" s="7">
        <f>$B2 * IFERROR(VLOOKUP("buildings|NOx|Premature mortality", US_national_yearly!$D:$AM, 25, FALSE) / VLOOKUP("buildings|NOx|Premature mortality", US_national_yearly!$D:$AM, 10, FALSE), 1)</f>
        <v>9.3148901209864313E-4</v>
      </c>
      <c r="R2" s="7">
        <f>$B2 * IFERROR(VLOOKUP("buildings|NOx|Premature mortality", US_national_yearly!$D:$AM, 26, FALSE) / VLOOKUP("buildings|NOx|Premature mortality", US_national_yearly!$D:$AM, 10, FALSE), 1)</f>
        <v>9.4093051872903095E-4</v>
      </c>
      <c r="S2" s="7">
        <f>$B2 * IFERROR(VLOOKUP("buildings|NOx|Premature mortality", US_national_yearly!$D:$AM, 27, FALSE) / VLOOKUP("buildings|NOx|Premature mortality", US_national_yearly!$D:$AM, 10, FALSE), 1)</f>
        <v>9.4522299988107248E-4</v>
      </c>
      <c r="T2" s="7">
        <f>$B2 * IFERROR(VLOOKUP("buildings|NOx|Premature mortality", US_national_yearly!$D:$AM, 28, FALSE) / VLOOKUP("buildings|NOx|Premature mortality", US_national_yearly!$D:$AM, 10, FALSE), 1)</f>
        <v>9.4951548103311379E-4</v>
      </c>
      <c r="U2" s="7">
        <f>$B2 * IFERROR(VLOOKUP("buildings|NOx|Premature mortality", US_national_yearly!$D:$AM, 29, FALSE) / VLOOKUP("buildings|NOx|Premature mortality", US_national_yearly!$D:$AM, 10, FALSE), 1)</f>
        <v>9.5380796218515532E-4</v>
      </c>
      <c r="V2" s="7">
        <f>$B2 * IFERROR(VLOOKUP("buildings|NOx|Premature mortality", US_national_yearly!$D:$AM, 30, FALSE) / VLOOKUP("buildings|NOx|Premature mortality", US_national_yearly!$D:$AM, 10, FALSE), 1)</f>
        <v>9.5810044333719685E-4</v>
      </c>
      <c r="W2" s="7">
        <f>$B2 * IFERROR(VLOOKUP("buildings|NOx|Premature mortality", US_national_yearly!$D:$AM, 31, FALSE) / VLOOKUP("buildings|NOx|Premature mortality", US_national_yearly!$D:$AM, 10, FALSE), 1)</f>
        <v>9.6239292448923816E-4</v>
      </c>
      <c r="X2" s="7">
        <f>$B2 * IFERROR(VLOOKUP("buildings|NOx|Premature mortality", US_national_yearly!$D:$AM, 32, FALSE) / VLOOKUP("buildings|NOx|Premature mortality", US_national_yearly!$D:$AM, 10, FALSE), 1)</f>
        <v>9.6254410217631718E-4</v>
      </c>
      <c r="Y2" s="7">
        <f>$B2 * IFERROR(VLOOKUP("buildings|NOx|Premature mortality", US_national_yearly!$D:$AM, 33, FALSE) / VLOOKUP("buildings|NOx|Premature mortality", US_national_yearly!$D:$AM, 10, FALSE), 1)</f>
        <v>9.626952798633963E-4</v>
      </c>
      <c r="Z2" s="7">
        <f>$B2 * IFERROR(VLOOKUP("buildings|NOx|Premature mortality", US_national_yearly!$D:$AM, 34, FALSE) / VLOOKUP("buildings|NOx|Premature mortality", US_national_yearly!$D:$AM, 10, FALSE), 1)</f>
        <v>9.6284645755047532E-4</v>
      </c>
      <c r="AA2" s="7">
        <f>$B2 * IFERROR(VLOOKUP("buildings|NOx|Premature mortality", US_national_yearly!$D:$AM, 35, FALSE) / VLOOKUP("buildings|NOx|Premature mortality", US_national_yearly!$D:$AM, 10, FALSE), 1)</f>
        <v>9.6299763523755434E-4</v>
      </c>
      <c r="AB2" s="7">
        <f>$B2 * IFERROR(VLOOKUP("buildings|NOx|Premature mortality", US_national_yearly!$D:$AM, 36, FALSE) / VLOOKUP("buildings|NOx|Premature mortality", US_national_yearly!$D:$AM, 10, FALSE), 1)</f>
        <v>9.6314881292463358E-4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2.5869049886530883E-6</v>
      </c>
      <c r="C3" s="7">
        <f>$B3 * IFERROR(VLOOKUP("buildings|NOx|Infant mortality", US_national_yearly!$D:$AM, 11, FALSE) / VLOOKUP("buildings|NOx|Infant mortality", US_national_yearly!$D:$AM, 10, FALSE), 1)</f>
        <v>2.5623324273471628E-6</v>
      </c>
      <c r="D3" s="7">
        <f>$B3 * IFERROR(VLOOKUP("buildings|NOx|Infant mortality", US_national_yearly!$D:$AM, 12, FALSE) / VLOOKUP("buildings|NOx|Infant mortality", US_national_yearly!$D:$AM, 10, FALSE), 1)</f>
        <v>2.5377598660412365E-6</v>
      </c>
      <c r="E3" s="7">
        <f>$B3 * IFERROR(VLOOKUP("buildings|NOx|Infant mortality", US_national_yearly!$D:$AM, 13, FALSE) / VLOOKUP("buildings|NOx|Infant mortality", US_national_yearly!$D:$AM, 10, FALSE), 1)</f>
        <v>2.513187304735311E-6</v>
      </c>
      <c r="F3" s="7">
        <f>$B3 * IFERROR(VLOOKUP("buildings|NOx|Infant mortality", US_national_yearly!$D:$AM, 14, FALSE) / VLOOKUP("buildings|NOx|Infant mortality", US_national_yearly!$D:$AM, 10, FALSE), 1)</f>
        <v>2.4886147434293847E-6</v>
      </c>
      <c r="G3" s="7">
        <f>$B3 * IFERROR(VLOOKUP("buildings|NOx|Infant mortality", US_national_yearly!$D:$AM, 15, FALSE) / VLOOKUP("buildings|NOx|Infant mortality", US_national_yearly!$D:$AM, 10, FALSE), 1)</f>
        <v>1.6517867965920891E-6</v>
      </c>
      <c r="H3" s="7">
        <f>$B3 * IFERROR(VLOOKUP("buildings|NOx|Infant mortality", US_national_yearly!$D:$AM, 16, FALSE) / VLOOKUP("buildings|NOx|Infant mortality", US_national_yearly!$D:$AM, 10, FALSE), 1)</f>
        <v>8.1495884975479333E-7</v>
      </c>
      <c r="I3" s="7">
        <f>$B3 * IFERROR(VLOOKUP("buildings|NOx|Infant mortality", US_national_yearly!$D:$AM, 17, FALSE) / VLOOKUP("buildings|NOx|Infant mortality", US_national_yearly!$D:$AM, 10, FALSE), 1)</f>
        <v>8.0920152538624643E-7</v>
      </c>
      <c r="J3" s="7">
        <f>$B3 * IFERROR(VLOOKUP("buildings|NOx|Infant mortality", US_national_yearly!$D:$AM, 18, FALSE) / VLOOKUP("buildings|NOx|Infant mortality", US_national_yearly!$D:$AM, 10, FALSE), 1)</f>
        <v>8.0344420101769943E-7</v>
      </c>
      <c r="K3" s="7">
        <f>$B3 * IFERROR(VLOOKUP("buildings|NOx|Infant mortality", US_national_yearly!$D:$AM, 19, FALSE) / VLOOKUP("buildings|NOx|Infant mortality", US_national_yearly!$D:$AM, 10, FALSE), 1)</f>
        <v>7.9768687664915265E-7</v>
      </c>
      <c r="L3" s="7">
        <f>$B3 * IFERROR(VLOOKUP("buildings|NOx|Infant mortality", US_national_yearly!$D:$AM, 20, FALSE) / VLOOKUP("buildings|NOx|Infant mortality", US_national_yearly!$D:$AM, 10, FALSE), 1)</f>
        <v>7.9192955228060586E-7</v>
      </c>
      <c r="M3" s="7">
        <f>$B3 * IFERROR(VLOOKUP("buildings|NOx|Infant mortality", US_national_yearly!$D:$AM, 21, FALSE) / VLOOKUP("buildings|NOx|Infant mortality", US_national_yearly!$D:$AM, 10, FALSE), 1)</f>
        <v>7.8617222791205886E-7</v>
      </c>
      <c r="N3" s="7">
        <f>$B3 * IFERROR(VLOOKUP("buildings|NOx|Infant mortality", US_national_yearly!$D:$AM, 22, FALSE) / VLOOKUP("buildings|NOx|Infant mortality", US_national_yearly!$D:$AM, 10, FALSE), 1)</f>
        <v>7.8235717140519312E-7</v>
      </c>
      <c r="O3" s="7">
        <f>$B3 * IFERROR(VLOOKUP("buildings|NOx|Infant mortality", US_national_yearly!$D:$AM, 23, FALSE) / VLOOKUP("buildings|NOx|Infant mortality", US_national_yearly!$D:$AM, 10, FALSE), 1)</f>
        <v>7.7854211489832738E-7</v>
      </c>
      <c r="P3" s="7">
        <f>$B3 * IFERROR(VLOOKUP("buildings|NOx|Infant mortality", US_national_yearly!$D:$AM, 24, FALSE) / VLOOKUP("buildings|NOx|Infant mortality", US_national_yearly!$D:$AM, 10, FALSE), 1)</f>
        <v>7.7472705839146165E-7</v>
      </c>
      <c r="Q3" s="7">
        <f>$B3 * IFERROR(VLOOKUP("buildings|NOx|Infant mortality", US_national_yearly!$D:$AM, 25, FALSE) / VLOOKUP("buildings|NOx|Infant mortality", US_national_yearly!$D:$AM, 10, FALSE), 1)</f>
        <v>7.7091200188459612E-7</v>
      </c>
      <c r="R3" s="7">
        <f>$B3 * IFERROR(VLOOKUP("buildings|NOx|Infant mortality", US_national_yearly!$D:$AM, 26, FALSE) / VLOOKUP("buildings|NOx|Infant mortality", US_national_yearly!$D:$AM, 10, FALSE), 1)</f>
        <v>7.6709694537773039E-7</v>
      </c>
      <c r="S3" s="7">
        <f>$B3 * IFERROR(VLOOKUP("buildings|NOx|Infant mortality", US_national_yearly!$D:$AM, 27, FALSE) / VLOOKUP("buildings|NOx|Infant mortality", US_national_yearly!$D:$AM, 10, FALSE), 1)</f>
        <v>7.6250767605934874E-7</v>
      </c>
      <c r="T3" s="7">
        <f>$B3 * IFERROR(VLOOKUP("buildings|NOx|Infant mortality", US_national_yearly!$D:$AM, 28, FALSE) / VLOOKUP("buildings|NOx|Infant mortality", US_national_yearly!$D:$AM, 10, FALSE), 1)</f>
        <v>7.5791840674096731E-7</v>
      </c>
      <c r="U3" s="7">
        <f>$B3 * IFERROR(VLOOKUP("buildings|NOx|Infant mortality", US_national_yearly!$D:$AM, 29, FALSE) / VLOOKUP("buildings|NOx|Infant mortality", US_national_yearly!$D:$AM, 10, FALSE), 1)</f>
        <v>7.5332913742258577E-7</v>
      </c>
      <c r="V3" s="7">
        <f>$B3 * IFERROR(VLOOKUP("buildings|NOx|Infant mortality", US_national_yearly!$D:$AM, 30, FALSE) / VLOOKUP("buildings|NOx|Infant mortality", US_national_yearly!$D:$AM, 10, FALSE), 1)</f>
        <v>7.4873986810420413E-7</v>
      </c>
      <c r="W3" s="7">
        <f>$B3 * IFERROR(VLOOKUP("buildings|NOx|Infant mortality", US_national_yearly!$D:$AM, 31, FALSE) / VLOOKUP("buildings|NOx|Infant mortality", US_national_yearly!$D:$AM, 10, FALSE), 1)</f>
        <v>7.441505987858227E-7</v>
      </c>
      <c r="X3" s="7">
        <f>$B3 * IFERROR(VLOOKUP("buildings|NOx|Infant mortality", US_national_yearly!$D:$AM, 32, FALSE) / VLOOKUP("buildings|NOx|Infant mortality", US_national_yearly!$D:$AM, 10, FALSE), 1)</f>
        <v>7.3929474962446167E-7</v>
      </c>
      <c r="Y3" s="7">
        <f>$B3 * IFERROR(VLOOKUP("buildings|NOx|Infant mortality", US_national_yearly!$D:$AM, 33, FALSE) / VLOOKUP("buildings|NOx|Infant mortality", US_national_yearly!$D:$AM, 10, FALSE), 1)</f>
        <v>7.3443890046310074E-7</v>
      </c>
      <c r="Z3" s="7">
        <f>$B3 * IFERROR(VLOOKUP("buildings|NOx|Infant mortality", US_national_yearly!$D:$AM, 34, FALSE) / VLOOKUP("buildings|NOx|Infant mortality", US_national_yearly!$D:$AM, 10, FALSE), 1)</f>
        <v>7.2958305130173961E-7</v>
      </c>
      <c r="AA3" s="7">
        <f>$B3 * IFERROR(VLOOKUP("buildings|NOx|Infant mortality", US_national_yearly!$D:$AM, 35, FALSE) / VLOOKUP("buildings|NOx|Infant mortality", US_national_yearly!$D:$AM, 10, FALSE), 1)</f>
        <v>7.2472720214037858E-7</v>
      </c>
      <c r="AB3" s="7">
        <f>$B3 * IFERROR(VLOOKUP("buildings|NOx|Infant mortality", US_national_yearly!$D:$AM, 36, FALSE) / VLOOKUP("buildings|NOx|Infant mortality", US_national_yearly!$D:$AM, 10, FALSE), 1)</f>
        <v>7.1987135297901744E-7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2.0302005338742068E-3</v>
      </c>
      <c r="C6" s="7">
        <f>$B6 * IFERROR(VLOOKUP("buildings|NOx|Asthma symptoms cough", US_national_yearly!$D:$AM, 11, FALSE) / VLOOKUP("buildings|NOx|Asthma symptoms cough", US_national_yearly!$D:$AM, 10, FALSE), 1)</f>
        <v>2.0579843811693631E-3</v>
      </c>
      <c r="D6" s="7">
        <f>$B6 * IFERROR(VLOOKUP("buildings|NOx|Asthma symptoms cough", US_national_yearly!$D:$AM, 12, FALSE) / VLOOKUP("buildings|NOx|Asthma symptoms cough", US_national_yearly!$D:$AM, 10, FALSE), 1)</f>
        <v>2.0857682284645199E-3</v>
      </c>
      <c r="E6" s="7">
        <f>$B6 * IFERROR(VLOOKUP("buildings|NOx|Asthma symptoms cough", US_national_yearly!$D:$AM, 13, FALSE) / VLOOKUP("buildings|NOx|Asthma symptoms cough", US_national_yearly!$D:$AM, 10, FALSE), 1)</f>
        <v>2.1135520757596762E-3</v>
      </c>
      <c r="F6" s="7">
        <f>$B6 * IFERROR(VLOOKUP("buildings|NOx|Asthma symptoms cough", US_national_yearly!$D:$AM, 14, FALSE) / VLOOKUP("buildings|NOx|Asthma symptoms cough", US_national_yearly!$D:$AM, 10, FALSE), 1)</f>
        <v>2.1413359230548325E-3</v>
      </c>
      <c r="G6" s="7">
        <f>$B6 * IFERROR(VLOOKUP("buildings|NOx|Asthma symptoms cough", US_national_yearly!$D:$AM, 15, FALSE) / VLOOKUP("buildings|NOx|Asthma symptoms cough", US_national_yearly!$D:$AM, 10, FALSE), 1)</f>
        <v>2.1635404231702638E-3</v>
      </c>
      <c r="H6" s="7">
        <f>$B6 * IFERROR(VLOOKUP("buildings|NOx|Asthma symptoms cough", US_national_yearly!$D:$AM, 16, FALSE) / VLOOKUP("buildings|NOx|Asthma symptoms cough", US_national_yearly!$D:$AM, 10, FALSE), 1)</f>
        <v>2.1857449232856952E-3</v>
      </c>
      <c r="I6" s="7">
        <f>$B6 * IFERROR(VLOOKUP("buildings|NOx|Asthma symptoms cough", US_national_yearly!$D:$AM, 17, FALSE) / VLOOKUP("buildings|NOx|Asthma symptoms cough", US_national_yearly!$D:$AM, 10, FALSE), 1)</f>
        <v>2.193429244968923E-3</v>
      </c>
      <c r="J6" s="7">
        <f>$B6 * IFERROR(VLOOKUP("buildings|NOx|Asthma symptoms cough", US_national_yearly!$D:$AM, 18, FALSE) / VLOOKUP("buildings|NOx|Asthma symptoms cough", US_national_yearly!$D:$AM, 10, FALSE), 1)</f>
        <v>2.2011135666521508E-3</v>
      </c>
      <c r="K6" s="7">
        <f>$B6 * IFERROR(VLOOKUP("buildings|NOx|Asthma symptoms cough", US_national_yearly!$D:$AM, 19, FALSE) / VLOOKUP("buildings|NOx|Asthma symptoms cough", US_national_yearly!$D:$AM, 10, FALSE), 1)</f>
        <v>2.2087978883353781E-3</v>
      </c>
      <c r="L6" s="7">
        <f>$B6 * IFERROR(VLOOKUP("buildings|NOx|Asthma symptoms cough", US_national_yearly!$D:$AM, 20, FALSE) / VLOOKUP("buildings|NOx|Asthma symptoms cough", US_national_yearly!$D:$AM, 10, FALSE), 1)</f>
        <v>2.2164822100186059E-3</v>
      </c>
      <c r="M6" s="7">
        <f>$B6 * IFERROR(VLOOKUP("buildings|NOx|Asthma symptoms cough", US_national_yearly!$D:$AM, 21, FALSE) / VLOOKUP("buildings|NOx|Asthma symptoms cough", US_national_yearly!$D:$AM, 10, FALSE), 1)</f>
        <v>2.2241665317018332E-3</v>
      </c>
      <c r="N6" s="7">
        <f>$B6 * IFERROR(VLOOKUP("buildings|NOx|Asthma symptoms cough", US_national_yearly!$D:$AM, 22, FALSE) / VLOOKUP("buildings|NOx|Asthma symptoms cough", US_national_yearly!$D:$AM, 10, FALSE), 1)</f>
        <v>2.2330520074472174E-3</v>
      </c>
      <c r="O6" s="7">
        <f>$B6 * IFERROR(VLOOKUP("buildings|NOx|Asthma symptoms cough", US_national_yearly!$D:$AM, 23, FALSE) / VLOOKUP("buildings|NOx|Asthma symptoms cough", US_national_yearly!$D:$AM, 10, FALSE), 1)</f>
        <v>2.2419374831926012E-3</v>
      </c>
      <c r="P6" s="7">
        <f>$B6 * IFERROR(VLOOKUP("buildings|NOx|Asthma symptoms cough", US_national_yearly!$D:$AM, 24, FALSE) / VLOOKUP("buildings|NOx|Asthma symptoms cough", US_national_yearly!$D:$AM, 10, FALSE), 1)</f>
        <v>2.250822958937985E-3</v>
      </c>
      <c r="Q6" s="7">
        <f>$B6 * IFERROR(VLOOKUP("buildings|NOx|Asthma symptoms cough", US_national_yearly!$D:$AM, 25, FALSE) / VLOOKUP("buildings|NOx|Asthma symptoms cough", US_national_yearly!$D:$AM, 10, FALSE), 1)</f>
        <v>2.2597084346833688E-3</v>
      </c>
      <c r="R6" s="7">
        <f>$B6 * IFERROR(VLOOKUP("buildings|NOx|Asthma symptoms cough", US_national_yearly!$D:$AM, 26, FALSE) / VLOOKUP("buildings|NOx|Asthma symptoms cough", US_national_yearly!$D:$AM, 10, FALSE), 1)</f>
        <v>2.2685939104287525E-3</v>
      </c>
      <c r="S6" s="7">
        <f>$B6 * IFERROR(VLOOKUP("buildings|NOx|Asthma symptoms cough", US_national_yearly!$D:$AM, 27, FALSE) / VLOOKUP("buildings|NOx|Asthma symptoms cough", US_national_yearly!$D:$AM, 10, FALSE), 1)</f>
        <v>2.2801985300597732E-3</v>
      </c>
      <c r="T6" s="7">
        <f>$B6 * IFERROR(VLOOKUP("buildings|NOx|Asthma symptoms cough", US_national_yearly!$D:$AM, 28, FALSE) / VLOOKUP("buildings|NOx|Asthma symptoms cough", US_national_yearly!$D:$AM, 10, FALSE), 1)</f>
        <v>2.291803149690793E-3</v>
      </c>
      <c r="U6" s="7">
        <f>$B6 * IFERROR(VLOOKUP("buildings|NOx|Asthma symptoms cough", US_national_yearly!$D:$AM, 29, FALSE) / VLOOKUP("buildings|NOx|Asthma symptoms cough", US_national_yearly!$D:$AM, 10, FALSE), 1)</f>
        <v>2.3034077693218132E-3</v>
      </c>
      <c r="V6" s="7">
        <f>$B6 * IFERROR(VLOOKUP("buildings|NOx|Asthma symptoms cough", US_national_yearly!$D:$AM, 30, FALSE) / VLOOKUP("buildings|NOx|Asthma symptoms cough", US_national_yearly!$D:$AM, 10, FALSE), 1)</f>
        <v>2.3150123889528343E-3</v>
      </c>
      <c r="W6" s="7">
        <f>$B6 * IFERROR(VLOOKUP("buildings|NOx|Asthma symptoms cough", US_national_yearly!$D:$AM, 31, FALSE) / VLOOKUP("buildings|NOx|Asthma symptoms cough", US_national_yearly!$D:$AM, 10, FALSE), 1)</f>
        <v>2.3266170085838541E-3</v>
      </c>
      <c r="X6" s="7">
        <f>$B6 * IFERROR(VLOOKUP("buildings|NOx|Asthma symptoms cough", US_national_yearly!$D:$AM, 32, FALSE) / VLOOKUP("buildings|NOx|Asthma symptoms cough", US_national_yearly!$D:$AM, 10, FALSE), 1)</f>
        <v>2.3373992970476508E-3</v>
      </c>
      <c r="Y6" s="7">
        <f>$B6 * IFERROR(VLOOKUP("buildings|NOx|Asthma symptoms cough", US_national_yearly!$D:$AM, 33, FALSE) / VLOOKUP("buildings|NOx|Asthma symptoms cough", US_national_yearly!$D:$AM, 10, FALSE), 1)</f>
        <v>2.3481815855114475E-3</v>
      </c>
      <c r="Z6" s="7">
        <f>$B6 * IFERROR(VLOOKUP("buildings|NOx|Asthma symptoms cough", US_national_yearly!$D:$AM, 34, FALSE) / VLOOKUP("buildings|NOx|Asthma symptoms cough", US_national_yearly!$D:$AM, 10, FALSE), 1)</f>
        <v>2.3589638739752446E-3</v>
      </c>
      <c r="AA6" s="7">
        <f>$B6 * IFERROR(VLOOKUP("buildings|NOx|Asthma symptoms cough", US_national_yearly!$D:$AM, 35, FALSE) / VLOOKUP("buildings|NOx|Asthma symptoms cough", US_national_yearly!$D:$AM, 10, FALSE), 1)</f>
        <v>2.3697461624390416E-3</v>
      </c>
      <c r="AB6" s="7">
        <f>$B6 * IFERROR(VLOOKUP("buildings|NOx|Asthma symptoms cough", US_national_yearly!$D:$AM, 36, FALSE) / VLOOKUP("buildings|NOx|Asthma symptoms cough", US_national_yearly!$D:$AM, 10, FALSE), 1)</f>
        <v>2.3805284509028383E-3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2.7339517266222893E-3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2.7713666006049568E-3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2.8087814745876238E-3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2.8461963485702912E-3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2.8836112225529586E-3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2.9135127175910843E-3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2.9434142126292099E-3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2.9537622368234987E-3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2.9641102610177866E-3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2.9744582852120759E-3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2.9848063094063647E-3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2.9951543336006535E-3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3.007119881388094E-3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3.0190854291755344E-3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3.0310509769629745E-3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3.0430165247504149E-3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3.0549820725378554E-3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3.0706093316102212E-3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3.0862365906825866E-3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3.1018638497549524E-3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3.1174911088273174E-3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3.1331183678996828E-3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3.1476382419213518E-3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3.1621581159430199E-3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3.1766779899646885E-3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3.1911978639863562E-3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3.2057177380080252E-3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4.1770430172784999E-3</v>
      </c>
      <c r="C8" s="7">
        <f>$B8 * IFERROR(VLOOKUP("buildings|NOx|Asthma symptoms wheeze", US_national_yearly!$D:$AM, 11, FALSE) / VLOOKUP("buildings|NOx|Asthma symptoms wheeze", US_national_yearly!$D:$AM, 10, FALSE), 1)</f>
        <v>4.2342069887418253E-3</v>
      </c>
      <c r="D8" s="7">
        <f>$B8 * IFERROR(VLOOKUP("buildings|NOx|Asthma symptoms wheeze", US_national_yearly!$D:$AM, 12, FALSE) / VLOOKUP("buildings|NOx|Asthma symptoms wheeze", US_national_yearly!$D:$AM, 10, FALSE), 1)</f>
        <v>4.2913709602051516E-3</v>
      </c>
      <c r="E8" s="7">
        <f>$B8 * IFERROR(VLOOKUP("buildings|NOx|Asthma symptoms wheeze", US_national_yearly!$D:$AM, 13, FALSE) / VLOOKUP("buildings|NOx|Asthma symptoms wheeze", US_national_yearly!$D:$AM, 10, FALSE), 1)</f>
        <v>4.3485349316684761E-3</v>
      </c>
      <c r="F8" s="7">
        <f>$B8 * IFERROR(VLOOKUP("buildings|NOx|Asthma symptoms wheeze", US_national_yearly!$D:$AM, 14, FALSE) / VLOOKUP("buildings|NOx|Asthma symptoms wheeze", US_national_yearly!$D:$AM, 10, FALSE), 1)</f>
        <v>4.4056989031318033E-3</v>
      </c>
      <c r="G8" s="7">
        <f>$B8 * IFERROR(VLOOKUP("buildings|NOx|Asthma symptoms wheeze", US_national_yearly!$D:$AM, 15, FALSE) / VLOOKUP("buildings|NOx|Asthma symptoms wheeze", US_national_yearly!$D:$AM, 10, FALSE), 1)</f>
        <v>4.4513836276948481E-3</v>
      </c>
      <c r="H8" s="7">
        <f>$B8 * IFERROR(VLOOKUP("buildings|NOx|Asthma symptoms wheeze", US_national_yearly!$D:$AM, 16, FALSE) / VLOOKUP("buildings|NOx|Asthma symptoms wheeze", US_national_yearly!$D:$AM, 10, FALSE), 1)</f>
        <v>4.497068352257892E-3</v>
      </c>
      <c r="I8" s="7">
        <f>$B8 * IFERROR(VLOOKUP("buildings|NOx|Asthma symptoms wheeze", US_national_yearly!$D:$AM, 17, FALSE) / VLOOKUP("buildings|NOx|Asthma symptoms wheeze", US_national_yearly!$D:$AM, 10, FALSE), 1)</f>
        <v>4.5128784861398182E-3</v>
      </c>
      <c r="J8" s="7">
        <f>$B8 * IFERROR(VLOOKUP("buildings|NOx|Asthma symptoms wheeze", US_national_yearly!$D:$AM, 18, FALSE) / VLOOKUP("buildings|NOx|Asthma symptoms wheeze", US_national_yearly!$D:$AM, 10, FALSE), 1)</f>
        <v>4.5286886200217435E-3</v>
      </c>
      <c r="K8" s="7">
        <f>$B8 * IFERROR(VLOOKUP("buildings|NOx|Asthma symptoms wheeze", US_national_yearly!$D:$AM, 19, FALSE) / VLOOKUP("buildings|NOx|Asthma symptoms wheeze", US_national_yearly!$D:$AM, 10, FALSE), 1)</f>
        <v>4.5444987539036688E-3</v>
      </c>
      <c r="L8" s="7">
        <f>$B8 * IFERROR(VLOOKUP("buildings|NOx|Asthma symptoms wheeze", US_national_yearly!$D:$AM, 20, FALSE) / VLOOKUP("buildings|NOx|Asthma symptoms wheeze", US_national_yearly!$D:$AM, 10, FALSE), 1)</f>
        <v>4.5603088877855941E-3</v>
      </c>
      <c r="M8" s="7">
        <f>$B8 * IFERROR(VLOOKUP("buildings|NOx|Asthma symptoms wheeze", US_national_yearly!$D:$AM, 21, FALSE) / VLOOKUP("buildings|NOx|Asthma symptoms wheeze", US_national_yearly!$D:$AM, 10, FALSE), 1)</f>
        <v>4.5761190216675211E-3</v>
      </c>
      <c r="N8" s="7">
        <f>$B8 * IFERROR(VLOOKUP("buildings|NOx|Asthma symptoms wheeze", US_national_yearly!$D:$AM, 22, FALSE) / VLOOKUP("buildings|NOx|Asthma symptoms wheeze", US_national_yearly!$D:$AM, 10, FALSE), 1)</f>
        <v>4.5944004740761232E-3</v>
      </c>
      <c r="O8" s="7">
        <f>$B8 * IFERROR(VLOOKUP("buildings|NOx|Asthma symptoms wheeze", US_national_yearly!$D:$AM, 23, FALSE) / VLOOKUP("buildings|NOx|Asthma symptoms wheeze", US_national_yearly!$D:$AM, 10, FALSE), 1)</f>
        <v>4.612681926484727E-3</v>
      </c>
      <c r="P8" s="7">
        <f>$B8 * IFERROR(VLOOKUP("buildings|NOx|Asthma symptoms wheeze", US_national_yearly!$D:$AM, 24, FALSE) / VLOOKUP("buildings|NOx|Asthma symptoms wheeze", US_national_yearly!$D:$AM, 10, FALSE), 1)</f>
        <v>4.6309633788933291E-3</v>
      </c>
      <c r="Q8" s="7">
        <f>$B8 * IFERROR(VLOOKUP("buildings|NOx|Asthma symptoms wheeze", US_national_yearly!$D:$AM, 25, FALSE) / VLOOKUP("buildings|NOx|Asthma symptoms wheeze", US_national_yearly!$D:$AM, 10, FALSE), 1)</f>
        <v>4.649244831301933E-3</v>
      </c>
      <c r="R8" s="7">
        <f>$B8 * IFERROR(VLOOKUP("buildings|NOx|Asthma symptoms wheeze", US_national_yearly!$D:$AM, 26, FALSE) / VLOOKUP("buildings|NOx|Asthma symptoms wheeze", US_national_yearly!$D:$AM, 10, FALSE), 1)</f>
        <v>4.6675262837105359E-3</v>
      </c>
      <c r="S8" s="7">
        <f>$B8 * IFERROR(VLOOKUP("buildings|NOx|Asthma symptoms wheeze", US_national_yearly!$D:$AM, 27, FALSE) / VLOOKUP("buildings|NOx|Asthma symptoms wheeze", US_national_yearly!$D:$AM, 10, FALSE), 1)</f>
        <v>4.6914022479958182E-3</v>
      </c>
      <c r="T8" s="7">
        <f>$B8 * IFERROR(VLOOKUP("buildings|NOx|Asthma symptoms wheeze", US_national_yearly!$D:$AM, 28, FALSE) / VLOOKUP("buildings|NOx|Asthma symptoms wheeze", US_national_yearly!$D:$AM, 10, FALSE), 1)</f>
        <v>4.7152782122811014E-3</v>
      </c>
      <c r="U8" s="7">
        <f>$B8 * IFERROR(VLOOKUP("buildings|NOx|Asthma symptoms wheeze", US_national_yearly!$D:$AM, 29, FALSE) / VLOOKUP("buildings|NOx|Asthma symptoms wheeze", US_national_yearly!$D:$AM, 10, FALSE), 1)</f>
        <v>4.7391541765663845E-3</v>
      </c>
      <c r="V8" s="7">
        <f>$B8 * IFERROR(VLOOKUP("buildings|NOx|Asthma symptoms wheeze", US_national_yearly!$D:$AM, 30, FALSE) / VLOOKUP("buildings|NOx|Asthma symptoms wheeze", US_national_yearly!$D:$AM, 10, FALSE), 1)</f>
        <v>4.7630301408516677E-3</v>
      </c>
      <c r="W8" s="7">
        <f>$B8 * IFERROR(VLOOKUP("buildings|NOx|Asthma symptoms wheeze", US_national_yearly!$D:$AM, 31, FALSE) / VLOOKUP("buildings|NOx|Asthma symptoms wheeze", US_national_yearly!$D:$AM, 10, FALSE), 1)</f>
        <v>4.78690610513695E-3</v>
      </c>
      <c r="X8" s="7">
        <f>$B8 * IFERROR(VLOOKUP("buildings|NOx|Asthma symptoms wheeze", US_national_yearly!$D:$AM, 32, FALSE) / VLOOKUP("buildings|NOx|Asthma symptoms wheeze", US_national_yearly!$D:$AM, 10, FALSE), 1)</f>
        <v>4.8090901613554162E-3</v>
      </c>
      <c r="Y8" s="7">
        <f>$B8 * IFERROR(VLOOKUP("buildings|NOx|Asthma symptoms wheeze", US_national_yearly!$D:$AM, 33, FALSE) / VLOOKUP("buildings|NOx|Asthma symptoms wheeze", US_national_yearly!$D:$AM, 10, FALSE), 1)</f>
        <v>4.8312742175738825E-3</v>
      </c>
      <c r="Z8" s="7">
        <f>$B8 * IFERROR(VLOOKUP("buildings|NOx|Asthma symptoms wheeze", US_national_yearly!$D:$AM, 34, FALSE) / VLOOKUP("buildings|NOx|Asthma symptoms wheeze", US_national_yearly!$D:$AM, 10, FALSE), 1)</f>
        <v>4.8534582737923496E-3</v>
      </c>
      <c r="AA8" s="7">
        <f>$B8 * IFERROR(VLOOKUP("buildings|NOx|Asthma symptoms wheeze", US_national_yearly!$D:$AM, 35, FALSE) / VLOOKUP("buildings|NOx|Asthma symptoms wheeze", US_national_yearly!$D:$AM, 10, FALSE), 1)</f>
        <v>4.875642330010815E-3</v>
      </c>
      <c r="AB8" s="7">
        <f>$B8 * IFERROR(VLOOKUP("buildings|NOx|Asthma symptoms wheeze", US_national_yearly!$D:$AM, 36, FALSE) / VLOOKUP("buildings|NOx|Asthma symptoms wheeze", US_national_yearly!$D:$AM, 10, FALSE), 1)</f>
        <v>4.8978263862292822E-3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5.1727439946418978E-5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5.3019816435968699E-5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5.4312192925518413E-5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5.5604569415068135E-5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5.6896945904617856E-5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5.8132497155363432E-5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5.936804840610898E-5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6.0417620083701909E-5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6.1467191761294831E-5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6.251676343888776E-5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6.3566335116480688E-5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6.4615906794073617E-5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6.5317539685583629E-5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6.6019172577093654E-5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6.6720805468603665E-5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6.7422438360113704E-5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6.8124071251623701E-5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6.8500265560037662E-5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6.8876459868451624E-5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6.9252654176865585E-5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6.9628848485279546E-5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7.0005042793693493E-5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7.0262565548372889E-5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7.0520088303052271E-5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7.077761105773168E-5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7.1035133812411062E-5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7.1292656567090458E-5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2.9070108452150571E-4</v>
      </c>
      <c r="C13" s="7">
        <f>$B13 * IFERROR(VLOOKUP("buildings|NOx|Non-fatal heart attacks", US_national_yearly!$D:$AM, 11, FALSE) / VLOOKUP("buildings|NOx|Non-fatal heart attacks", US_national_yearly!$D:$AM, 10, FALSE), 1)</f>
        <v>2.9901744984997059E-4</v>
      </c>
      <c r="D13" s="7">
        <f>$B13 * IFERROR(VLOOKUP("buildings|NOx|Non-fatal heart attacks", US_national_yearly!$D:$AM, 12, FALSE) / VLOOKUP("buildings|NOx|Non-fatal heart attacks", US_national_yearly!$D:$AM, 10, FALSE), 1)</f>
        <v>3.0733381517843557E-4</v>
      </c>
      <c r="E13" s="7">
        <f>$B13 * IFERROR(VLOOKUP("buildings|NOx|Non-fatal heart attacks", US_national_yearly!$D:$AM, 13, FALSE) / VLOOKUP("buildings|NOx|Non-fatal heart attacks", US_national_yearly!$D:$AM, 10, FALSE), 1)</f>
        <v>3.1565018050690044E-4</v>
      </c>
      <c r="F13" s="7">
        <f>$B13 * IFERROR(VLOOKUP("buildings|NOx|Non-fatal heart attacks", US_national_yearly!$D:$AM, 14, FALSE) / VLOOKUP("buildings|NOx|Non-fatal heart attacks", US_national_yearly!$D:$AM, 10, FALSE), 1)</f>
        <v>3.2396654583536532E-4</v>
      </c>
      <c r="G13" s="7">
        <f>$B13 * IFERROR(VLOOKUP("buildings|NOx|Non-fatal heart attacks", US_national_yearly!$D:$AM, 15, FALSE) / VLOOKUP("buildings|NOx|Non-fatal heart attacks", US_national_yearly!$D:$AM, 10, FALSE), 1)</f>
        <v>3.3173982453628983E-4</v>
      </c>
      <c r="H13" s="7">
        <f>$B13 * IFERROR(VLOOKUP("buildings|NOx|Non-fatal heart attacks", US_national_yearly!$D:$AM, 16, FALSE) / VLOOKUP("buildings|NOx|Non-fatal heart attacks", US_national_yearly!$D:$AM, 10, FALSE), 1)</f>
        <v>3.395131032372144E-4</v>
      </c>
      <c r="I13" s="7">
        <f>$B13 * IFERROR(VLOOKUP("buildings|NOx|Non-fatal heart attacks", US_national_yearly!$D:$AM, 17, FALSE) / VLOOKUP("buildings|NOx|Non-fatal heart attacks", US_national_yearly!$D:$AM, 10, FALSE), 1)</f>
        <v>3.4564566135360686E-4</v>
      </c>
      <c r="J13" s="7">
        <f>$B13 * IFERROR(VLOOKUP("buildings|NOx|Non-fatal heart attacks", US_national_yearly!$D:$AM, 18, FALSE) / VLOOKUP("buildings|NOx|Non-fatal heart attacks", US_national_yearly!$D:$AM, 10, FALSE), 1)</f>
        <v>3.5177821946999927E-4</v>
      </c>
      <c r="K13" s="7">
        <f>$B13 * IFERROR(VLOOKUP("buildings|NOx|Non-fatal heart attacks", US_national_yearly!$D:$AM, 19, FALSE) / VLOOKUP("buildings|NOx|Non-fatal heart attacks", US_national_yearly!$D:$AM, 10, FALSE), 1)</f>
        <v>3.5791077758639189E-4</v>
      </c>
      <c r="L13" s="7">
        <f>$B13 * IFERROR(VLOOKUP("buildings|NOx|Non-fatal heart attacks", US_national_yearly!$D:$AM, 20, FALSE) / VLOOKUP("buildings|NOx|Non-fatal heart attacks", US_national_yearly!$D:$AM, 10, FALSE), 1)</f>
        <v>3.6404333570278413E-4</v>
      </c>
      <c r="M13" s="7">
        <f>$B13 * IFERROR(VLOOKUP("buildings|NOx|Non-fatal heart attacks", US_national_yearly!$D:$AM, 21, FALSE) / VLOOKUP("buildings|NOx|Non-fatal heart attacks", US_national_yearly!$D:$AM, 10, FALSE), 1)</f>
        <v>3.701758938191767E-4</v>
      </c>
      <c r="N13" s="7">
        <f>$B13 * IFERROR(VLOOKUP("buildings|NOx|Non-fatal heart attacks", US_national_yearly!$D:$AM, 22, FALSE) / VLOOKUP("buildings|NOx|Non-fatal heart attacks", US_national_yearly!$D:$AM, 10, FALSE), 1)</f>
        <v>3.7386665319616734E-4</v>
      </c>
      <c r="O13" s="7">
        <f>$B13 * IFERROR(VLOOKUP("buildings|NOx|Non-fatal heart attacks", US_national_yearly!$D:$AM, 23, FALSE) / VLOOKUP("buildings|NOx|Non-fatal heart attacks", US_national_yearly!$D:$AM, 10, FALSE), 1)</f>
        <v>3.7755741257315792E-4</v>
      </c>
      <c r="P13" s="7">
        <f>$B13 * IFERROR(VLOOKUP("buildings|NOx|Non-fatal heart attacks", US_national_yearly!$D:$AM, 24, FALSE) / VLOOKUP("buildings|NOx|Non-fatal heart attacks", US_national_yearly!$D:$AM, 10, FALSE), 1)</f>
        <v>3.8124817195014856E-4</v>
      </c>
      <c r="Q13" s="7">
        <f>$B13 * IFERROR(VLOOKUP("buildings|NOx|Non-fatal heart attacks", US_national_yearly!$D:$AM, 25, FALSE) / VLOOKUP("buildings|NOx|Non-fatal heart attacks", US_national_yearly!$D:$AM, 10, FALSE), 1)</f>
        <v>3.8493893132713919E-4</v>
      </c>
      <c r="R13" s="7">
        <f>$B13 * IFERROR(VLOOKUP("buildings|NOx|Non-fatal heart attacks", US_national_yearly!$D:$AM, 26, FALSE) / VLOOKUP("buildings|NOx|Non-fatal heart attacks", US_national_yearly!$D:$AM, 10, FALSE), 1)</f>
        <v>3.8862969070412978E-4</v>
      </c>
      <c r="S13" s="7">
        <f>$B13 * IFERROR(VLOOKUP("buildings|NOx|Non-fatal heart attacks", US_national_yearly!$D:$AM, 27, FALSE) / VLOOKUP("buildings|NOx|Non-fatal heart attacks", US_national_yearly!$D:$AM, 10, FALSE), 1)</f>
        <v>3.9030691655409427E-4</v>
      </c>
      <c r="T13" s="7">
        <f>$B13 * IFERROR(VLOOKUP("buildings|NOx|Non-fatal heart attacks", US_national_yearly!$D:$AM, 28, FALSE) / VLOOKUP("buildings|NOx|Non-fatal heart attacks", US_national_yearly!$D:$AM, 10, FALSE), 1)</f>
        <v>3.9198414240405893E-4</v>
      </c>
      <c r="U13" s="7">
        <f>$B13 * IFERROR(VLOOKUP("buildings|NOx|Non-fatal heart attacks", US_national_yearly!$D:$AM, 29, FALSE) / VLOOKUP("buildings|NOx|Non-fatal heart attacks", US_national_yearly!$D:$AM, 10, FALSE), 1)</f>
        <v>3.9366136825402348E-4</v>
      </c>
      <c r="V13" s="7">
        <f>$B13 * IFERROR(VLOOKUP("buildings|NOx|Non-fatal heart attacks", US_national_yearly!$D:$AM, 30, FALSE) / VLOOKUP("buildings|NOx|Non-fatal heart attacks", US_national_yearly!$D:$AM, 10, FALSE), 1)</f>
        <v>3.9533859410398803E-4</v>
      </c>
      <c r="W13" s="7">
        <f>$B13 * IFERROR(VLOOKUP("buildings|NOx|Non-fatal heart attacks", US_national_yearly!$D:$AM, 31, FALSE) / VLOOKUP("buildings|NOx|Non-fatal heart attacks", US_national_yearly!$D:$AM, 10, FALSE), 1)</f>
        <v>3.9701581995395257E-4</v>
      </c>
      <c r="X13" s="7">
        <f>$B13 * IFERROR(VLOOKUP("buildings|NOx|Non-fatal heart attacks", US_national_yearly!$D:$AM, 32, FALSE) / VLOOKUP("buildings|NOx|Non-fatal heart attacks", US_national_yearly!$D:$AM, 10, FALSE), 1)</f>
        <v>3.9813774746856422E-4</v>
      </c>
      <c r="Y13" s="7">
        <f>$B13 * IFERROR(VLOOKUP("buildings|NOx|Non-fatal heart attacks", US_national_yearly!$D:$AM, 33, FALSE) / VLOOKUP("buildings|NOx|Non-fatal heart attacks", US_national_yearly!$D:$AM, 10, FALSE), 1)</f>
        <v>3.9925967498317586E-4</v>
      </c>
      <c r="Z13" s="7">
        <f>$B13 * IFERROR(VLOOKUP("buildings|NOx|Non-fatal heart attacks", US_national_yearly!$D:$AM, 34, FALSE) / VLOOKUP("buildings|NOx|Non-fatal heart attacks", US_national_yearly!$D:$AM, 10, FALSE), 1)</f>
        <v>4.0038160249778756E-4</v>
      </c>
      <c r="AA13" s="7">
        <f>$B13 * IFERROR(VLOOKUP("buildings|NOx|Non-fatal heart attacks", US_national_yearly!$D:$AM, 35, FALSE) / VLOOKUP("buildings|NOx|Non-fatal heart attacks", US_national_yearly!$D:$AM, 10, FALSE), 1)</f>
        <v>4.015035300123992E-4</v>
      </c>
      <c r="AB13" s="7">
        <f>$B13 * IFERROR(VLOOKUP("buildings|NOx|Non-fatal heart attacks", US_national_yearly!$D:$AM, 36, FALSE) / VLOOKUP("buildings|NOx|Non-fatal heart attacks", US_national_yearly!$D:$AM, 10, FALSE), 1)</f>
        <v>4.0262545752701084E-4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0.22268496586184433</v>
      </c>
      <c r="C14" s="7">
        <f>$B14 * IFERROR(VLOOKUP("buildings|NOx|Minor restricted activity days", US_national_yearly!$D:$AM, 11, FALSE) / VLOOKUP("buildings|NOx|Minor restricted activity days", US_national_yearly!$D:$AM, 10, FALSE), 1)</f>
        <v>0.22303052026544673</v>
      </c>
      <c r="D14" s="7">
        <f>$B14 * IFERROR(VLOOKUP("buildings|NOx|Minor restricted activity days", US_national_yearly!$D:$AM, 12, FALSE) / VLOOKUP("buildings|NOx|Minor restricted activity days", US_national_yearly!$D:$AM, 10, FALSE), 1)</f>
        <v>0.22337607466904913</v>
      </c>
      <c r="E14" s="7">
        <f>$B14 * IFERROR(VLOOKUP("buildings|NOx|Minor restricted activity days", US_national_yearly!$D:$AM, 13, FALSE) / VLOOKUP("buildings|NOx|Minor restricted activity days", US_national_yearly!$D:$AM, 10, FALSE), 1)</f>
        <v>0.22372162907265156</v>
      </c>
      <c r="F14" s="7">
        <f>$B14 * IFERROR(VLOOKUP("buildings|NOx|Minor restricted activity days", US_national_yearly!$D:$AM, 14, FALSE) / VLOOKUP("buildings|NOx|Minor restricted activity days", US_national_yearly!$D:$AM, 10, FALSE), 1)</f>
        <v>0.22406718347625396</v>
      </c>
      <c r="G14" s="7">
        <f>$B14 * IFERROR(VLOOKUP("buildings|NOx|Minor restricted activity days", US_national_yearly!$D:$AM, 15, FALSE) / VLOOKUP("buildings|NOx|Minor restricted activity days", US_national_yearly!$D:$AM, 10, FALSE), 1)</f>
        <v>0.22468797256197234</v>
      </c>
      <c r="H14" s="7">
        <f>$B14 * IFERROR(VLOOKUP("buildings|NOx|Minor restricted activity days", US_national_yearly!$D:$AM, 16, FALSE) / VLOOKUP("buildings|NOx|Minor restricted activity days", US_national_yearly!$D:$AM, 10, FALSE), 1)</f>
        <v>0.22530876164769076</v>
      </c>
      <c r="I14" s="7">
        <f>$B14 * IFERROR(VLOOKUP("buildings|NOx|Minor restricted activity days", US_national_yearly!$D:$AM, 17, FALSE) / VLOOKUP("buildings|NOx|Minor restricted activity days", US_national_yearly!$D:$AM, 10, FALSE), 1)</f>
        <v>0.22651912325282142</v>
      </c>
      <c r="J14" s="7">
        <f>$B14 * IFERROR(VLOOKUP("buildings|NOx|Minor restricted activity days", US_national_yearly!$D:$AM, 18, FALSE) / VLOOKUP("buildings|NOx|Minor restricted activity days", US_national_yearly!$D:$AM, 10, FALSE), 1)</f>
        <v>0.22772948485795211</v>
      </c>
      <c r="K14" s="7">
        <f>$B14 * IFERROR(VLOOKUP("buildings|NOx|Minor restricted activity days", US_national_yearly!$D:$AM, 19, FALSE) / VLOOKUP("buildings|NOx|Minor restricted activity days", US_national_yearly!$D:$AM, 10, FALSE), 1)</f>
        <v>0.2289398464630828</v>
      </c>
      <c r="L14" s="7">
        <f>$B14 * IFERROR(VLOOKUP("buildings|NOx|Minor restricted activity days", US_national_yearly!$D:$AM, 20, FALSE) / VLOOKUP("buildings|NOx|Minor restricted activity days", US_national_yearly!$D:$AM, 10, FALSE), 1)</f>
        <v>0.23015020806821349</v>
      </c>
      <c r="M14" s="7">
        <f>$B14 * IFERROR(VLOOKUP("buildings|NOx|Minor restricted activity days", US_national_yearly!$D:$AM, 21, FALSE) / VLOOKUP("buildings|NOx|Minor restricted activity days", US_national_yearly!$D:$AM, 10, FALSE), 1)</f>
        <v>0.23136056967334417</v>
      </c>
      <c r="N14" s="7">
        <f>$B14 * IFERROR(VLOOKUP("buildings|NOx|Minor restricted activity days", US_national_yearly!$D:$AM, 22, FALSE) / VLOOKUP("buildings|NOx|Minor restricted activity days", US_national_yearly!$D:$AM, 10, FALSE), 1)</f>
        <v>0.23309212301355547</v>
      </c>
      <c r="O14" s="7">
        <f>$B14 * IFERROR(VLOOKUP("buildings|NOx|Minor restricted activity days", US_national_yearly!$D:$AM, 23, FALSE) / VLOOKUP("buildings|NOx|Minor restricted activity days", US_national_yearly!$D:$AM, 10, FALSE), 1)</f>
        <v>0.23482367635376672</v>
      </c>
      <c r="P14" s="7">
        <f>$B14 * IFERROR(VLOOKUP("buildings|NOx|Minor restricted activity days", US_national_yearly!$D:$AM, 24, FALSE) / VLOOKUP("buildings|NOx|Minor restricted activity days", US_national_yearly!$D:$AM, 10, FALSE), 1)</f>
        <v>0.23655522969397802</v>
      </c>
      <c r="Q14" s="7">
        <f>$B14 * IFERROR(VLOOKUP("buildings|NOx|Minor restricted activity days", US_national_yearly!$D:$AM, 25, FALSE) / VLOOKUP("buildings|NOx|Minor restricted activity days", US_national_yearly!$D:$AM, 10, FALSE), 1)</f>
        <v>0.23828678303418926</v>
      </c>
      <c r="R14" s="7">
        <f>$B14 * IFERROR(VLOOKUP("buildings|NOx|Minor restricted activity days", US_national_yearly!$D:$AM, 26, FALSE) / VLOOKUP("buildings|NOx|Minor restricted activity days", US_national_yearly!$D:$AM, 10, FALSE), 1)</f>
        <v>0.24001833637440051</v>
      </c>
      <c r="S14" s="7">
        <f>$B14 * IFERROR(VLOOKUP("buildings|NOx|Minor restricted activity days", US_national_yearly!$D:$AM, 27, FALSE) / VLOOKUP("buildings|NOx|Minor restricted activity days", US_national_yearly!$D:$AM, 10, FALSE), 1)</f>
        <v>0.24174939124741912</v>
      </c>
      <c r="T14" s="7">
        <f>$B14 * IFERROR(VLOOKUP("buildings|NOx|Minor restricted activity days", US_national_yearly!$D:$AM, 28, FALSE) / VLOOKUP("buildings|NOx|Minor restricted activity days", US_national_yearly!$D:$AM, 10, FALSE), 1)</f>
        <v>0.2434804461204377</v>
      </c>
      <c r="U14" s="7">
        <f>$B14 * IFERROR(VLOOKUP("buildings|NOx|Minor restricted activity days", US_national_yearly!$D:$AM, 29, FALSE) / VLOOKUP("buildings|NOx|Minor restricted activity days", US_national_yearly!$D:$AM, 10, FALSE), 1)</f>
        <v>0.24521150099345637</v>
      </c>
      <c r="V14" s="7">
        <f>$B14 * IFERROR(VLOOKUP("buildings|NOx|Minor restricted activity days", US_national_yearly!$D:$AM, 30, FALSE) / VLOOKUP("buildings|NOx|Minor restricted activity days", US_national_yearly!$D:$AM, 10, FALSE), 1)</f>
        <v>0.24694255586647496</v>
      </c>
      <c r="W14" s="7">
        <f>$B14 * IFERROR(VLOOKUP("buildings|NOx|Minor restricted activity days", US_national_yearly!$D:$AM, 31, FALSE) / VLOOKUP("buildings|NOx|Minor restricted activity days", US_national_yearly!$D:$AM, 10, FALSE), 1)</f>
        <v>0.24867361073949357</v>
      </c>
      <c r="X14" s="7">
        <f>$B14 * IFERROR(VLOOKUP("buildings|NOx|Minor restricted activity days", US_national_yearly!$D:$AM, 32, FALSE) / VLOOKUP("buildings|NOx|Minor restricted activity days", US_national_yearly!$D:$AM, 10, FALSE), 1)</f>
        <v>0.25013763495194619</v>
      </c>
      <c r="Y14" s="7">
        <f>$B14 * IFERROR(VLOOKUP("buildings|NOx|Minor restricted activity days", US_national_yearly!$D:$AM, 33, FALSE) / VLOOKUP("buildings|NOx|Minor restricted activity days", US_national_yearly!$D:$AM, 10, FALSE), 1)</f>
        <v>0.25160165916439886</v>
      </c>
      <c r="Z14" s="7">
        <f>$B14 * IFERROR(VLOOKUP("buildings|NOx|Minor restricted activity days", US_national_yearly!$D:$AM, 34, FALSE) / VLOOKUP("buildings|NOx|Minor restricted activity days", US_national_yearly!$D:$AM, 10, FALSE), 1)</f>
        <v>0.25306568337685142</v>
      </c>
      <c r="AA14" s="7">
        <f>$B14 * IFERROR(VLOOKUP("buildings|NOx|Minor restricted activity days", US_national_yearly!$D:$AM, 35, FALSE) / VLOOKUP("buildings|NOx|Minor restricted activity days", US_national_yearly!$D:$AM, 10, FALSE), 1)</f>
        <v>0.2545297075893041</v>
      </c>
      <c r="AB14" s="7">
        <f>$B14 * IFERROR(VLOOKUP("buildings|NOx|Minor restricted activity days", US_national_yearly!$D:$AM, 36, FALSE) / VLOOKUP("buildings|NOx|Minor restricted activity days", US_national_yearly!$D:$AM, 10, FALSE), 1)</f>
        <v>0.25599373180175672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3.7896955010537865E-2</v>
      </c>
      <c r="C15" s="7">
        <f>$B15 * IFERROR(VLOOKUP("buildings|NOx|Work loss days", US_national_yearly!$D:$AM, 11, FALSE) / VLOOKUP("buildings|NOx|Work loss days", US_national_yearly!$D:$AM, 10, FALSE), 1)</f>
        <v>3.798190994330642E-2</v>
      </c>
      <c r="D15" s="7">
        <f>$B15 * IFERROR(VLOOKUP("buildings|NOx|Work loss days", US_national_yearly!$D:$AM, 12, FALSE) / VLOOKUP("buildings|NOx|Work loss days", US_national_yearly!$D:$AM, 10, FALSE), 1)</f>
        <v>3.8066864876074961E-2</v>
      </c>
      <c r="E15" s="7">
        <f>$B15 * IFERROR(VLOOKUP("buildings|NOx|Work loss days", US_national_yearly!$D:$AM, 13, FALSE) / VLOOKUP("buildings|NOx|Work loss days", US_national_yearly!$D:$AM, 10, FALSE), 1)</f>
        <v>3.815181980884351E-2</v>
      </c>
      <c r="F15" s="7">
        <f>$B15 * IFERROR(VLOOKUP("buildings|NOx|Work loss days", US_national_yearly!$D:$AM, 14, FALSE) / VLOOKUP("buildings|NOx|Work loss days", US_national_yearly!$D:$AM, 10, FALSE), 1)</f>
        <v>3.8236774741612065E-2</v>
      </c>
      <c r="G15" s="7">
        <f>$B15 * IFERROR(VLOOKUP("buildings|NOx|Work loss days", US_national_yearly!$D:$AM, 15, FALSE) / VLOOKUP("buildings|NOx|Work loss days", US_national_yearly!$D:$AM, 10, FALSE), 1)</f>
        <v>3.8360521125919214E-2</v>
      </c>
      <c r="H15" s="7">
        <f>$B15 * IFERROR(VLOOKUP("buildings|NOx|Work loss days", US_national_yearly!$D:$AM, 16, FALSE) / VLOOKUP("buildings|NOx|Work loss days", US_national_yearly!$D:$AM, 10, FALSE), 1)</f>
        <v>3.8484267510226364E-2</v>
      </c>
      <c r="I15" s="7">
        <f>$B15 * IFERROR(VLOOKUP("buildings|NOx|Work loss days", US_national_yearly!$D:$AM, 17, FALSE) / VLOOKUP("buildings|NOx|Work loss days", US_national_yearly!$D:$AM, 10, FALSE), 1)</f>
        <v>3.8684402713037788E-2</v>
      </c>
      <c r="J15" s="7">
        <f>$B15 * IFERROR(VLOOKUP("buildings|NOx|Work loss days", US_national_yearly!$D:$AM, 18, FALSE) / VLOOKUP("buildings|NOx|Work loss days", US_national_yearly!$D:$AM, 10, FALSE), 1)</f>
        <v>3.8884537915849206E-2</v>
      </c>
      <c r="K15" s="7">
        <f>$B15 * IFERROR(VLOOKUP("buildings|NOx|Work loss days", US_national_yearly!$D:$AM, 19, FALSE) / VLOOKUP("buildings|NOx|Work loss days", US_national_yearly!$D:$AM, 10, FALSE), 1)</f>
        <v>3.908467311866063E-2</v>
      </c>
      <c r="L15" s="7">
        <f>$B15 * IFERROR(VLOOKUP("buildings|NOx|Work loss days", US_national_yearly!$D:$AM, 20, FALSE) / VLOOKUP("buildings|NOx|Work loss days", US_national_yearly!$D:$AM, 10, FALSE), 1)</f>
        <v>3.9284808321472062E-2</v>
      </c>
      <c r="M15" s="7">
        <f>$B15 * IFERROR(VLOOKUP("buildings|NOx|Work loss days", US_national_yearly!$D:$AM, 21, FALSE) / VLOOKUP("buildings|NOx|Work loss days", US_national_yearly!$D:$AM, 10, FALSE), 1)</f>
        <v>3.9484943524283479E-2</v>
      </c>
      <c r="N15" s="7">
        <f>$B15 * IFERROR(VLOOKUP("buildings|NOx|Work loss days", US_national_yearly!$D:$AM, 22, FALSE) / VLOOKUP("buildings|NOx|Work loss days", US_national_yearly!$D:$AM, 10, FALSE), 1)</f>
        <v>3.974531975326092E-2</v>
      </c>
      <c r="O15" s="7">
        <f>$B15 * IFERROR(VLOOKUP("buildings|NOx|Work loss days", US_national_yearly!$D:$AM, 23, FALSE) / VLOOKUP("buildings|NOx|Work loss days", US_national_yearly!$D:$AM, 10, FALSE), 1)</f>
        <v>4.0005695982238368E-2</v>
      </c>
      <c r="P15" s="7">
        <f>$B15 * IFERROR(VLOOKUP("buildings|NOx|Work loss days", US_national_yearly!$D:$AM, 24, FALSE) / VLOOKUP("buildings|NOx|Work loss days", US_national_yearly!$D:$AM, 10, FALSE), 1)</f>
        <v>4.0266072211215816E-2</v>
      </c>
      <c r="Q15" s="7">
        <f>$B15 * IFERROR(VLOOKUP("buildings|NOx|Work loss days", US_national_yearly!$D:$AM, 25, FALSE) / VLOOKUP("buildings|NOx|Work loss days", US_national_yearly!$D:$AM, 10, FALSE), 1)</f>
        <v>4.052644844019327E-2</v>
      </c>
      <c r="R15" s="7">
        <f>$B15 * IFERROR(VLOOKUP("buildings|NOx|Work loss days", US_national_yearly!$D:$AM, 26, FALSE) / VLOOKUP("buildings|NOx|Work loss days", US_national_yearly!$D:$AM, 10, FALSE), 1)</f>
        <v>4.0786824669170711E-2</v>
      </c>
      <c r="S15" s="7">
        <f>$B15 * IFERROR(VLOOKUP("buildings|NOx|Work loss days", US_national_yearly!$D:$AM, 27, FALSE) / VLOOKUP("buildings|NOx|Work loss days", US_national_yearly!$D:$AM, 10, FALSE), 1)</f>
        <v>4.1076968345777037E-2</v>
      </c>
      <c r="T15" s="7">
        <f>$B15 * IFERROR(VLOOKUP("buildings|NOx|Work loss days", US_national_yearly!$D:$AM, 28, FALSE) / VLOOKUP("buildings|NOx|Work loss days", US_national_yearly!$D:$AM, 10, FALSE), 1)</f>
        <v>4.136711202238337E-2</v>
      </c>
      <c r="U15" s="7">
        <f>$B15 * IFERROR(VLOOKUP("buildings|NOx|Work loss days", US_national_yearly!$D:$AM, 29, FALSE) / VLOOKUP("buildings|NOx|Work loss days", US_national_yearly!$D:$AM, 10, FALSE), 1)</f>
        <v>4.1657255698989697E-2</v>
      </c>
      <c r="V15" s="7">
        <f>$B15 * IFERROR(VLOOKUP("buildings|NOx|Work loss days", US_national_yearly!$D:$AM, 30, FALSE) / VLOOKUP("buildings|NOx|Work loss days", US_national_yearly!$D:$AM, 10, FALSE), 1)</f>
        <v>4.1947399375596023E-2</v>
      </c>
      <c r="W15" s="7">
        <f>$B15 * IFERROR(VLOOKUP("buildings|NOx|Work loss days", US_national_yearly!$D:$AM, 31, FALSE) / VLOOKUP("buildings|NOx|Work loss days", US_national_yearly!$D:$AM, 10, FALSE), 1)</f>
        <v>4.2237543052202342E-2</v>
      </c>
      <c r="X15" s="7">
        <f>$B15 * IFERROR(VLOOKUP("buildings|NOx|Work loss days", US_national_yearly!$D:$AM, 32, FALSE) / VLOOKUP("buildings|NOx|Work loss days", US_national_yearly!$D:$AM, 10, FALSE), 1)</f>
        <v>4.2489448385312108E-2</v>
      </c>
      <c r="Y15" s="7">
        <f>$B15 * IFERROR(VLOOKUP("buildings|NOx|Work loss days", US_national_yearly!$D:$AM, 33, FALSE) / VLOOKUP("buildings|NOx|Work loss days", US_national_yearly!$D:$AM, 10, FALSE), 1)</f>
        <v>4.2741353718421866E-2</v>
      </c>
      <c r="Z15" s="7">
        <f>$B15 * IFERROR(VLOOKUP("buildings|NOx|Work loss days", US_national_yearly!$D:$AM, 34, FALSE) / VLOOKUP("buildings|NOx|Work loss days", US_national_yearly!$D:$AM, 10, FALSE), 1)</f>
        <v>4.2993259051531625E-2</v>
      </c>
      <c r="AA15" s="7">
        <f>$B15 * IFERROR(VLOOKUP("buildings|NOx|Work loss days", US_national_yearly!$D:$AM, 35, FALSE) / VLOOKUP("buildings|NOx|Work loss days", US_national_yearly!$D:$AM, 10, FALSE), 1)</f>
        <v>4.3245164384641391E-2</v>
      </c>
      <c r="AB15" s="7">
        <f>$B15 * IFERROR(VLOOKUP("buildings|NOx|Work loss days", US_national_yearly!$D:$AM, 36, FALSE) / VLOOKUP("buildings|NOx|Work loss days", US_national_yearly!$D:$AM, 10, FALSE), 1)</f>
        <v>4.3497069717751149E-2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7.2533998113365726E-5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7.4666504103212169E-5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7.6799010093058626E-5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7.8931516082905056E-5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8.1064022072751499E-5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8.3089863977940735E-5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8.511570588312997E-5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8.6820251834612475E-5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8.8524797786094966E-5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9.0229343737577457E-5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9.1933889689059948E-5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9.3638435640542426E-5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9.4704687359206411E-5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9.5770939077870356E-5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9.6837190796534328E-5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9.7903442515198287E-5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9.8969694233862245E-5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9.9456894982133384E-5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9.994409573040451E-5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1.0043129647867565E-4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1.0091849722694678E-4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1.0140569797521791E-4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1.0167725875312038E-4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1.0194881953102284E-4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1.0222038030892531E-4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1.0249194108682779E-4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1.0276350186473024E-4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8.7704166340754456E-4</v>
      </c>
      <c r="C2" s="7">
        <f>$B2 * IFERROR(VLOOKUP("buildings|SO2|Premature mortality", US_national_yearly!$D:$AM, 11, FALSE) / VLOOKUP("buildings|SO2|Premature mortality", US_national_yearly!$D:$AM, 10, FALSE), 1)</f>
        <v>8.8815238839565886E-4</v>
      </c>
      <c r="D2" s="7">
        <f>$B2 * IFERROR(VLOOKUP("buildings|SO2|Premature mortality", US_national_yearly!$D:$AM, 12, FALSE) / VLOOKUP("buildings|SO2|Premature mortality", US_national_yearly!$D:$AM, 10, FALSE), 1)</f>
        <v>8.9926311338377283E-4</v>
      </c>
      <c r="E2" s="7">
        <f>$B2 * IFERROR(VLOOKUP("buildings|SO2|Premature mortality", US_national_yearly!$D:$AM, 13, FALSE) / VLOOKUP("buildings|SO2|Premature mortality", US_national_yearly!$D:$AM, 10, FALSE), 1)</f>
        <v>9.1037383837188712E-4</v>
      </c>
      <c r="F2" s="7">
        <f>$B2 * IFERROR(VLOOKUP("buildings|SO2|Premature mortality", US_national_yearly!$D:$AM, 14, FALSE) / VLOOKUP("buildings|SO2|Premature mortality", US_national_yearly!$D:$AM, 10, FALSE), 1)</f>
        <v>9.2148456336000131E-4</v>
      </c>
      <c r="G2" s="7">
        <f>$B2 * IFERROR(VLOOKUP("buildings|SO2|Premature mortality", US_national_yearly!$D:$AM, 15, FALSE) / VLOOKUP("buildings|SO2|Premature mortality", US_national_yearly!$D:$AM, 10, FALSE), 1)</f>
        <v>9.4289267596653749E-4</v>
      </c>
      <c r="H2" s="7">
        <f>$B2 * IFERROR(VLOOKUP("buildings|SO2|Premature mortality", US_national_yearly!$D:$AM, 16, FALSE) / VLOOKUP("buildings|SO2|Premature mortality", US_national_yearly!$D:$AM, 10, FALSE), 1)</f>
        <v>9.6430078857307378E-4</v>
      </c>
      <c r="I2" s="7">
        <f>$B2 * IFERROR(VLOOKUP("buildings|SO2|Premature mortality", US_national_yearly!$D:$AM, 17, FALSE) / VLOOKUP("buildings|SO2|Premature mortality", US_national_yearly!$D:$AM, 10, FALSE), 1)</f>
        <v>9.7845570966389257E-4</v>
      </c>
      <c r="J2" s="7">
        <f>$B2 * IFERROR(VLOOKUP("buildings|SO2|Premature mortality", US_national_yearly!$D:$AM, 18, FALSE) / VLOOKUP("buildings|SO2|Premature mortality", US_national_yearly!$D:$AM, 10, FALSE), 1)</f>
        <v>9.9261063075471116E-4</v>
      </c>
      <c r="K2" s="7">
        <f>$B2 * IFERROR(VLOOKUP("buildings|SO2|Premature mortality", US_national_yearly!$D:$AM, 19, FALSE) / VLOOKUP("buildings|SO2|Premature mortality", US_national_yearly!$D:$AM, 10, FALSE), 1)</f>
        <v>1.0067655518455302E-3</v>
      </c>
      <c r="L2" s="7">
        <f>$B2 * IFERROR(VLOOKUP("buildings|SO2|Premature mortality", US_national_yearly!$D:$AM, 20, FALSE) / VLOOKUP("buildings|SO2|Premature mortality", US_national_yearly!$D:$AM, 10, FALSE), 1)</f>
        <v>1.0209204729363488E-3</v>
      </c>
      <c r="M2" s="7">
        <f>$B2 * IFERROR(VLOOKUP("buildings|SO2|Premature mortality", US_national_yearly!$D:$AM, 21, FALSE) / VLOOKUP("buildings|SO2|Premature mortality", US_national_yearly!$D:$AM, 10, FALSE), 1)</f>
        <v>1.0350753940271675E-3</v>
      </c>
      <c r="N2" s="7">
        <f>$B2 * IFERROR(VLOOKUP("buildings|SO2|Premature mortality", US_national_yearly!$D:$AM, 22, FALSE) / VLOOKUP("buildings|SO2|Premature mortality", US_national_yearly!$D:$AM, 10, FALSE), 1)</f>
        <v>1.0461327211814754E-3</v>
      </c>
      <c r="O2" s="7">
        <f>$B2 * IFERROR(VLOOKUP("buildings|SO2|Premature mortality", US_national_yearly!$D:$AM, 23, FALSE) / VLOOKUP("buildings|SO2|Premature mortality", US_national_yearly!$D:$AM, 10, FALSE), 1)</f>
        <v>1.0571900483357828E-3</v>
      </c>
      <c r="P2" s="7">
        <f>$B2 * IFERROR(VLOOKUP("buildings|SO2|Premature mortality", US_national_yearly!$D:$AM, 24, FALSE) / VLOOKUP("buildings|SO2|Premature mortality", US_national_yearly!$D:$AM, 10, FALSE), 1)</f>
        <v>1.0682473754900904E-3</v>
      </c>
      <c r="Q2" s="7">
        <f>$B2 * IFERROR(VLOOKUP("buildings|SO2|Premature mortality", US_national_yearly!$D:$AM, 25, FALSE) / VLOOKUP("buildings|SO2|Premature mortality", US_national_yearly!$D:$AM, 10, FALSE), 1)</f>
        <v>1.0793047026443979E-3</v>
      </c>
      <c r="R2" s="7">
        <f>$B2 * IFERROR(VLOOKUP("buildings|SO2|Premature mortality", US_national_yearly!$D:$AM, 26, FALSE) / VLOOKUP("buildings|SO2|Premature mortality", US_national_yearly!$D:$AM, 10, FALSE), 1)</f>
        <v>1.0903620297987055E-3</v>
      </c>
      <c r="S2" s="7">
        <f>$B2 * IFERROR(VLOOKUP("buildings|SO2|Premature mortality", US_national_yearly!$D:$AM, 27, FALSE) / VLOOKUP("buildings|SO2|Premature mortality", US_national_yearly!$D:$AM, 10, FALSE), 1)</f>
        <v>1.0962800375082177E-3</v>
      </c>
      <c r="T2" s="7">
        <f>$B2 * IFERROR(VLOOKUP("buildings|SO2|Premature mortality", US_national_yearly!$D:$AM, 28, FALSE) / VLOOKUP("buildings|SO2|Premature mortality", US_national_yearly!$D:$AM, 10, FALSE), 1)</f>
        <v>1.1021980452177301E-3</v>
      </c>
      <c r="U2" s="7">
        <f>$B2 * IFERROR(VLOOKUP("buildings|SO2|Premature mortality", US_national_yearly!$D:$AM, 29, FALSE) / VLOOKUP("buildings|SO2|Premature mortality", US_national_yearly!$D:$AM, 10, FALSE), 1)</f>
        <v>1.1081160529272424E-3</v>
      </c>
      <c r="V2" s="7">
        <f>$B2 * IFERROR(VLOOKUP("buildings|SO2|Premature mortality", US_national_yearly!$D:$AM, 30, FALSE) / VLOOKUP("buildings|SO2|Premature mortality", US_national_yearly!$D:$AM, 10, FALSE), 1)</f>
        <v>1.1140340606367546E-3</v>
      </c>
      <c r="W2" s="7">
        <f>$B2 * IFERROR(VLOOKUP("buildings|SO2|Premature mortality", US_national_yearly!$D:$AM, 31, FALSE) / VLOOKUP("buildings|SO2|Premature mortality", US_national_yearly!$D:$AM, 10, FALSE), 1)</f>
        <v>1.1199520683462668E-3</v>
      </c>
      <c r="X2" s="7">
        <f>$B2 * IFERROR(VLOOKUP("buildings|SO2|Premature mortality", US_national_yearly!$D:$AM, 32, FALSE) / VLOOKUP("buildings|SO2|Premature mortality", US_national_yearly!$D:$AM, 10, FALSE), 1)</f>
        <v>1.1211478903140604E-3</v>
      </c>
      <c r="Y2" s="7">
        <f>$B2 * IFERROR(VLOOKUP("buildings|SO2|Premature mortality", US_national_yearly!$D:$AM, 33, FALSE) / VLOOKUP("buildings|SO2|Premature mortality", US_national_yearly!$D:$AM, 10, FALSE), 1)</f>
        <v>1.1223437122818538E-3</v>
      </c>
      <c r="Z2" s="7">
        <f>$B2 * IFERROR(VLOOKUP("buildings|SO2|Premature mortality", US_national_yearly!$D:$AM, 34, FALSE) / VLOOKUP("buildings|SO2|Premature mortality", US_national_yearly!$D:$AM, 10, FALSE), 1)</f>
        <v>1.1235395342496469E-3</v>
      </c>
      <c r="AA2" s="7">
        <f>$B2 * IFERROR(VLOOKUP("buildings|SO2|Premature mortality", US_national_yearly!$D:$AM, 35, FALSE) / VLOOKUP("buildings|SO2|Premature mortality", US_national_yearly!$D:$AM, 10, FALSE), 1)</f>
        <v>1.1247353562174405E-3</v>
      </c>
      <c r="AB2" s="7">
        <f>$B2 * IFERROR(VLOOKUP("buildings|SO2|Premature mortality", US_national_yearly!$D:$AM, 36, FALSE) / VLOOKUP("buildings|SO2|Premature mortality", US_national_yearly!$D:$AM, 10, FALSE), 1)</f>
        <v>1.1259311781852339E-3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2.9737280250732026E-6</v>
      </c>
      <c r="C3" s="7">
        <f>$B3 * IFERROR(VLOOKUP("buildings|SO2|Infant mortality", US_national_yearly!$D:$AM, 11, FALSE) / VLOOKUP("buildings|SO2|Infant mortality", US_national_yearly!$D:$AM, 10, FALSE), 1)</f>
        <v>2.9482389912574638E-6</v>
      </c>
      <c r="D3" s="7">
        <f>$B3 * IFERROR(VLOOKUP("buildings|SO2|Infant mortality", US_national_yearly!$D:$AM, 12, FALSE) / VLOOKUP("buildings|SO2|Infant mortality", US_national_yearly!$D:$AM, 10, FALSE), 1)</f>
        <v>2.922749957441725E-6</v>
      </c>
      <c r="E3" s="7">
        <f>$B3 * IFERROR(VLOOKUP("buildings|SO2|Infant mortality", US_national_yearly!$D:$AM, 13, FALSE) / VLOOKUP("buildings|SO2|Infant mortality", US_national_yearly!$D:$AM, 10, FALSE), 1)</f>
        <v>2.8972609236259866E-6</v>
      </c>
      <c r="F3" s="7">
        <f>$B3 * IFERROR(VLOOKUP("buildings|SO2|Infant mortality", US_national_yearly!$D:$AM, 14, FALSE) / VLOOKUP("buildings|SO2|Infant mortality", US_national_yearly!$D:$AM, 10, FALSE), 1)</f>
        <v>2.8717718898102482E-6</v>
      </c>
      <c r="G3" s="7">
        <f>$B3 * IFERROR(VLOOKUP("buildings|SO2|Infant mortality", US_national_yearly!$D:$AM, 15, FALSE) / VLOOKUP("buildings|SO2|Infant mortality", US_national_yearly!$D:$AM, 10, FALSE), 1)</f>
        <v>1.9124863083636035E-6</v>
      </c>
      <c r="H3" s="7">
        <f>$B3 * IFERROR(VLOOKUP("buildings|SO2|Infant mortality", US_national_yearly!$D:$AM, 16, FALSE) / VLOOKUP("buildings|SO2|Infant mortality", US_national_yearly!$D:$AM, 10, FALSE), 1)</f>
        <v>9.532007269169584E-7</v>
      </c>
      <c r="I3" s="7">
        <f>$B3 * IFERROR(VLOOKUP("buildings|SO2|Infant mortality", US_national_yearly!$D:$AM, 17, FALSE) / VLOOKUP("buildings|SO2|Infant mortality", US_national_yearly!$D:$AM, 10, FALSE), 1)</f>
        <v>9.4722024029435872E-7</v>
      </c>
      <c r="J3" s="7">
        <f>$B3 * IFERROR(VLOOKUP("buildings|SO2|Infant mortality", US_national_yearly!$D:$AM, 18, FALSE) / VLOOKUP("buildings|SO2|Infant mortality", US_national_yearly!$D:$AM, 10, FALSE), 1)</f>
        <v>9.4123975367175905E-7</v>
      </c>
      <c r="K3" s="7">
        <f>$B3 * IFERROR(VLOOKUP("buildings|SO2|Infant mortality", US_national_yearly!$D:$AM, 19, FALSE) / VLOOKUP("buildings|SO2|Infant mortality", US_national_yearly!$D:$AM, 10, FALSE), 1)</f>
        <v>9.3525926704915937E-7</v>
      </c>
      <c r="L3" s="7">
        <f>$B3 * IFERROR(VLOOKUP("buildings|SO2|Infant mortality", US_national_yearly!$D:$AM, 20, FALSE) / VLOOKUP("buildings|SO2|Infant mortality", US_national_yearly!$D:$AM, 10, FALSE), 1)</f>
        <v>9.2927878042655959E-7</v>
      </c>
      <c r="M3" s="7">
        <f>$B3 * IFERROR(VLOOKUP("buildings|SO2|Infant mortality", US_national_yearly!$D:$AM, 21, FALSE) / VLOOKUP("buildings|SO2|Infant mortality", US_national_yearly!$D:$AM, 10, FALSE), 1)</f>
        <v>9.2329829380396002E-7</v>
      </c>
      <c r="N3" s="7">
        <f>$B3 * IFERROR(VLOOKUP("buildings|SO2|Infant mortality", US_national_yearly!$D:$AM, 22, FALSE) / VLOOKUP("buildings|SO2|Infant mortality", US_national_yearly!$D:$AM, 10, FALSE), 1)</f>
        <v>9.1954916401078716E-7</v>
      </c>
      <c r="O3" s="7">
        <f>$B3 * IFERROR(VLOOKUP("buildings|SO2|Infant mortality", US_national_yearly!$D:$AM, 23, FALSE) / VLOOKUP("buildings|SO2|Infant mortality", US_national_yearly!$D:$AM, 10, FALSE), 1)</f>
        <v>9.1580003421761441E-7</v>
      </c>
      <c r="P3" s="7">
        <f>$B3 * IFERROR(VLOOKUP("buildings|SO2|Infant mortality", US_national_yearly!$D:$AM, 24, FALSE) / VLOOKUP("buildings|SO2|Infant mortality", US_national_yearly!$D:$AM, 10, FALSE), 1)</f>
        <v>9.1205090442444155E-7</v>
      </c>
      <c r="Q3" s="7">
        <f>$B3 * IFERROR(VLOOKUP("buildings|SO2|Infant mortality", US_national_yearly!$D:$AM, 25, FALSE) / VLOOKUP("buildings|SO2|Infant mortality", US_national_yearly!$D:$AM, 10, FALSE), 1)</f>
        <v>9.083017746312687E-7</v>
      </c>
      <c r="R3" s="7">
        <f>$B3 * IFERROR(VLOOKUP("buildings|SO2|Infant mortality", US_national_yearly!$D:$AM, 26, FALSE) / VLOOKUP("buildings|SO2|Infant mortality", US_national_yearly!$D:$AM, 10, FALSE), 1)</f>
        <v>9.0455264483809595E-7</v>
      </c>
      <c r="S3" s="7">
        <f>$B3 * IFERROR(VLOOKUP("buildings|SO2|Infant mortality", US_national_yearly!$D:$AM, 27, FALSE) / VLOOKUP("buildings|SO2|Infant mortality", US_national_yearly!$D:$AM, 10, FALSE), 1)</f>
        <v>8.9984492640823004E-7</v>
      </c>
      <c r="T3" s="7">
        <f>$B3 * IFERROR(VLOOKUP("buildings|SO2|Infant mortality", US_national_yearly!$D:$AM, 28, FALSE) / VLOOKUP("buildings|SO2|Infant mortality", US_national_yearly!$D:$AM, 10, FALSE), 1)</f>
        <v>8.9513720797836423E-7</v>
      </c>
      <c r="U3" s="7">
        <f>$B3 * IFERROR(VLOOKUP("buildings|SO2|Infant mortality", US_national_yearly!$D:$AM, 29, FALSE) / VLOOKUP("buildings|SO2|Infant mortality", US_national_yearly!$D:$AM, 10, FALSE), 1)</f>
        <v>8.9042948954849832E-7</v>
      </c>
      <c r="V3" s="7">
        <f>$B3 * IFERROR(VLOOKUP("buildings|SO2|Infant mortality", US_national_yearly!$D:$AM, 30, FALSE) / VLOOKUP("buildings|SO2|Infant mortality", US_national_yearly!$D:$AM, 10, FALSE), 1)</f>
        <v>8.8572177111863251E-7</v>
      </c>
      <c r="W3" s="7">
        <f>$B3 * IFERROR(VLOOKUP("buildings|SO2|Infant mortality", US_national_yearly!$D:$AM, 31, FALSE) / VLOOKUP("buildings|SO2|Infant mortality", US_national_yearly!$D:$AM, 10, FALSE), 1)</f>
        <v>8.8101405268876659E-7</v>
      </c>
      <c r="X3" s="7">
        <f>$B3 * IFERROR(VLOOKUP("buildings|SO2|Infant mortality", US_national_yearly!$D:$AM, 32, FALSE) / VLOOKUP("buildings|SO2|Infant mortality", US_national_yearly!$D:$AM, 10, FALSE), 1)</f>
        <v>8.7587247821793666E-7</v>
      </c>
      <c r="Y3" s="7">
        <f>$B3 * IFERROR(VLOOKUP("buildings|SO2|Infant mortality", US_national_yearly!$D:$AM, 33, FALSE) / VLOOKUP("buildings|SO2|Infant mortality", US_national_yearly!$D:$AM, 10, FALSE), 1)</f>
        <v>8.7073090374710673E-7</v>
      </c>
      <c r="Z3" s="7">
        <f>$B3 * IFERROR(VLOOKUP("buildings|SO2|Infant mortality", US_national_yearly!$D:$AM, 34, FALSE) / VLOOKUP("buildings|SO2|Infant mortality", US_national_yearly!$D:$AM, 10, FALSE), 1)</f>
        <v>8.6558932927627691E-7</v>
      </c>
      <c r="AA3" s="7">
        <f>$B3 * IFERROR(VLOOKUP("buildings|SO2|Infant mortality", US_national_yearly!$D:$AM, 35, FALSE) / VLOOKUP("buildings|SO2|Infant mortality", US_national_yearly!$D:$AM, 10, FALSE), 1)</f>
        <v>8.6044775480544676E-7</v>
      </c>
      <c r="AB3" s="7">
        <f>$B3 * IFERROR(VLOOKUP("buildings|SO2|Infant mortality", US_national_yearly!$D:$AM, 36, FALSE) / VLOOKUP("buildings|SO2|Infant mortality", US_national_yearly!$D:$AM, 10, FALSE), 1)</f>
        <v>8.5530618033461704E-7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2.3334899957670103E-3</v>
      </c>
      <c r="C6" s="7">
        <f>$B6 * IFERROR(VLOOKUP("buildings|SO2|Asthma symptoms cough", US_national_yearly!$D:$AM, 11, FALSE) / VLOOKUP("buildings|SO2|Asthma symptoms cough", US_national_yearly!$D:$AM, 10, FALSE), 1)</f>
        <v>2.3334899957670103E-3</v>
      </c>
      <c r="D6" s="7">
        <f>$B6 * IFERROR(VLOOKUP("buildings|SO2|Asthma symptoms cough", US_national_yearly!$D:$AM, 12, FALSE) / VLOOKUP("buildings|SO2|Asthma symptoms cough", US_national_yearly!$D:$AM, 10, FALSE), 1)</f>
        <v>2.3334899957670103E-3</v>
      </c>
      <c r="E6" s="7">
        <f>$B6 * IFERROR(VLOOKUP("buildings|SO2|Asthma symptoms cough", US_national_yearly!$D:$AM, 13, FALSE) / VLOOKUP("buildings|SO2|Asthma symptoms cough", US_national_yearly!$D:$AM, 10, FALSE), 1)</f>
        <v>2.3334899957670103E-3</v>
      </c>
      <c r="F6" s="7">
        <f>$B6 * IFERROR(VLOOKUP("buildings|SO2|Asthma symptoms cough", US_national_yearly!$D:$AM, 14, FALSE) / VLOOKUP("buildings|SO2|Asthma symptoms cough", US_national_yearly!$D:$AM, 10, FALSE), 1)</f>
        <v>2.3334899957670103E-3</v>
      </c>
      <c r="G6" s="7">
        <f>$B6 * IFERROR(VLOOKUP("buildings|SO2|Asthma symptoms cough", US_national_yearly!$D:$AM, 15, FALSE) / VLOOKUP("buildings|SO2|Asthma symptoms cough", US_national_yearly!$D:$AM, 10, FALSE), 1)</f>
        <v>2.3334899957670103E-3</v>
      </c>
      <c r="H6" s="7">
        <f>$B6 * IFERROR(VLOOKUP("buildings|SO2|Asthma symptoms cough", US_national_yearly!$D:$AM, 16, FALSE) / VLOOKUP("buildings|SO2|Asthma symptoms cough", US_national_yearly!$D:$AM, 10, FALSE), 1)</f>
        <v>2.3334899957670103E-3</v>
      </c>
      <c r="I6" s="7">
        <f>$B6 * IFERROR(VLOOKUP("buildings|SO2|Asthma symptoms cough", US_national_yearly!$D:$AM, 17, FALSE) / VLOOKUP("buildings|SO2|Asthma symptoms cough", US_national_yearly!$D:$AM, 10, FALSE), 1)</f>
        <v>2.3334899957670103E-3</v>
      </c>
      <c r="J6" s="7">
        <f>$B6 * IFERROR(VLOOKUP("buildings|SO2|Asthma symptoms cough", US_national_yearly!$D:$AM, 18, FALSE) / VLOOKUP("buildings|SO2|Asthma symptoms cough", US_national_yearly!$D:$AM, 10, FALSE), 1)</f>
        <v>2.3334899957670103E-3</v>
      </c>
      <c r="K6" s="7">
        <f>$B6 * IFERROR(VLOOKUP("buildings|SO2|Asthma symptoms cough", US_national_yearly!$D:$AM, 19, FALSE) / VLOOKUP("buildings|SO2|Asthma symptoms cough", US_national_yearly!$D:$AM, 10, FALSE), 1)</f>
        <v>2.3334899957670103E-3</v>
      </c>
      <c r="L6" s="7">
        <f>$B6 * IFERROR(VLOOKUP("buildings|SO2|Asthma symptoms cough", US_national_yearly!$D:$AM, 20, FALSE) / VLOOKUP("buildings|SO2|Asthma symptoms cough", US_national_yearly!$D:$AM, 10, FALSE), 1)</f>
        <v>2.3334899957670103E-3</v>
      </c>
      <c r="M6" s="7">
        <f>$B6 * IFERROR(VLOOKUP("buildings|SO2|Asthma symptoms cough", US_national_yearly!$D:$AM, 21, FALSE) / VLOOKUP("buildings|SO2|Asthma symptoms cough", US_national_yearly!$D:$AM, 10, FALSE), 1)</f>
        <v>2.3334899957670103E-3</v>
      </c>
      <c r="N6" s="7">
        <f>$B6 * IFERROR(VLOOKUP("buildings|SO2|Asthma symptoms cough", US_national_yearly!$D:$AM, 22, FALSE) / VLOOKUP("buildings|SO2|Asthma symptoms cough", US_national_yearly!$D:$AM, 10, FALSE), 1)</f>
        <v>2.3334899957670103E-3</v>
      </c>
      <c r="O6" s="7">
        <f>$B6 * IFERROR(VLOOKUP("buildings|SO2|Asthma symptoms cough", US_national_yearly!$D:$AM, 23, FALSE) / VLOOKUP("buildings|SO2|Asthma symptoms cough", US_national_yearly!$D:$AM, 10, FALSE), 1)</f>
        <v>2.3334899957670103E-3</v>
      </c>
      <c r="P6" s="7">
        <f>$B6 * IFERROR(VLOOKUP("buildings|SO2|Asthma symptoms cough", US_national_yearly!$D:$AM, 24, FALSE) / VLOOKUP("buildings|SO2|Asthma symptoms cough", US_national_yearly!$D:$AM, 10, FALSE), 1)</f>
        <v>2.3334899957670103E-3</v>
      </c>
      <c r="Q6" s="7">
        <f>$B6 * IFERROR(VLOOKUP("buildings|SO2|Asthma symptoms cough", US_national_yearly!$D:$AM, 25, FALSE) / VLOOKUP("buildings|SO2|Asthma symptoms cough", US_national_yearly!$D:$AM, 10, FALSE), 1)</f>
        <v>2.3334899957670103E-3</v>
      </c>
      <c r="R6" s="7">
        <f>$B6 * IFERROR(VLOOKUP("buildings|SO2|Asthma symptoms cough", US_national_yearly!$D:$AM, 26, FALSE) / VLOOKUP("buildings|SO2|Asthma symptoms cough", US_national_yearly!$D:$AM, 10, FALSE), 1)</f>
        <v>2.3334899957670103E-3</v>
      </c>
      <c r="S6" s="7">
        <f>$B6 * IFERROR(VLOOKUP("buildings|SO2|Asthma symptoms cough", US_national_yearly!$D:$AM, 27, FALSE) / VLOOKUP("buildings|SO2|Asthma symptoms cough", US_national_yearly!$D:$AM, 10, FALSE), 1)</f>
        <v>2.3334899957670103E-3</v>
      </c>
      <c r="T6" s="7">
        <f>$B6 * IFERROR(VLOOKUP("buildings|SO2|Asthma symptoms cough", US_national_yearly!$D:$AM, 28, FALSE) / VLOOKUP("buildings|SO2|Asthma symptoms cough", US_national_yearly!$D:$AM, 10, FALSE), 1)</f>
        <v>2.3334899957670103E-3</v>
      </c>
      <c r="U6" s="7">
        <f>$B6 * IFERROR(VLOOKUP("buildings|SO2|Asthma symptoms cough", US_national_yearly!$D:$AM, 29, FALSE) / VLOOKUP("buildings|SO2|Asthma symptoms cough", US_national_yearly!$D:$AM, 10, FALSE), 1)</f>
        <v>2.3334899957670103E-3</v>
      </c>
      <c r="V6" s="7">
        <f>$B6 * IFERROR(VLOOKUP("buildings|SO2|Asthma symptoms cough", US_national_yearly!$D:$AM, 30, FALSE) / VLOOKUP("buildings|SO2|Asthma symptoms cough", US_national_yearly!$D:$AM, 10, FALSE), 1)</f>
        <v>2.3334899957670103E-3</v>
      </c>
      <c r="W6" s="7">
        <f>$B6 * IFERROR(VLOOKUP("buildings|SO2|Asthma symptoms cough", US_national_yearly!$D:$AM, 31, FALSE) / VLOOKUP("buildings|SO2|Asthma symptoms cough", US_national_yearly!$D:$AM, 10, FALSE), 1)</f>
        <v>2.3334899957670103E-3</v>
      </c>
      <c r="X6" s="7">
        <f>$B6 * IFERROR(VLOOKUP("buildings|SO2|Asthma symptoms cough", US_national_yearly!$D:$AM, 32, FALSE) / VLOOKUP("buildings|SO2|Asthma symptoms cough", US_national_yearly!$D:$AM, 10, FALSE), 1)</f>
        <v>2.3334899957670103E-3</v>
      </c>
      <c r="Y6" s="7">
        <f>$B6 * IFERROR(VLOOKUP("buildings|SO2|Asthma symptoms cough", US_national_yearly!$D:$AM, 33, FALSE) / VLOOKUP("buildings|SO2|Asthma symptoms cough", US_national_yearly!$D:$AM, 10, FALSE), 1)</f>
        <v>2.3334899957670103E-3</v>
      </c>
      <c r="Z6" s="7">
        <f>$B6 * IFERROR(VLOOKUP("buildings|SO2|Asthma symptoms cough", US_national_yearly!$D:$AM, 34, FALSE) / VLOOKUP("buildings|SO2|Asthma symptoms cough", US_national_yearly!$D:$AM, 10, FALSE), 1)</f>
        <v>2.3334899957670103E-3</v>
      </c>
      <c r="AA6" s="7">
        <f>$B6 * IFERROR(VLOOKUP("buildings|SO2|Asthma symptoms cough", US_national_yearly!$D:$AM, 35, FALSE) / VLOOKUP("buildings|SO2|Asthma symptoms cough", US_national_yearly!$D:$AM, 10, FALSE), 1)</f>
        <v>2.3334899957670103E-3</v>
      </c>
      <c r="AB6" s="7">
        <f>$B6 * IFERROR(VLOOKUP("buildings|SO2|Asthma symptoms cough", US_national_yearly!$D:$AM, 36, FALSE) / VLOOKUP("buildings|SO2|Asthma symptoms cough", US_national_yearly!$D:$AM, 10, FALSE), 1)</f>
        <v>2.3334899957670103E-3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3.1423869110935036E-3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3.1423869110935036E-3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3.1423869110935036E-3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3.1423869110935036E-3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3.1423869110935036E-3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3.1423869110935036E-3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3.1423869110935036E-3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3.1423869110935036E-3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3.1423869110935036E-3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3.1423869110935036E-3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3.1423869110935036E-3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3.1423869110935036E-3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3.1423869110935036E-3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3.1423869110935036E-3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3.1423869110935036E-3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3.1423869110935036E-3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3.1423869110935036E-3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3.1423869110935036E-3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3.1423869110935036E-3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3.1423869110935036E-3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3.1423869110935036E-3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3.1423869110935036E-3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3.1423869110935036E-3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3.1423869110935036E-3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3.1423869110935036E-3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3.1423869110935036E-3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3.1423869110935036E-3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4.8010198803754723E-3</v>
      </c>
      <c r="C8" s="7">
        <f>$B8 * IFERROR(VLOOKUP("buildings|SO2|Asthma symptoms wheeze", US_national_yearly!$D:$AM, 11, FALSE) / VLOOKUP("buildings|SO2|Asthma symptoms wheeze", US_national_yearly!$D:$AM, 10, FALSE), 1)</f>
        <v>4.8010198803754723E-3</v>
      </c>
      <c r="D8" s="7">
        <f>$B8 * IFERROR(VLOOKUP("buildings|SO2|Asthma symptoms wheeze", US_national_yearly!$D:$AM, 12, FALSE) / VLOOKUP("buildings|SO2|Asthma symptoms wheeze", US_national_yearly!$D:$AM, 10, FALSE), 1)</f>
        <v>4.8010198803754723E-3</v>
      </c>
      <c r="E8" s="7">
        <f>$B8 * IFERROR(VLOOKUP("buildings|SO2|Asthma symptoms wheeze", US_national_yearly!$D:$AM, 13, FALSE) / VLOOKUP("buildings|SO2|Asthma symptoms wheeze", US_national_yearly!$D:$AM, 10, FALSE), 1)</f>
        <v>4.8010198803754723E-3</v>
      </c>
      <c r="F8" s="7">
        <f>$B8 * IFERROR(VLOOKUP("buildings|SO2|Asthma symptoms wheeze", US_national_yearly!$D:$AM, 14, FALSE) / VLOOKUP("buildings|SO2|Asthma symptoms wheeze", US_national_yearly!$D:$AM, 10, FALSE), 1)</f>
        <v>4.8010198803754723E-3</v>
      </c>
      <c r="G8" s="7">
        <f>$B8 * IFERROR(VLOOKUP("buildings|SO2|Asthma symptoms wheeze", US_national_yearly!$D:$AM, 15, FALSE) / VLOOKUP("buildings|SO2|Asthma symptoms wheeze", US_national_yearly!$D:$AM, 10, FALSE), 1)</f>
        <v>4.8010198803754723E-3</v>
      </c>
      <c r="H8" s="7">
        <f>$B8 * IFERROR(VLOOKUP("buildings|SO2|Asthma symptoms wheeze", US_national_yearly!$D:$AM, 16, FALSE) / VLOOKUP("buildings|SO2|Asthma symptoms wheeze", US_national_yearly!$D:$AM, 10, FALSE), 1)</f>
        <v>4.8010198803754723E-3</v>
      </c>
      <c r="I8" s="7">
        <f>$B8 * IFERROR(VLOOKUP("buildings|SO2|Asthma symptoms wheeze", US_national_yearly!$D:$AM, 17, FALSE) / VLOOKUP("buildings|SO2|Asthma symptoms wheeze", US_national_yearly!$D:$AM, 10, FALSE), 1)</f>
        <v>4.8010198803754723E-3</v>
      </c>
      <c r="J8" s="7">
        <f>$B8 * IFERROR(VLOOKUP("buildings|SO2|Asthma symptoms wheeze", US_national_yearly!$D:$AM, 18, FALSE) / VLOOKUP("buildings|SO2|Asthma symptoms wheeze", US_national_yearly!$D:$AM, 10, FALSE), 1)</f>
        <v>4.8010198803754723E-3</v>
      </c>
      <c r="K8" s="7">
        <f>$B8 * IFERROR(VLOOKUP("buildings|SO2|Asthma symptoms wheeze", US_national_yearly!$D:$AM, 19, FALSE) / VLOOKUP("buildings|SO2|Asthma symptoms wheeze", US_national_yearly!$D:$AM, 10, FALSE), 1)</f>
        <v>4.8010198803754723E-3</v>
      </c>
      <c r="L8" s="7">
        <f>$B8 * IFERROR(VLOOKUP("buildings|SO2|Asthma symptoms wheeze", US_national_yearly!$D:$AM, 20, FALSE) / VLOOKUP("buildings|SO2|Asthma symptoms wheeze", US_national_yearly!$D:$AM, 10, FALSE), 1)</f>
        <v>4.8010198803754723E-3</v>
      </c>
      <c r="M8" s="7">
        <f>$B8 * IFERROR(VLOOKUP("buildings|SO2|Asthma symptoms wheeze", US_national_yearly!$D:$AM, 21, FALSE) / VLOOKUP("buildings|SO2|Asthma symptoms wheeze", US_national_yearly!$D:$AM, 10, FALSE), 1)</f>
        <v>4.8010198803754723E-3</v>
      </c>
      <c r="N8" s="7">
        <f>$B8 * IFERROR(VLOOKUP("buildings|SO2|Asthma symptoms wheeze", US_national_yearly!$D:$AM, 22, FALSE) / VLOOKUP("buildings|SO2|Asthma symptoms wheeze", US_national_yearly!$D:$AM, 10, FALSE), 1)</f>
        <v>4.8010198803754723E-3</v>
      </c>
      <c r="O8" s="7">
        <f>$B8 * IFERROR(VLOOKUP("buildings|SO2|Asthma symptoms wheeze", US_national_yearly!$D:$AM, 23, FALSE) / VLOOKUP("buildings|SO2|Asthma symptoms wheeze", US_national_yearly!$D:$AM, 10, FALSE), 1)</f>
        <v>4.8010198803754723E-3</v>
      </c>
      <c r="P8" s="7">
        <f>$B8 * IFERROR(VLOOKUP("buildings|SO2|Asthma symptoms wheeze", US_national_yearly!$D:$AM, 24, FALSE) / VLOOKUP("buildings|SO2|Asthma symptoms wheeze", US_national_yearly!$D:$AM, 10, FALSE), 1)</f>
        <v>4.8010198803754723E-3</v>
      </c>
      <c r="Q8" s="7">
        <f>$B8 * IFERROR(VLOOKUP("buildings|SO2|Asthma symptoms wheeze", US_national_yearly!$D:$AM, 25, FALSE) / VLOOKUP("buildings|SO2|Asthma symptoms wheeze", US_national_yearly!$D:$AM, 10, FALSE), 1)</f>
        <v>4.8010198803754723E-3</v>
      </c>
      <c r="R8" s="7">
        <f>$B8 * IFERROR(VLOOKUP("buildings|SO2|Asthma symptoms wheeze", US_national_yearly!$D:$AM, 26, FALSE) / VLOOKUP("buildings|SO2|Asthma symptoms wheeze", US_national_yearly!$D:$AM, 10, FALSE), 1)</f>
        <v>4.8010198803754723E-3</v>
      </c>
      <c r="S8" s="7">
        <f>$B8 * IFERROR(VLOOKUP("buildings|SO2|Asthma symptoms wheeze", US_national_yearly!$D:$AM, 27, FALSE) / VLOOKUP("buildings|SO2|Asthma symptoms wheeze", US_national_yearly!$D:$AM, 10, FALSE), 1)</f>
        <v>4.8010198803754723E-3</v>
      </c>
      <c r="T8" s="7">
        <f>$B8 * IFERROR(VLOOKUP("buildings|SO2|Asthma symptoms wheeze", US_national_yearly!$D:$AM, 28, FALSE) / VLOOKUP("buildings|SO2|Asthma symptoms wheeze", US_national_yearly!$D:$AM, 10, FALSE), 1)</f>
        <v>4.8010198803754723E-3</v>
      </c>
      <c r="U8" s="7">
        <f>$B8 * IFERROR(VLOOKUP("buildings|SO2|Asthma symptoms wheeze", US_national_yearly!$D:$AM, 29, FALSE) / VLOOKUP("buildings|SO2|Asthma symptoms wheeze", US_national_yearly!$D:$AM, 10, FALSE), 1)</f>
        <v>4.8010198803754723E-3</v>
      </c>
      <c r="V8" s="7">
        <f>$B8 * IFERROR(VLOOKUP("buildings|SO2|Asthma symptoms wheeze", US_national_yearly!$D:$AM, 30, FALSE) / VLOOKUP("buildings|SO2|Asthma symptoms wheeze", US_national_yearly!$D:$AM, 10, FALSE), 1)</f>
        <v>4.8010198803754723E-3</v>
      </c>
      <c r="W8" s="7">
        <f>$B8 * IFERROR(VLOOKUP("buildings|SO2|Asthma symptoms wheeze", US_national_yearly!$D:$AM, 31, FALSE) / VLOOKUP("buildings|SO2|Asthma symptoms wheeze", US_national_yearly!$D:$AM, 10, FALSE), 1)</f>
        <v>4.8010198803754723E-3</v>
      </c>
      <c r="X8" s="7">
        <f>$B8 * IFERROR(VLOOKUP("buildings|SO2|Asthma symptoms wheeze", US_national_yearly!$D:$AM, 32, FALSE) / VLOOKUP("buildings|SO2|Asthma symptoms wheeze", US_national_yearly!$D:$AM, 10, FALSE), 1)</f>
        <v>4.8010198803754723E-3</v>
      </c>
      <c r="Y8" s="7">
        <f>$B8 * IFERROR(VLOOKUP("buildings|SO2|Asthma symptoms wheeze", US_national_yearly!$D:$AM, 33, FALSE) / VLOOKUP("buildings|SO2|Asthma symptoms wheeze", US_national_yearly!$D:$AM, 10, FALSE), 1)</f>
        <v>4.8010198803754723E-3</v>
      </c>
      <c r="Z8" s="7">
        <f>$B8 * IFERROR(VLOOKUP("buildings|SO2|Asthma symptoms wheeze", US_national_yearly!$D:$AM, 34, FALSE) / VLOOKUP("buildings|SO2|Asthma symptoms wheeze", US_national_yearly!$D:$AM, 10, FALSE), 1)</f>
        <v>4.8010198803754723E-3</v>
      </c>
      <c r="AA8" s="7">
        <f>$B8 * IFERROR(VLOOKUP("buildings|SO2|Asthma symptoms wheeze", US_national_yearly!$D:$AM, 35, FALSE) / VLOOKUP("buildings|SO2|Asthma symptoms wheeze", US_national_yearly!$D:$AM, 10, FALSE), 1)</f>
        <v>4.8010198803754723E-3</v>
      </c>
      <c r="AB8" s="7">
        <f>$B8 * IFERROR(VLOOKUP("buildings|SO2|Asthma symptoms wheeze", US_national_yearly!$D:$AM, 36, FALSE) / VLOOKUP("buildings|SO2|Asthma symptoms wheeze", US_national_yearly!$D:$AM, 10, FALSE), 1)</f>
        <v>4.8010198803754723E-3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6.0854330536717351E-5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6.1213759521311714E-5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6.1573188505906077E-5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6.1932617490500453E-5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6.2292046475094802E-5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6.2683778785282691E-5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6.3075511095470581E-5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6.3461018904685103E-5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6.3846526713899626E-5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6.4232034523114149E-5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6.4617542332328672E-5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6.5003050141543208E-5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6.5284534659521823E-5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6.5566019177500437E-5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6.5847503695479065E-5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6.612898821345768E-5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6.6410472731436295E-5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6.6678871523474971E-5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6.6947270315513647E-5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6.7215669107552309E-5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6.7484067899590985E-5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6.7752466691629662E-5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6.8007515572999469E-5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6.826256445436929E-5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6.8517613335739098E-5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6.8772662217108906E-5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6.9027711098478741E-5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3.4054215170814577E-4</v>
      </c>
      <c r="C13" s="7">
        <f>$B13 * IFERROR(VLOOKUP("buildings|SO2|Non-fatal heart attacks", US_national_yearly!$D:$AM, 11, FALSE) / VLOOKUP("buildings|SO2|Non-fatal heart attacks", US_national_yearly!$D:$AM, 10, FALSE), 1)</f>
        <v>3.5054246449474748E-4</v>
      </c>
      <c r="D13" s="7">
        <f>$B13 * IFERROR(VLOOKUP("buildings|SO2|Non-fatal heart attacks", US_national_yearly!$D:$AM, 12, FALSE) / VLOOKUP("buildings|SO2|Non-fatal heart attacks", US_national_yearly!$D:$AM, 10, FALSE), 1)</f>
        <v>3.6054277728134914E-4</v>
      </c>
      <c r="E13" s="7">
        <f>$B13 * IFERROR(VLOOKUP("buildings|SO2|Non-fatal heart attacks", US_national_yearly!$D:$AM, 13, FALSE) / VLOOKUP("buildings|SO2|Non-fatal heart attacks", US_national_yearly!$D:$AM, 10, FALSE), 1)</f>
        <v>3.705430900679508E-4</v>
      </c>
      <c r="F13" s="7">
        <f>$B13 * IFERROR(VLOOKUP("buildings|SO2|Non-fatal heart attacks", US_national_yearly!$D:$AM, 14, FALSE) / VLOOKUP("buildings|SO2|Non-fatal heart attacks", US_national_yearly!$D:$AM, 10, FALSE), 1)</f>
        <v>3.8054340285455251E-4</v>
      </c>
      <c r="G13" s="7">
        <f>$B13 * IFERROR(VLOOKUP("buildings|SO2|Non-fatal heart attacks", US_national_yearly!$D:$AM, 15, FALSE) / VLOOKUP("buildings|SO2|Non-fatal heart attacks", US_national_yearly!$D:$AM, 10, FALSE), 1)</f>
        <v>3.8997531066568543E-4</v>
      </c>
      <c r="H13" s="7">
        <f>$B13 * IFERROR(VLOOKUP("buildings|SO2|Non-fatal heart attacks", US_national_yearly!$D:$AM, 16, FALSE) / VLOOKUP("buildings|SO2|Non-fatal heart attacks", US_national_yearly!$D:$AM, 10, FALSE), 1)</f>
        <v>3.994072184768184E-4</v>
      </c>
      <c r="I13" s="7">
        <f>$B13 * IFERROR(VLOOKUP("buildings|SO2|Non-fatal heart attacks", US_national_yearly!$D:$AM, 17, FALSE) / VLOOKUP("buildings|SO2|Non-fatal heart attacks", US_national_yearly!$D:$AM, 10, FALSE), 1)</f>
        <v>4.0699927908237576E-4</v>
      </c>
      <c r="J13" s="7">
        <f>$B13 * IFERROR(VLOOKUP("buildings|SO2|Non-fatal heart attacks", US_national_yearly!$D:$AM, 18, FALSE) / VLOOKUP("buildings|SO2|Non-fatal heart attacks", US_national_yearly!$D:$AM, 10, FALSE), 1)</f>
        <v>4.1459133968793318E-4</v>
      </c>
      <c r="K13" s="7">
        <f>$B13 * IFERROR(VLOOKUP("buildings|SO2|Non-fatal heart attacks", US_national_yearly!$D:$AM, 19, FALSE) / VLOOKUP("buildings|SO2|Non-fatal heart attacks", US_national_yearly!$D:$AM, 10, FALSE), 1)</f>
        <v>4.2218340029349059E-4</v>
      </c>
      <c r="L13" s="7">
        <f>$B13 * IFERROR(VLOOKUP("buildings|SO2|Non-fatal heart attacks", US_national_yearly!$D:$AM, 20, FALSE) / VLOOKUP("buildings|SO2|Non-fatal heart attacks", US_national_yearly!$D:$AM, 10, FALSE), 1)</f>
        <v>4.2977546089904806E-4</v>
      </c>
      <c r="M13" s="7">
        <f>$B13 * IFERROR(VLOOKUP("buildings|SO2|Non-fatal heart attacks", US_national_yearly!$D:$AM, 21, FALSE) / VLOOKUP("buildings|SO2|Non-fatal heart attacks", US_national_yearly!$D:$AM, 10, FALSE), 1)</f>
        <v>4.3736752150460548E-4</v>
      </c>
      <c r="N13" s="7">
        <f>$B13 * IFERROR(VLOOKUP("buildings|SO2|Non-fatal heart attacks", US_national_yearly!$D:$AM, 22, FALSE) / VLOOKUP("buildings|SO2|Non-fatal heart attacks", US_national_yearly!$D:$AM, 10, FALSE), 1)</f>
        <v>4.4229512176089444E-4</v>
      </c>
      <c r="O13" s="7">
        <f>$B13 * IFERROR(VLOOKUP("buildings|SO2|Non-fatal heart attacks", US_national_yearly!$D:$AM, 23, FALSE) / VLOOKUP("buildings|SO2|Non-fatal heart attacks", US_national_yearly!$D:$AM, 10, FALSE), 1)</f>
        <v>4.472227220171835E-4</v>
      </c>
      <c r="P13" s="7">
        <f>$B13 * IFERROR(VLOOKUP("buildings|SO2|Non-fatal heart attacks", US_national_yearly!$D:$AM, 24, FALSE) / VLOOKUP("buildings|SO2|Non-fatal heart attacks", US_national_yearly!$D:$AM, 10, FALSE), 1)</f>
        <v>4.5215032227347252E-4</v>
      </c>
      <c r="Q13" s="7">
        <f>$B13 * IFERROR(VLOOKUP("buildings|SO2|Non-fatal heart attacks", US_national_yearly!$D:$AM, 25, FALSE) / VLOOKUP("buildings|SO2|Non-fatal heart attacks", US_national_yearly!$D:$AM, 10, FALSE), 1)</f>
        <v>4.5707792252976153E-4</v>
      </c>
      <c r="R13" s="7">
        <f>$B13 * IFERROR(VLOOKUP("buildings|SO2|Non-fatal heart attacks", US_national_yearly!$D:$AM, 26, FALSE) / VLOOKUP("buildings|SO2|Non-fatal heart attacks", US_national_yearly!$D:$AM, 10, FALSE), 1)</f>
        <v>4.6200552278605059E-4</v>
      </c>
      <c r="S13" s="7">
        <f>$B13 * IFERROR(VLOOKUP("buildings|SO2|Non-fatal heart attacks", US_national_yearly!$D:$AM, 27, FALSE) / VLOOKUP("buildings|SO2|Non-fatal heart attacks", US_national_yearly!$D:$AM, 10, FALSE), 1)</f>
        <v>4.6457870757154633E-4</v>
      </c>
      <c r="T13" s="7">
        <f>$B13 * IFERROR(VLOOKUP("buildings|SO2|Non-fatal heart attacks", US_national_yearly!$D:$AM, 28, FALSE) / VLOOKUP("buildings|SO2|Non-fatal heart attacks", US_national_yearly!$D:$AM, 10, FALSE), 1)</f>
        <v>4.6715189235704211E-4</v>
      </c>
      <c r="U13" s="7">
        <f>$B13 * IFERROR(VLOOKUP("buildings|SO2|Non-fatal heart attacks", US_national_yearly!$D:$AM, 29, FALSE) / VLOOKUP("buildings|SO2|Non-fatal heart attacks", US_national_yearly!$D:$AM, 10, FALSE), 1)</f>
        <v>4.6972507714253774E-4</v>
      </c>
      <c r="V13" s="7">
        <f>$B13 * IFERROR(VLOOKUP("buildings|SO2|Non-fatal heart attacks", US_national_yearly!$D:$AM, 30, FALSE) / VLOOKUP("buildings|SO2|Non-fatal heart attacks", US_national_yearly!$D:$AM, 10, FALSE), 1)</f>
        <v>4.7229826192803353E-4</v>
      </c>
      <c r="W13" s="7">
        <f>$B13 * IFERROR(VLOOKUP("buildings|SO2|Non-fatal heart attacks", US_national_yearly!$D:$AM, 31, FALSE) / VLOOKUP("buildings|SO2|Non-fatal heart attacks", US_national_yearly!$D:$AM, 10, FALSE), 1)</f>
        <v>4.7487144671352921E-4</v>
      </c>
      <c r="X13" s="7">
        <f>$B13 * IFERROR(VLOOKUP("buildings|SO2|Non-fatal heart attacks", US_national_yearly!$D:$AM, 32, FALSE) / VLOOKUP("buildings|SO2|Non-fatal heart attacks", US_national_yearly!$D:$AM, 10, FALSE), 1)</f>
        <v>4.7681490482410127E-4</v>
      </c>
      <c r="Y13" s="7">
        <f>$B13 * IFERROR(VLOOKUP("buildings|SO2|Non-fatal heart attacks", US_national_yearly!$D:$AM, 33, FALSE) / VLOOKUP("buildings|SO2|Non-fatal heart attacks", US_national_yearly!$D:$AM, 10, FALSE), 1)</f>
        <v>4.7875836293467334E-4</v>
      </c>
      <c r="Z13" s="7">
        <f>$B13 * IFERROR(VLOOKUP("buildings|SO2|Non-fatal heart attacks", US_national_yearly!$D:$AM, 34, FALSE) / VLOOKUP("buildings|SO2|Non-fatal heart attacks", US_national_yearly!$D:$AM, 10, FALSE), 1)</f>
        <v>4.8070182104524524E-4</v>
      </c>
      <c r="AA13" s="7">
        <f>$B13 * IFERROR(VLOOKUP("buildings|SO2|Non-fatal heart attacks", US_national_yearly!$D:$AM, 35, FALSE) / VLOOKUP("buildings|SO2|Non-fatal heart attacks", US_national_yearly!$D:$AM, 10, FALSE), 1)</f>
        <v>4.826452791558173E-4</v>
      </c>
      <c r="AB13" s="7">
        <f>$B13 * IFERROR(VLOOKUP("buildings|SO2|Non-fatal heart attacks", US_national_yearly!$D:$AM, 36, FALSE) / VLOOKUP("buildings|SO2|Non-fatal heart attacks", US_national_yearly!$D:$AM, 10, FALSE), 1)</f>
        <v>4.8458873726638926E-4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0.2565833342272375</v>
      </c>
      <c r="C14" s="7">
        <f>$B14 * IFERROR(VLOOKUP("buildings|SO2|Minor restricted activity days", US_national_yearly!$D:$AM, 11, FALSE) / VLOOKUP("buildings|SO2|Minor restricted activity days", US_national_yearly!$D:$AM, 10, FALSE), 1)</f>
        <v>0.25723286142146429</v>
      </c>
      <c r="D14" s="7">
        <f>$B14 * IFERROR(VLOOKUP("buildings|SO2|Minor restricted activity days", US_national_yearly!$D:$AM, 12, FALSE) / VLOOKUP("buildings|SO2|Minor restricted activity days", US_national_yearly!$D:$AM, 10, FALSE), 1)</f>
        <v>0.25788238861569113</v>
      </c>
      <c r="E14" s="7">
        <f>$B14 * IFERROR(VLOOKUP("buildings|SO2|Minor restricted activity days", US_national_yearly!$D:$AM, 13, FALSE) / VLOOKUP("buildings|SO2|Minor restricted activity days", US_national_yearly!$D:$AM, 10, FALSE), 1)</f>
        <v>0.25853191580991791</v>
      </c>
      <c r="F14" s="7">
        <f>$B14 * IFERROR(VLOOKUP("buildings|SO2|Minor restricted activity days", US_national_yearly!$D:$AM, 14, FALSE) / VLOOKUP("buildings|SO2|Minor restricted activity days", US_national_yearly!$D:$AM, 10, FALSE), 1)</f>
        <v>0.2591814430041447</v>
      </c>
      <c r="G14" s="7">
        <f>$B14 * IFERROR(VLOOKUP("buildings|SO2|Minor restricted activity days", US_national_yearly!$D:$AM, 15, FALSE) / VLOOKUP("buildings|SO2|Minor restricted activity days", US_national_yearly!$D:$AM, 10, FALSE), 1)</f>
        <v>0.26013650533783017</v>
      </c>
      <c r="H14" s="7">
        <f>$B14 * IFERROR(VLOOKUP("buildings|SO2|Minor restricted activity days", US_national_yearly!$D:$AM, 16, FALSE) / VLOOKUP("buildings|SO2|Minor restricted activity days", US_national_yearly!$D:$AM, 10, FALSE), 1)</f>
        <v>0.26109156767151559</v>
      </c>
      <c r="I14" s="7">
        <f>$B14 * IFERROR(VLOOKUP("buildings|SO2|Minor restricted activity days", US_national_yearly!$D:$AM, 17, FALSE) / VLOOKUP("buildings|SO2|Minor restricted activity days", US_national_yearly!$D:$AM, 10, FALSE), 1)</f>
        <v>0.26271813493902646</v>
      </c>
      <c r="J14" s="7">
        <f>$B14 * IFERROR(VLOOKUP("buildings|SO2|Minor restricted activity days", US_national_yearly!$D:$AM, 18, FALSE) / VLOOKUP("buildings|SO2|Minor restricted activity days", US_national_yearly!$D:$AM, 10, FALSE), 1)</f>
        <v>0.26434470220653733</v>
      </c>
      <c r="K14" s="7">
        <f>$B14 * IFERROR(VLOOKUP("buildings|SO2|Minor restricted activity days", US_national_yearly!$D:$AM, 19, FALSE) / VLOOKUP("buildings|SO2|Minor restricted activity days", US_national_yearly!$D:$AM, 10, FALSE), 1)</f>
        <v>0.26597126947404814</v>
      </c>
      <c r="L14" s="7">
        <f>$B14 * IFERROR(VLOOKUP("buildings|SO2|Minor restricted activity days", US_national_yearly!$D:$AM, 20, FALSE) / VLOOKUP("buildings|SO2|Minor restricted activity days", US_national_yearly!$D:$AM, 10, FALSE), 1)</f>
        <v>0.26759783674155901</v>
      </c>
      <c r="M14" s="7">
        <f>$B14 * IFERROR(VLOOKUP("buildings|SO2|Minor restricted activity days", US_national_yearly!$D:$AM, 21, FALSE) / VLOOKUP("buildings|SO2|Minor restricted activity days", US_national_yearly!$D:$AM, 10, FALSE), 1)</f>
        <v>0.26922440400906983</v>
      </c>
      <c r="N14" s="7">
        <f>$B14 * IFERROR(VLOOKUP("buildings|SO2|Minor restricted activity days", US_national_yearly!$D:$AM, 22, FALSE) / VLOOKUP("buildings|SO2|Minor restricted activity days", US_national_yearly!$D:$AM, 10, FALSE), 1)</f>
        <v>0.27144864927260187</v>
      </c>
      <c r="O14" s="7">
        <f>$B14 * IFERROR(VLOOKUP("buildings|SO2|Minor restricted activity days", US_national_yearly!$D:$AM, 23, FALSE) / VLOOKUP("buildings|SO2|Minor restricted activity days", US_national_yearly!$D:$AM, 10, FALSE), 1)</f>
        <v>0.27367289453613391</v>
      </c>
      <c r="P14" s="7">
        <f>$B14 * IFERROR(VLOOKUP("buildings|SO2|Minor restricted activity days", US_national_yearly!$D:$AM, 24, FALSE) / VLOOKUP("buildings|SO2|Minor restricted activity days", US_national_yearly!$D:$AM, 10, FALSE), 1)</f>
        <v>0.27589713979966585</v>
      </c>
      <c r="Q14" s="7">
        <f>$B14 * IFERROR(VLOOKUP("buildings|SO2|Minor restricted activity days", US_national_yearly!$D:$AM, 25, FALSE) / VLOOKUP("buildings|SO2|Minor restricted activity days", US_national_yearly!$D:$AM, 10, FALSE), 1)</f>
        <v>0.27812138506319789</v>
      </c>
      <c r="R14" s="7">
        <f>$B14 * IFERROR(VLOOKUP("buildings|SO2|Minor restricted activity days", US_national_yearly!$D:$AM, 26, FALSE) / VLOOKUP("buildings|SO2|Minor restricted activity days", US_national_yearly!$D:$AM, 10, FALSE), 1)</f>
        <v>0.28034563032672993</v>
      </c>
      <c r="S14" s="7">
        <f>$B14 * IFERROR(VLOOKUP("buildings|SO2|Minor restricted activity days", US_national_yearly!$D:$AM, 27, FALSE) / VLOOKUP("buildings|SO2|Minor restricted activity days", US_national_yearly!$D:$AM, 10, FALSE), 1)</f>
        <v>0.28261310397103978</v>
      </c>
      <c r="T14" s="7">
        <f>$B14 * IFERROR(VLOOKUP("buildings|SO2|Minor restricted activity days", US_national_yearly!$D:$AM, 28, FALSE) / VLOOKUP("buildings|SO2|Minor restricted activity days", US_national_yearly!$D:$AM, 10, FALSE), 1)</f>
        <v>0.28488057761534957</v>
      </c>
      <c r="U14" s="7">
        <f>$B14 * IFERROR(VLOOKUP("buildings|SO2|Minor restricted activity days", US_national_yearly!$D:$AM, 29, FALSE) / VLOOKUP("buildings|SO2|Minor restricted activity days", US_national_yearly!$D:$AM, 10, FALSE), 1)</f>
        <v>0.28714805125965942</v>
      </c>
      <c r="V14" s="7">
        <f>$B14 * IFERROR(VLOOKUP("buildings|SO2|Minor restricted activity days", US_national_yearly!$D:$AM, 30, FALSE) / VLOOKUP("buildings|SO2|Minor restricted activity days", US_national_yearly!$D:$AM, 10, FALSE), 1)</f>
        <v>0.28941552490396921</v>
      </c>
      <c r="W14" s="7">
        <f>$B14 * IFERROR(VLOOKUP("buildings|SO2|Minor restricted activity days", US_national_yearly!$D:$AM, 31, FALSE) / VLOOKUP("buildings|SO2|Minor restricted activity days", US_national_yearly!$D:$AM, 10, FALSE), 1)</f>
        <v>0.29168299854827912</v>
      </c>
      <c r="X14" s="7">
        <f>$B14 * IFERROR(VLOOKUP("buildings|SO2|Minor restricted activity days", US_national_yearly!$D:$AM, 32, FALSE) / VLOOKUP("buildings|SO2|Minor restricted activity days", US_national_yearly!$D:$AM, 10, FALSE), 1)</f>
        <v>0.29367711039754069</v>
      </c>
      <c r="Y14" s="7">
        <f>$B14 * IFERROR(VLOOKUP("buildings|SO2|Minor restricted activity days", US_national_yearly!$D:$AM, 33, FALSE) / VLOOKUP("buildings|SO2|Minor restricted activity days", US_national_yearly!$D:$AM, 10, FALSE), 1)</f>
        <v>0.29567122224680231</v>
      </c>
      <c r="Z14" s="7">
        <f>$B14 * IFERROR(VLOOKUP("buildings|SO2|Minor restricted activity days", US_national_yearly!$D:$AM, 34, FALSE) / VLOOKUP("buildings|SO2|Minor restricted activity days", US_national_yearly!$D:$AM, 10, FALSE), 1)</f>
        <v>0.29766533409606394</v>
      </c>
      <c r="AA14" s="7">
        <f>$B14 * IFERROR(VLOOKUP("buildings|SO2|Minor restricted activity days", US_national_yearly!$D:$AM, 35, FALSE) / VLOOKUP("buildings|SO2|Minor restricted activity days", US_national_yearly!$D:$AM, 10, FALSE), 1)</f>
        <v>0.29965944594532556</v>
      </c>
      <c r="AB14" s="7">
        <f>$B14 * IFERROR(VLOOKUP("buildings|SO2|Minor restricted activity days", US_national_yearly!$D:$AM, 36, FALSE) / VLOOKUP("buildings|SO2|Minor restricted activity days", US_national_yearly!$D:$AM, 10, FALSE), 1)</f>
        <v>0.30165355779458713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4.3628346166750126E-2</v>
      </c>
      <c r="C15" s="7">
        <f>$B15 * IFERROR(VLOOKUP("buildings|SO2|Work loss days", US_national_yearly!$D:$AM, 11, FALSE) / VLOOKUP("buildings|SO2|Work loss days", US_national_yearly!$D:$AM, 10, FALSE), 1)</f>
        <v>4.3770093952944115E-2</v>
      </c>
      <c r="D15" s="7">
        <f>$B15 * IFERROR(VLOOKUP("buildings|SO2|Work loss days", US_national_yearly!$D:$AM, 12, FALSE) / VLOOKUP("buildings|SO2|Work loss days", US_national_yearly!$D:$AM, 10, FALSE), 1)</f>
        <v>4.3911841739138112E-2</v>
      </c>
      <c r="E15" s="7">
        <f>$B15 * IFERROR(VLOOKUP("buildings|SO2|Work loss days", US_national_yearly!$D:$AM, 13, FALSE) / VLOOKUP("buildings|SO2|Work loss days", US_national_yearly!$D:$AM, 10, FALSE), 1)</f>
        <v>4.4053589525332101E-2</v>
      </c>
      <c r="F15" s="7">
        <f>$B15 * IFERROR(VLOOKUP("buildings|SO2|Work loss days", US_national_yearly!$D:$AM, 14, FALSE) / VLOOKUP("buildings|SO2|Work loss days", US_national_yearly!$D:$AM, 10, FALSE), 1)</f>
        <v>4.4195337311526084E-2</v>
      </c>
      <c r="G15" s="7">
        <f>$B15 * IFERROR(VLOOKUP("buildings|SO2|Work loss days", US_national_yearly!$D:$AM, 15, FALSE) / VLOOKUP("buildings|SO2|Work loss days", US_national_yearly!$D:$AM, 10, FALSE), 1)</f>
        <v>4.4380467764422456E-2</v>
      </c>
      <c r="H15" s="7">
        <f>$B15 * IFERROR(VLOOKUP("buildings|SO2|Work loss days", US_national_yearly!$D:$AM, 16, FALSE) / VLOOKUP("buildings|SO2|Work loss days", US_national_yearly!$D:$AM, 10, FALSE), 1)</f>
        <v>4.4565598217318834E-2</v>
      </c>
      <c r="I15" s="7">
        <f>$B15 * IFERROR(VLOOKUP("buildings|SO2|Work loss days", US_national_yearly!$D:$AM, 17, FALSE) / VLOOKUP("buildings|SO2|Work loss days", US_national_yearly!$D:$AM, 10, FALSE), 1)</f>
        <v>4.4836269301605822E-2</v>
      </c>
      <c r="J15" s="7">
        <f>$B15 * IFERROR(VLOOKUP("buildings|SO2|Work loss days", US_national_yearly!$D:$AM, 18, FALSE) / VLOOKUP("buildings|SO2|Work loss days", US_national_yearly!$D:$AM, 10, FALSE), 1)</f>
        <v>4.5106940385892795E-2</v>
      </c>
      <c r="K15" s="7">
        <f>$B15 * IFERROR(VLOOKUP("buildings|SO2|Work loss days", US_national_yearly!$D:$AM, 19, FALSE) / VLOOKUP("buildings|SO2|Work loss days", US_national_yearly!$D:$AM, 10, FALSE), 1)</f>
        <v>4.5377611470179775E-2</v>
      </c>
      <c r="L15" s="7">
        <f>$B15 * IFERROR(VLOOKUP("buildings|SO2|Work loss days", US_national_yearly!$D:$AM, 20, FALSE) / VLOOKUP("buildings|SO2|Work loss days", US_national_yearly!$D:$AM, 10, FALSE), 1)</f>
        <v>4.5648282554466749E-2</v>
      </c>
      <c r="M15" s="7">
        <f>$B15 * IFERROR(VLOOKUP("buildings|SO2|Work loss days", US_national_yearly!$D:$AM, 21, FALSE) / VLOOKUP("buildings|SO2|Work loss days", US_national_yearly!$D:$AM, 10, FALSE), 1)</f>
        <v>4.5918953638753722E-2</v>
      </c>
      <c r="N15" s="7">
        <f>$B15 * IFERROR(VLOOKUP("buildings|SO2|Work loss days", US_national_yearly!$D:$AM, 22, FALSE) / VLOOKUP("buildings|SO2|Work loss days", US_national_yearly!$D:$AM, 10, FALSE), 1)</f>
        <v>4.6258370744509378E-2</v>
      </c>
      <c r="O15" s="7">
        <f>$B15 * IFERROR(VLOOKUP("buildings|SO2|Work loss days", US_national_yearly!$D:$AM, 23, FALSE) / VLOOKUP("buildings|SO2|Work loss days", US_national_yearly!$D:$AM, 10, FALSE), 1)</f>
        <v>4.6597787850265013E-2</v>
      </c>
      <c r="P15" s="7">
        <f>$B15 * IFERROR(VLOOKUP("buildings|SO2|Work loss days", US_national_yearly!$D:$AM, 24, FALSE) / VLOOKUP("buildings|SO2|Work loss days", US_national_yearly!$D:$AM, 10, FALSE), 1)</f>
        <v>4.6937204956020655E-2</v>
      </c>
      <c r="Q15" s="7">
        <f>$B15 * IFERROR(VLOOKUP("buildings|SO2|Work loss days", US_national_yearly!$D:$AM, 25, FALSE) / VLOOKUP("buildings|SO2|Work loss days", US_national_yearly!$D:$AM, 10, FALSE), 1)</f>
        <v>4.7276622061776304E-2</v>
      </c>
      <c r="R15" s="7">
        <f>$B15 * IFERROR(VLOOKUP("buildings|SO2|Work loss days", US_national_yearly!$D:$AM, 26, FALSE) / VLOOKUP("buildings|SO2|Work loss days", US_national_yearly!$D:$AM, 10, FALSE), 1)</f>
        <v>4.7616039167531939E-2</v>
      </c>
      <c r="S15" s="7">
        <f>$B15 * IFERROR(VLOOKUP("buildings|SO2|Work loss days", US_national_yearly!$D:$AM, 27, FALSE) / VLOOKUP("buildings|SO2|Work loss days", US_national_yearly!$D:$AM, 10, FALSE), 1)</f>
        <v>4.7995197805741192E-2</v>
      </c>
      <c r="T15" s="7">
        <f>$B15 * IFERROR(VLOOKUP("buildings|SO2|Work loss days", US_national_yearly!$D:$AM, 28, FALSE) / VLOOKUP("buildings|SO2|Work loss days", US_national_yearly!$D:$AM, 10, FALSE), 1)</f>
        <v>4.8374356443950446E-2</v>
      </c>
      <c r="U15" s="7">
        <f>$B15 * IFERROR(VLOOKUP("buildings|SO2|Work loss days", US_national_yearly!$D:$AM, 29, FALSE) / VLOOKUP("buildings|SO2|Work loss days", US_national_yearly!$D:$AM, 10, FALSE), 1)</f>
        <v>4.87535150821597E-2</v>
      </c>
      <c r="V15" s="7">
        <f>$B15 * IFERROR(VLOOKUP("buildings|SO2|Work loss days", US_national_yearly!$D:$AM, 30, FALSE) / VLOOKUP("buildings|SO2|Work loss days", US_national_yearly!$D:$AM, 10, FALSE), 1)</f>
        <v>4.913267372036894E-2</v>
      </c>
      <c r="W15" s="7">
        <f>$B15 * IFERROR(VLOOKUP("buildings|SO2|Work loss days", US_national_yearly!$D:$AM, 31, FALSE) / VLOOKUP("buildings|SO2|Work loss days", US_national_yearly!$D:$AM, 10, FALSE), 1)</f>
        <v>4.9511832358578194E-2</v>
      </c>
      <c r="X15" s="7">
        <f>$B15 * IFERROR(VLOOKUP("buildings|SO2|Work loss days", US_national_yearly!$D:$AM, 32, FALSE) / VLOOKUP("buildings|SO2|Work loss days", US_national_yearly!$D:$AM, 10, FALSE), 1)</f>
        <v>4.9852272122763878E-2</v>
      </c>
      <c r="Y15" s="7">
        <f>$B15 * IFERROR(VLOOKUP("buildings|SO2|Work loss days", US_national_yearly!$D:$AM, 33, FALSE) / VLOOKUP("buildings|SO2|Work loss days", US_national_yearly!$D:$AM, 10, FALSE), 1)</f>
        <v>5.0192711886949556E-2</v>
      </c>
      <c r="Z15" s="7">
        <f>$B15 * IFERROR(VLOOKUP("buildings|SO2|Work loss days", US_national_yearly!$D:$AM, 34, FALSE) / VLOOKUP("buildings|SO2|Work loss days", US_national_yearly!$D:$AM, 10, FALSE), 1)</f>
        <v>5.0533151651135227E-2</v>
      </c>
      <c r="AA15" s="7">
        <f>$B15 * IFERROR(VLOOKUP("buildings|SO2|Work loss days", US_national_yearly!$D:$AM, 35, FALSE) / VLOOKUP("buildings|SO2|Work loss days", US_national_yearly!$D:$AM, 10, FALSE), 1)</f>
        <v>5.0873591415320912E-2</v>
      </c>
      <c r="AB15" s="7">
        <f>$B15 * IFERROR(VLOOKUP("buildings|SO2|Work loss days", US_national_yearly!$D:$AM, 36, FALSE) / VLOOKUP("buildings|SO2|Work loss days", US_national_yearly!$D:$AM, 10, FALSE), 1)</f>
        <v>5.1214031179506583E-2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8.4944059233341504E-5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8.7513562533151639E-5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9.0083065832961788E-5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9.2652569132771937E-5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9.5222072432582085E-5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9.7683502683875177E-5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1.0014493293516825E-4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1.0225437370203927E-4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1.0436381446891025E-4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1.0647325523578126E-4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1.0858269600265227E-4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1.1069213676952324E-4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1.12108583968938E-4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1.1352503116835278E-4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1.1494147836776754E-4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1.1635792556718229E-4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1.1777437276659705E-4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1.1851925242671834E-4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1.1926413208683964E-4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1.2000901174696092E-4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1.2075389140708221E-4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1.2149877106720349E-4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1.2199895943349631E-4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1.224991477997891E-4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1.2299933616608189E-4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1.2349952453237471E-4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1.239997128986675E-4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1.1377887429812012E-2</v>
      </c>
      <c r="C2" s="7">
        <f>$B2 * IFERROR(VLOOKUP("industry|PM25|Premature mortality", US_national_yearly!$D:$AM, 11, FALSE) / VLOOKUP("industry|PM25|Premature mortality", US_national_yearly!$D:$AM, 10, FALSE), 1)</f>
        <v>1.1519579310048432E-2</v>
      </c>
      <c r="D2" s="7">
        <f>$B2 * IFERROR(VLOOKUP("industry|PM25|Premature mortality", US_national_yearly!$D:$AM, 12, FALSE) / VLOOKUP("industry|PM25|Premature mortality", US_national_yearly!$D:$AM, 10, FALSE), 1)</f>
        <v>1.1661271190284849E-2</v>
      </c>
      <c r="E2" s="7">
        <f>$B2 * IFERROR(VLOOKUP("industry|PM25|Premature mortality", US_national_yearly!$D:$AM, 13, FALSE) / VLOOKUP("industry|PM25|Premature mortality", US_national_yearly!$D:$AM, 10, FALSE), 1)</f>
        <v>1.1802963070521269E-2</v>
      </c>
      <c r="F2" s="7">
        <f>$B2 * IFERROR(VLOOKUP("industry|PM25|Premature mortality", US_national_yearly!$D:$AM, 14, FALSE) / VLOOKUP("industry|PM25|Premature mortality", US_national_yearly!$D:$AM, 10, FALSE), 1)</f>
        <v>1.1944654950757687E-2</v>
      </c>
      <c r="G2" s="7">
        <f>$B2 * IFERROR(VLOOKUP("industry|PM25|Premature mortality", US_national_yearly!$D:$AM, 15, FALSE) / VLOOKUP("industry|PM25|Premature mortality", US_national_yearly!$D:$AM, 10, FALSE), 1)</f>
        <v>1.2220314302936018E-2</v>
      </c>
      <c r="H2" s="7">
        <f>$B2 * IFERROR(VLOOKUP("industry|PM25|Premature mortality", US_national_yearly!$D:$AM, 16, FALSE) / VLOOKUP("industry|PM25|Premature mortality", US_national_yearly!$D:$AM, 10, FALSE), 1)</f>
        <v>1.2495973655114349E-2</v>
      </c>
      <c r="I2" s="7">
        <f>$B2 * IFERROR(VLOOKUP("industry|PM25|Premature mortality", US_national_yearly!$D:$AM, 17, FALSE) / VLOOKUP("industry|PM25|Premature mortality", US_national_yearly!$D:$AM, 10, FALSE), 1)</f>
        <v>1.267799060897673E-2</v>
      </c>
      <c r="J2" s="7">
        <f>$B2 * IFERROR(VLOOKUP("industry|PM25|Premature mortality", US_national_yearly!$D:$AM, 18, FALSE) / VLOOKUP("industry|PM25|Premature mortality", US_national_yearly!$D:$AM, 10, FALSE), 1)</f>
        <v>1.2860007562839108E-2</v>
      </c>
      <c r="K2" s="7">
        <f>$B2 * IFERROR(VLOOKUP("industry|PM25|Premature mortality", US_national_yearly!$D:$AM, 19, FALSE) / VLOOKUP("industry|PM25|Premature mortality", US_national_yearly!$D:$AM, 10, FALSE), 1)</f>
        <v>1.3042024516701486E-2</v>
      </c>
      <c r="L2" s="7">
        <f>$B2 * IFERROR(VLOOKUP("industry|PM25|Premature mortality", US_national_yearly!$D:$AM, 20, FALSE) / VLOOKUP("industry|PM25|Premature mortality", US_national_yearly!$D:$AM, 10, FALSE), 1)</f>
        <v>1.3224041470563865E-2</v>
      </c>
      <c r="M2" s="7">
        <f>$B2 * IFERROR(VLOOKUP("industry|PM25|Premature mortality", US_national_yearly!$D:$AM, 21, FALSE) / VLOOKUP("industry|PM25|Premature mortality", US_national_yearly!$D:$AM, 10, FALSE), 1)</f>
        <v>1.3406058424426246E-2</v>
      </c>
      <c r="N2" s="7">
        <f>$B2 * IFERROR(VLOOKUP("industry|PM25|Premature mortality", US_national_yearly!$D:$AM, 22, FALSE) / VLOOKUP("industry|PM25|Premature mortality", US_national_yearly!$D:$AM, 10, FALSE), 1)</f>
        <v>1.354786519336406E-2</v>
      </c>
      <c r="O2" s="7">
        <f>$B2 * IFERROR(VLOOKUP("industry|PM25|Premature mortality", US_national_yearly!$D:$AM, 23, FALSE) / VLOOKUP("industry|PM25|Premature mortality", US_national_yearly!$D:$AM, 10, FALSE), 1)</f>
        <v>1.3689671962301871E-2</v>
      </c>
      <c r="P2" s="7">
        <f>$B2 * IFERROR(VLOOKUP("industry|PM25|Premature mortality", US_national_yearly!$D:$AM, 24, FALSE) / VLOOKUP("industry|PM25|Premature mortality", US_national_yearly!$D:$AM, 10, FALSE), 1)</f>
        <v>1.3831478731239686E-2</v>
      </c>
      <c r="Q2" s="7">
        <f>$B2 * IFERROR(VLOOKUP("industry|PM25|Premature mortality", US_national_yearly!$D:$AM, 25, FALSE) / VLOOKUP("industry|PM25|Premature mortality", US_national_yearly!$D:$AM, 10, FALSE), 1)</f>
        <v>1.39732855001775E-2</v>
      </c>
      <c r="R2" s="7">
        <f>$B2 * IFERROR(VLOOKUP("industry|PM25|Premature mortality", US_national_yearly!$D:$AM, 26, FALSE) / VLOOKUP("industry|PM25|Premature mortality", US_national_yearly!$D:$AM, 10, FALSE), 1)</f>
        <v>1.4115092269115311E-2</v>
      </c>
      <c r="S2" s="7">
        <f>$B2 * IFERROR(VLOOKUP("industry|PM25|Premature mortality", US_national_yearly!$D:$AM, 27, FALSE) / VLOOKUP("industry|PM25|Premature mortality", US_national_yearly!$D:$AM, 10, FALSE), 1)</f>
        <v>1.4191662664767896E-2</v>
      </c>
      <c r="T2" s="7">
        <f>$B2 * IFERROR(VLOOKUP("industry|PM25|Premature mortality", US_national_yearly!$D:$AM, 28, FALSE) / VLOOKUP("industry|PM25|Premature mortality", US_national_yearly!$D:$AM, 10, FALSE), 1)</f>
        <v>1.4268233060420483E-2</v>
      </c>
      <c r="U2" s="7">
        <f>$B2 * IFERROR(VLOOKUP("industry|PM25|Premature mortality", US_national_yearly!$D:$AM, 29, FALSE) / VLOOKUP("industry|PM25|Premature mortality", US_national_yearly!$D:$AM, 10, FALSE), 1)</f>
        <v>1.4344803456073071E-2</v>
      </c>
      <c r="V2" s="7">
        <f>$B2 * IFERROR(VLOOKUP("industry|PM25|Premature mortality", US_national_yearly!$D:$AM, 30, FALSE) / VLOOKUP("industry|PM25|Premature mortality", US_national_yearly!$D:$AM, 10, FALSE), 1)</f>
        <v>1.4421373851725658E-2</v>
      </c>
      <c r="W2" s="7">
        <f>$B2 * IFERROR(VLOOKUP("industry|PM25|Premature mortality", US_national_yearly!$D:$AM, 31, FALSE) / VLOOKUP("industry|PM25|Premature mortality", US_national_yearly!$D:$AM, 10, FALSE), 1)</f>
        <v>1.4497944247378243E-2</v>
      </c>
      <c r="X2" s="7">
        <f>$B2 * IFERROR(VLOOKUP("industry|PM25|Premature mortality", US_national_yearly!$D:$AM, 32, FALSE) / VLOOKUP("industry|PM25|Premature mortality", US_national_yearly!$D:$AM, 10, FALSE), 1)</f>
        <v>1.4513753350238915E-2</v>
      </c>
      <c r="Y2" s="7">
        <f>$B2 * IFERROR(VLOOKUP("industry|PM25|Premature mortality", US_national_yearly!$D:$AM, 33, FALSE) / VLOOKUP("industry|PM25|Premature mortality", US_national_yearly!$D:$AM, 10, FALSE), 1)</f>
        <v>1.4529562453099595E-2</v>
      </c>
      <c r="Z2" s="7">
        <f>$B2 * IFERROR(VLOOKUP("industry|PM25|Premature mortality", US_national_yearly!$D:$AM, 34, FALSE) / VLOOKUP("industry|PM25|Premature mortality", US_national_yearly!$D:$AM, 10, FALSE), 1)</f>
        <v>1.4545371555960267E-2</v>
      </c>
      <c r="AA2" s="7">
        <f>$B2 * IFERROR(VLOOKUP("industry|PM25|Premature mortality", US_national_yearly!$D:$AM, 35, FALSE) / VLOOKUP("industry|PM25|Premature mortality", US_national_yearly!$D:$AM, 10, FALSE), 1)</f>
        <v>1.4561180658820946E-2</v>
      </c>
      <c r="AB2" s="7">
        <f>$B2 * IFERROR(VLOOKUP("industry|PM25|Premature mortality", US_national_yearly!$D:$AM, 36, FALSE) / VLOOKUP("industry|PM25|Premature mortality", US_national_yearly!$D:$AM, 10, FALSE), 1)</f>
        <v>1.4576989761681621E-2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3.855158913084112E-5</v>
      </c>
      <c r="C3" s="7">
        <f>$B3 * IFERROR(VLOOKUP("industry|PM25|Infant mortality", US_national_yearly!$D:$AM, 11, FALSE) / VLOOKUP("industry|PM25|Infant mortality", US_national_yearly!$D:$AM, 10, FALSE), 1)</f>
        <v>3.8215926271385906E-5</v>
      </c>
      <c r="D3" s="7">
        <f>$B3 * IFERROR(VLOOKUP("industry|PM25|Infant mortality", US_national_yearly!$D:$AM, 12, FALSE) / VLOOKUP("industry|PM25|Infant mortality", US_national_yearly!$D:$AM, 10, FALSE), 1)</f>
        <v>3.7880263411930685E-5</v>
      </c>
      <c r="E3" s="7">
        <f>$B3 * IFERROR(VLOOKUP("industry|PM25|Infant mortality", US_national_yearly!$D:$AM, 13, FALSE) / VLOOKUP("industry|PM25|Infant mortality", US_national_yearly!$D:$AM, 10, FALSE), 1)</f>
        <v>3.7544600552475457E-5</v>
      </c>
      <c r="F3" s="7">
        <f>$B3 * IFERROR(VLOOKUP("industry|PM25|Infant mortality", US_national_yearly!$D:$AM, 14, FALSE) / VLOOKUP("industry|PM25|Infant mortality", US_national_yearly!$D:$AM, 10, FALSE), 1)</f>
        <v>3.7208937693020243E-5</v>
      </c>
      <c r="G3" s="7">
        <f>$B3 * IFERROR(VLOOKUP("industry|PM25|Infant mortality", US_national_yearly!$D:$AM, 15, FALSE) / VLOOKUP("industry|PM25|Infant mortality", US_national_yearly!$D:$AM, 10, FALSE), 1)</f>
        <v>2.4722920627009439E-5</v>
      </c>
      <c r="H3" s="7">
        <f>$B3 * IFERROR(VLOOKUP("industry|PM25|Infant mortality", US_national_yearly!$D:$AM, 16, FALSE) / VLOOKUP("industry|PM25|Infant mortality", US_national_yearly!$D:$AM, 10, FALSE), 1)</f>
        <v>1.2236903560998638E-5</v>
      </c>
      <c r="I3" s="7">
        <f>$B3 * IFERROR(VLOOKUP("industry|PM25|Infant mortality", US_national_yearly!$D:$AM, 17, FALSE) / VLOOKUP("industry|PM25|Infant mortality", US_national_yearly!$D:$AM, 10, FALSE), 1)</f>
        <v>1.2155454898378519E-5</v>
      </c>
      <c r="J3" s="7">
        <f>$B3 * IFERROR(VLOOKUP("industry|PM25|Infant mortality", US_national_yearly!$D:$AM, 18, FALSE) / VLOOKUP("industry|PM25|Infant mortality", US_national_yearly!$D:$AM, 10, FALSE), 1)</f>
        <v>1.20740062357584E-5</v>
      </c>
      <c r="K3" s="7">
        <f>$B3 * IFERROR(VLOOKUP("industry|PM25|Infant mortality", US_national_yearly!$D:$AM, 19, FALSE) / VLOOKUP("industry|PM25|Infant mortality", US_national_yearly!$D:$AM, 10, FALSE), 1)</f>
        <v>1.1992557573138281E-5</v>
      </c>
      <c r="L3" s="7">
        <f>$B3 * IFERROR(VLOOKUP("industry|PM25|Infant mortality", US_national_yearly!$D:$AM, 20, FALSE) / VLOOKUP("industry|PM25|Infant mortality", US_national_yearly!$D:$AM, 10, FALSE), 1)</f>
        <v>1.191110891051816E-5</v>
      </c>
      <c r="M3" s="7">
        <f>$B3 * IFERROR(VLOOKUP("industry|PM25|Infant mortality", US_national_yearly!$D:$AM, 21, FALSE) / VLOOKUP("industry|PM25|Infant mortality", US_national_yearly!$D:$AM, 10, FALSE), 1)</f>
        <v>1.1829660247898043E-5</v>
      </c>
      <c r="N3" s="7">
        <f>$B3 * IFERROR(VLOOKUP("industry|PM25|Infant mortality", US_national_yearly!$D:$AM, 22, FALSE) / VLOOKUP("industry|PM25|Infant mortality", US_national_yearly!$D:$AM, 10, FALSE), 1)</f>
        <v>1.1777688069746122E-5</v>
      </c>
      <c r="O3" s="7">
        <f>$B3 * IFERROR(VLOOKUP("industry|PM25|Infant mortality", US_national_yearly!$D:$AM, 23, FALSE) / VLOOKUP("industry|PM25|Infant mortality", US_national_yearly!$D:$AM, 10, FALSE), 1)</f>
        <v>1.1725715891594203E-5</v>
      </c>
      <c r="P3" s="7">
        <f>$B3 * IFERROR(VLOOKUP("industry|PM25|Infant mortality", US_national_yearly!$D:$AM, 24, FALSE) / VLOOKUP("industry|PM25|Infant mortality", US_national_yearly!$D:$AM, 10, FALSE), 1)</f>
        <v>1.1673743713442288E-5</v>
      </c>
      <c r="Q3" s="7">
        <f>$B3 * IFERROR(VLOOKUP("industry|PM25|Infant mortality", US_national_yearly!$D:$AM, 25, FALSE) / VLOOKUP("industry|PM25|Infant mortality", US_national_yearly!$D:$AM, 10, FALSE), 1)</f>
        <v>1.1621771535290369E-5</v>
      </c>
      <c r="R3" s="7">
        <f>$B3 * IFERROR(VLOOKUP("industry|PM25|Infant mortality", US_national_yearly!$D:$AM, 26, FALSE) / VLOOKUP("industry|PM25|Infant mortality", US_national_yearly!$D:$AM, 10, FALSE), 1)</f>
        <v>1.156979935713845E-5</v>
      </c>
      <c r="S3" s="7">
        <f>$B3 * IFERROR(VLOOKUP("industry|PM25|Infant mortality", US_national_yearly!$D:$AM, 27, FALSE) / VLOOKUP("industry|PM25|Infant mortality", US_national_yearly!$D:$AM, 10, FALSE), 1)</f>
        <v>1.1505878270598765E-5</v>
      </c>
      <c r="T3" s="7">
        <f>$B3 * IFERROR(VLOOKUP("industry|PM25|Infant mortality", US_national_yearly!$D:$AM, 28, FALSE) / VLOOKUP("industry|PM25|Infant mortality", US_national_yearly!$D:$AM, 10, FALSE), 1)</f>
        <v>1.1441957184059083E-5</v>
      </c>
      <c r="U3" s="7">
        <f>$B3 * IFERROR(VLOOKUP("industry|PM25|Infant mortality", US_national_yearly!$D:$AM, 29, FALSE) / VLOOKUP("industry|PM25|Infant mortality", US_national_yearly!$D:$AM, 10, FALSE), 1)</f>
        <v>1.1378036097519396E-5</v>
      </c>
      <c r="V3" s="7">
        <f>$B3 * IFERROR(VLOOKUP("industry|PM25|Infant mortality", US_national_yearly!$D:$AM, 30, FALSE) / VLOOKUP("industry|PM25|Infant mortality", US_national_yearly!$D:$AM, 10, FALSE), 1)</f>
        <v>1.1314115010979714E-5</v>
      </c>
      <c r="W3" s="7">
        <f>$B3 * IFERROR(VLOOKUP("industry|PM25|Infant mortality", US_national_yearly!$D:$AM, 31, FALSE) / VLOOKUP("industry|PM25|Infant mortality", US_national_yearly!$D:$AM, 10, FALSE), 1)</f>
        <v>1.1250193924440031E-5</v>
      </c>
      <c r="X3" s="7">
        <f>$B3 * IFERROR(VLOOKUP("industry|PM25|Infant mortality", US_national_yearly!$D:$AM, 32, FALSE) / VLOOKUP("industry|PM25|Infant mortality", US_national_yearly!$D:$AM, 10, FALSE), 1)</f>
        <v>1.1181886233938349E-5</v>
      </c>
      <c r="Y3" s="7">
        <f>$B3 * IFERROR(VLOOKUP("industry|PM25|Infant mortality", US_national_yearly!$D:$AM, 33, FALSE) / VLOOKUP("industry|PM25|Infant mortality", US_national_yearly!$D:$AM, 10, FALSE), 1)</f>
        <v>1.1113578543436669E-5</v>
      </c>
      <c r="Z3" s="7">
        <f>$B3 * IFERROR(VLOOKUP("industry|PM25|Infant mortality", US_national_yearly!$D:$AM, 34, FALSE) / VLOOKUP("industry|PM25|Infant mortality", US_national_yearly!$D:$AM, 10, FALSE), 1)</f>
        <v>1.1045270852934987E-5</v>
      </c>
      <c r="AA3" s="7">
        <f>$B3 * IFERROR(VLOOKUP("industry|PM25|Infant mortality", US_national_yearly!$D:$AM, 35, FALSE) / VLOOKUP("industry|PM25|Infant mortality", US_national_yearly!$D:$AM, 10, FALSE), 1)</f>
        <v>1.0976963162433307E-5</v>
      </c>
      <c r="AB3" s="7">
        <f>$B3 * IFERROR(VLOOKUP("industry|PM25|Infant mortality", US_national_yearly!$D:$AM, 36, FALSE) / VLOOKUP("industry|PM25|Infant mortality", US_national_yearly!$D:$AM, 10, FALSE), 1)</f>
        <v>1.0908655471931625E-5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3.0227277683543319E-2</v>
      </c>
      <c r="C6" s="7">
        <f>$B6 * IFERROR(VLOOKUP("industry|PM25|Asthma symptoms cough", US_national_yearly!$D:$AM, 11, FALSE) / VLOOKUP("industry|PM25|Asthma symptoms cough", US_national_yearly!$D:$AM, 10, FALSE), 1)</f>
        <v>3.0227277683543319E-2</v>
      </c>
      <c r="D6" s="7">
        <f>$B6 * IFERROR(VLOOKUP("industry|PM25|Asthma symptoms cough", US_national_yearly!$D:$AM, 12, FALSE) / VLOOKUP("industry|PM25|Asthma symptoms cough", US_national_yearly!$D:$AM, 10, FALSE), 1)</f>
        <v>3.0227277683543319E-2</v>
      </c>
      <c r="E6" s="7">
        <f>$B6 * IFERROR(VLOOKUP("industry|PM25|Asthma symptoms cough", US_national_yearly!$D:$AM, 13, FALSE) / VLOOKUP("industry|PM25|Asthma symptoms cough", US_national_yearly!$D:$AM, 10, FALSE), 1)</f>
        <v>3.0227277683543319E-2</v>
      </c>
      <c r="F6" s="7">
        <f>$B6 * IFERROR(VLOOKUP("industry|PM25|Asthma symptoms cough", US_national_yearly!$D:$AM, 14, FALSE) / VLOOKUP("industry|PM25|Asthma symptoms cough", US_national_yearly!$D:$AM, 10, FALSE), 1)</f>
        <v>3.0227277683543319E-2</v>
      </c>
      <c r="G6" s="7">
        <f>$B6 * IFERROR(VLOOKUP("industry|PM25|Asthma symptoms cough", US_national_yearly!$D:$AM, 15, FALSE) / VLOOKUP("industry|PM25|Asthma symptoms cough", US_national_yearly!$D:$AM, 10, FALSE), 1)</f>
        <v>3.0227277683543319E-2</v>
      </c>
      <c r="H6" s="7">
        <f>$B6 * IFERROR(VLOOKUP("industry|PM25|Asthma symptoms cough", US_national_yearly!$D:$AM, 16, FALSE) / VLOOKUP("industry|PM25|Asthma symptoms cough", US_national_yearly!$D:$AM, 10, FALSE), 1)</f>
        <v>3.0227277683543319E-2</v>
      </c>
      <c r="I6" s="7">
        <f>$B6 * IFERROR(VLOOKUP("industry|PM25|Asthma symptoms cough", US_national_yearly!$D:$AM, 17, FALSE) / VLOOKUP("industry|PM25|Asthma symptoms cough", US_national_yearly!$D:$AM, 10, FALSE), 1)</f>
        <v>3.0227277683543319E-2</v>
      </c>
      <c r="J6" s="7">
        <f>$B6 * IFERROR(VLOOKUP("industry|PM25|Asthma symptoms cough", US_national_yearly!$D:$AM, 18, FALSE) / VLOOKUP("industry|PM25|Asthma symptoms cough", US_national_yearly!$D:$AM, 10, FALSE), 1)</f>
        <v>3.0227277683543319E-2</v>
      </c>
      <c r="K6" s="7">
        <f>$B6 * IFERROR(VLOOKUP("industry|PM25|Asthma symptoms cough", US_national_yearly!$D:$AM, 19, FALSE) / VLOOKUP("industry|PM25|Asthma symptoms cough", US_national_yearly!$D:$AM, 10, FALSE), 1)</f>
        <v>3.0227277683543319E-2</v>
      </c>
      <c r="L6" s="7">
        <f>$B6 * IFERROR(VLOOKUP("industry|PM25|Asthma symptoms cough", US_national_yearly!$D:$AM, 20, FALSE) / VLOOKUP("industry|PM25|Asthma symptoms cough", US_national_yearly!$D:$AM, 10, FALSE), 1)</f>
        <v>3.0227277683543319E-2</v>
      </c>
      <c r="M6" s="7">
        <f>$B6 * IFERROR(VLOOKUP("industry|PM25|Asthma symptoms cough", US_national_yearly!$D:$AM, 21, FALSE) / VLOOKUP("industry|PM25|Asthma symptoms cough", US_national_yearly!$D:$AM, 10, FALSE), 1)</f>
        <v>3.0227277683543319E-2</v>
      </c>
      <c r="N6" s="7">
        <f>$B6 * IFERROR(VLOOKUP("industry|PM25|Asthma symptoms cough", US_national_yearly!$D:$AM, 22, FALSE) / VLOOKUP("industry|PM25|Asthma symptoms cough", US_national_yearly!$D:$AM, 10, FALSE), 1)</f>
        <v>3.0227277683543319E-2</v>
      </c>
      <c r="O6" s="7">
        <f>$B6 * IFERROR(VLOOKUP("industry|PM25|Asthma symptoms cough", US_national_yearly!$D:$AM, 23, FALSE) / VLOOKUP("industry|PM25|Asthma symptoms cough", US_national_yearly!$D:$AM, 10, FALSE), 1)</f>
        <v>3.0227277683543319E-2</v>
      </c>
      <c r="P6" s="7">
        <f>$B6 * IFERROR(VLOOKUP("industry|PM25|Asthma symptoms cough", US_national_yearly!$D:$AM, 24, FALSE) / VLOOKUP("industry|PM25|Asthma symptoms cough", US_national_yearly!$D:$AM, 10, FALSE), 1)</f>
        <v>3.0227277683543319E-2</v>
      </c>
      <c r="Q6" s="7">
        <f>$B6 * IFERROR(VLOOKUP("industry|PM25|Asthma symptoms cough", US_national_yearly!$D:$AM, 25, FALSE) / VLOOKUP("industry|PM25|Asthma symptoms cough", US_national_yearly!$D:$AM, 10, FALSE), 1)</f>
        <v>3.0227277683543319E-2</v>
      </c>
      <c r="R6" s="7">
        <f>$B6 * IFERROR(VLOOKUP("industry|PM25|Asthma symptoms cough", US_national_yearly!$D:$AM, 26, FALSE) / VLOOKUP("industry|PM25|Asthma symptoms cough", US_national_yearly!$D:$AM, 10, FALSE), 1)</f>
        <v>3.0227277683543319E-2</v>
      </c>
      <c r="S6" s="7">
        <f>$B6 * IFERROR(VLOOKUP("industry|PM25|Asthma symptoms cough", US_national_yearly!$D:$AM, 27, FALSE) / VLOOKUP("industry|PM25|Asthma symptoms cough", US_national_yearly!$D:$AM, 10, FALSE), 1)</f>
        <v>3.0227277683543319E-2</v>
      </c>
      <c r="T6" s="7">
        <f>$B6 * IFERROR(VLOOKUP("industry|PM25|Asthma symptoms cough", US_national_yearly!$D:$AM, 28, FALSE) / VLOOKUP("industry|PM25|Asthma symptoms cough", US_national_yearly!$D:$AM, 10, FALSE), 1)</f>
        <v>3.0227277683543319E-2</v>
      </c>
      <c r="U6" s="7">
        <f>$B6 * IFERROR(VLOOKUP("industry|PM25|Asthma symptoms cough", US_national_yearly!$D:$AM, 29, FALSE) / VLOOKUP("industry|PM25|Asthma symptoms cough", US_national_yearly!$D:$AM, 10, FALSE), 1)</f>
        <v>3.0227277683543319E-2</v>
      </c>
      <c r="V6" s="7">
        <f>$B6 * IFERROR(VLOOKUP("industry|PM25|Asthma symptoms cough", US_national_yearly!$D:$AM, 30, FALSE) / VLOOKUP("industry|PM25|Asthma symptoms cough", US_national_yearly!$D:$AM, 10, FALSE), 1)</f>
        <v>3.0227277683543319E-2</v>
      </c>
      <c r="W6" s="7">
        <f>$B6 * IFERROR(VLOOKUP("industry|PM25|Asthma symptoms cough", US_national_yearly!$D:$AM, 31, FALSE) / VLOOKUP("industry|PM25|Asthma symptoms cough", US_national_yearly!$D:$AM, 10, FALSE), 1)</f>
        <v>3.0227277683543319E-2</v>
      </c>
      <c r="X6" s="7">
        <f>$B6 * IFERROR(VLOOKUP("industry|PM25|Asthma symptoms cough", US_national_yearly!$D:$AM, 32, FALSE) / VLOOKUP("industry|PM25|Asthma symptoms cough", US_national_yearly!$D:$AM, 10, FALSE), 1)</f>
        <v>3.0227277683543319E-2</v>
      </c>
      <c r="Y6" s="7">
        <f>$B6 * IFERROR(VLOOKUP("industry|PM25|Asthma symptoms cough", US_national_yearly!$D:$AM, 33, FALSE) / VLOOKUP("industry|PM25|Asthma symptoms cough", US_national_yearly!$D:$AM, 10, FALSE), 1)</f>
        <v>3.0227277683543319E-2</v>
      </c>
      <c r="Z6" s="7">
        <f>$B6 * IFERROR(VLOOKUP("industry|PM25|Asthma symptoms cough", US_national_yearly!$D:$AM, 34, FALSE) / VLOOKUP("industry|PM25|Asthma symptoms cough", US_national_yearly!$D:$AM, 10, FALSE), 1)</f>
        <v>3.0227277683543319E-2</v>
      </c>
      <c r="AA6" s="7">
        <f>$B6 * IFERROR(VLOOKUP("industry|PM25|Asthma symptoms cough", US_national_yearly!$D:$AM, 35, FALSE) / VLOOKUP("industry|PM25|Asthma symptoms cough", US_national_yearly!$D:$AM, 10, FALSE), 1)</f>
        <v>3.0227277683543319E-2</v>
      </c>
      <c r="AB6" s="7">
        <f>$B6 * IFERROR(VLOOKUP("industry|PM25|Asthma symptoms cough", US_national_yearly!$D:$AM, 36, FALSE) / VLOOKUP("industry|PM25|Asthma symptoms cough", US_national_yearly!$D:$AM, 10, FALSE), 1)</f>
        <v>3.0227277683543319E-2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4.0702620219340402E-2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4.0702620219340402E-2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4.0702620219340402E-2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4.0702620219340402E-2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4.0702620219340402E-2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4.0702620219340402E-2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4.0702620219340402E-2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4.0702620219340402E-2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4.0702620219340402E-2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4.0702620219340402E-2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4.0702620219340402E-2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4.0702620219340402E-2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4.0702620219340402E-2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4.0702620219340402E-2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4.0702620219340402E-2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4.0702620219340402E-2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4.0702620219340402E-2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4.0702620219340402E-2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4.0702620219340402E-2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4.0702620219340402E-2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4.0702620219340402E-2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4.0702620219340402E-2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4.0702620219340402E-2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4.0702620219340402E-2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4.0702620219340402E-2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4.0702620219340402E-2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4.0702620219340402E-2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6.2196666944040323E-2</v>
      </c>
      <c r="C8" s="7">
        <f>$B8 * IFERROR(VLOOKUP("industry|PM25|Asthma symptoms wheeze", US_national_yearly!$D:$AM, 11, FALSE) / VLOOKUP("industry|PM25|Asthma symptoms wheeze", US_national_yearly!$D:$AM, 10, FALSE), 1)</f>
        <v>6.2196666944040323E-2</v>
      </c>
      <c r="D8" s="7">
        <f>$B8 * IFERROR(VLOOKUP("industry|PM25|Asthma symptoms wheeze", US_national_yearly!$D:$AM, 12, FALSE) / VLOOKUP("industry|PM25|Asthma symptoms wheeze", US_national_yearly!$D:$AM, 10, FALSE), 1)</f>
        <v>6.2196666944040323E-2</v>
      </c>
      <c r="E8" s="7">
        <f>$B8 * IFERROR(VLOOKUP("industry|PM25|Asthma symptoms wheeze", US_national_yearly!$D:$AM, 13, FALSE) / VLOOKUP("industry|PM25|Asthma symptoms wheeze", US_national_yearly!$D:$AM, 10, FALSE), 1)</f>
        <v>6.2196666944040323E-2</v>
      </c>
      <c r="F8" s="7">
        <f>$B8 * IFERROR(VLOOKUP("industry|PM25|Asthma symptoms wheeze", US_national_yearly!$D:$AM, 14, FALSE) / VLOOKUP("industry|PM25|Asthma symptoms wheeze", US_national_yearly!$D:$AM, 10, FALSE), 1)</f>
        <v>6.2196666944040323E-2</v>
      </c>
      <c r="G8" s="7">
        <f>$B8 * IFERROR(VLOOKUP("industry|PM25|Asthma symptoms wheeze", US_national_yearly!$D:$AM, 15, FALSE) / VLOOKUP("industry|PM25|Asthma symptoms wheeze", US_national_yearly!$D:$AM, 10, FALSE), 1)</f>
        <v>6.2196666944040323E-2</v>
      </c>
      <c r="H8" s="7">
        <f>$B8 * IFERROR(VLOOKUP("industry|PM25|Asthma symptoms wheeze", US_national_yearly!$D:$AM, 16, FALSE) / VLOOKUP("industry|PM25|Asthma symptoms wheeze", US_national_yearly!$D:$AM, 10, FALSE), 1)</f>
        <v>6.2196666944040323E-2</v>
      </c>
      <c r="I8" s="7">
        <f>$B8 * IFERROR(VLOOKUP("industry|PM25|Asthma symptoms wheeze", US_national_yearly!$D:$AM, 17, FALSE) / VLOOKUP("industry|PM25|Asthma symptoms wheeze", US_national_yearly!$D:$AM, 10, FALSE), 1)</f>
        <v>6.2196666944040323E-2</v>
      </c>
      <c r="J8" s="7">
        <f>$B8 * IFERROR(VLOOKUP("industry|PM25|Asthma symptoms wheeze", US_national_yearly!$D:$AM, 18, FALSE) / VLOOKUP("industry|PM25|Asthma symptoms wheeze", US_national_yearly!$D:$AM, 10, FALSE), 1)</f>
        <v>6.2196666944040323E-2</v>
      </c>
      <c r="K8" s="7">
        <f>$B8 * IFERROR(VLOOKUP("industry|PM25|Asthma symptoms wheeze", US_national_yearly!$D:$AM, 19, FALSE) / VLOOKUP("industry|PM25|Asthma symptoms wheeze", US_national_yearly!$D:$AM, 10, FALSE), 1)</f>
        <v>6.2196666944040323E-2</v>
      </c>
      <c r="L8" s="7">
        <f>$B8 * IFERROR(VLOOKUP("industry|PM25|Asthma symptoms wheeze", US_national_yearly!$D:$AM, 20, FALSE) / VLOOKUP("industry|PM25|Asthma symptoms wheeze", US_national_yearly!$D:$AM, 10, FALSE), 1)</f>
        <v>6.2196666944040323E-2</v>
      </c>
      <c r="M8" s="7">
        <f>$B8 * IFERROR(VLOOKUP("industry|PM25|Asthma symptoms wheeze", US_national_yearly!$D:$AM, 21, FALSE) / VLOOKUP("industry|PM25|Asthma symptoms wheeze", US_national_yearly!$D:$AM, 10, FALSE), 1)</f>
        <v>6.2196666944040323E-2</v>
      </c>
      <c r="N8" s="7">
        <f>$B8 * IFERROR(VLOOKUP("industry|PM25|Asthma symptoms wheeze", US_national_yearly!$D:$AM, 22, FALSE) / VLOOKUP("industry|PM25|Asthma symptoms wheeze", US_national_yearly!$D:$AM, 10, FALSE), 1)</f>
        <v>6.2196666944040323E-2</v>
      </c>
      <c r="O8" s="7">
        <f>$B8 * IFERROR(VLOOKUP("industry|PM25|Asthma symptoms wheeze", US_national_yearly!$D:$AM, 23, FALSE) / VLOOKUP("industry|PM25|Asthma symptoms wheeze", US_national_yearly!$D:$AM, 10, FALSE), 1)</f>
        <v>6.2196666944040323E-2</v>
      </c>
      <c r="P8" s="7">
        <f>$B8 * IFERROR(VLOOKUP("industry|PM25|Asthma symptoms wheeze", US_national_yearly!$D:$AM, 24, FALSE) / VLOOKUP("industry|PM25|Asthma symptoms wheeze", US_national_yearly!$D:$AM, 10, FALSE), 1)</f>
        <v>6.2196666944040323E-2</v>
      </c>
      <c r="Q8" s="7">
        <f>$B8 * IFERROR(VLOOKUP("industry|PM25|Asthma symptoms wheeze", US_national_yearly!$D:$AM, 25, FALSE) / VLOOKUP("industry|PM25|Asthma symptoms wheeze", US_national_yearly!$D:$AM, 10, FALSE), 1)</f>
        <v>6.2196666944040323E-2</v>
      </c>
      <c r="R8" s="7">
        <f>$B8 * IFERROR(VLOOKUP("industry|PM25|Asthma symptoms wheeze", US_national_yearly!$D:$AM, 26, FALSE) / VLOOKUP("industry|PM25|Asthma symptoms wheeze", US_national_yearly!$D:$AM, 10, FALSE), 1)</f>
        <v>6.2196666944040323E-2</v>
      </c>
      <c r="S8" s="7">
        <f>$B8 * IFERROR(VLOOKUP("industry|PM25|Asthma symptoms wheeze", US_national_yearly!$D:$AM, 27, FALSE) / VLOOKUP("industry|PM25|Asthma symptoms wheeze", US_national_yearly!$D:$AM, 10, FALSE), 1)</f>
        <v>6.2196666944040323E-2</v>
      </c>
      <c r="T8" s="7">
        <f>$B8 * IFERROR(VLOOKUP("industry|PM25|Asthma symptoms wheeze", US_national_yearly!$D:$AM, 28, FALSE) / VLOOKUP("industry|PM25|Asthma symptoms wheeze", US_national_yearly!$D:$AM, 10, FALSE), 1)</f>
        <v>6.2196666944040323E-2</v>
      </c>
      <c r="U8" s="7">
        <f>$B8 * IFERROR(VLOOKUP("industry|PM25|Asthma symptoms wheeze", US_national_yearly!$D:$AM, 29, FALSE) / VLOOKUP("industry|PM25|Asthma symptoms wheeze", US_national_yearly!$D:$AM, 10, FALSE), 1)</f>
        <v>6.2196666944040323E-2</v>
      </c>
      <c r="V8" s="7">
        <f>$B8 * IFERROR(VLOOKUP("industry|PM25|Asthma symptoms wheeze", US_national_yearly!$D:$AM, 30, FALSE) / VLOOKUP("industry|PM25|Asthma symptoms wheeze", US_national_yearly!$D:$AM, 10, FALSE), 1)</f>
        <v>6.2196666944040323E-2</v>
      </c>
      <c r="W8" s="7">
        <f>$B8 * IFERROR(VLOOKUP("industry|PM25|Asthma symptoms wheeze", US_national_yearly!$D:$AM, 31, FALSE) / VLOOKUP("industry|PM25|Asthma symptoms wheeze", US_national_yearly!$D:$AM, 10, FALSE), 1)</f>
        <v>6.2196666944040323E-2</v>
      </c>
      <c r="X8" s="7">
        <f>$B8 * IFERROR(VLOOKUP("industry|PM25|Asthma symptoms wheeze", US_national_yearly!$D:$AM, 32, FALSE) / VLOOKUP("industry|PM25|Asthma symptoms wheeze", US_national_yearly!$D:$AM, 10, FALSE), 1)</f>
        <v>6.2196666944040323E-2</v>
      </c>
      <c r="Y8" s="7">
        <f>$B8 * IFERROR(VLOOKUP("industry|PM25|Asthma symptoms wheeze", US_national_yearly!$D:$AM, 33, FALSE) / VLOOKUP("industry|PM25|Asthma symptoms wheeze", US_national_yearly!$D:$AM, 10, FALSE), 1)</f>
        <v>6.2196666944040323E-2</v>
      </c>
      <c r="Z8" s="7">
        <f>$B8 * IFERROR(VLOOKUP("industry|PM25|Asthma symptoms wheeze", US_national_yearly!$D:$AM, 34, FALSE) / VLOOKUP("industry|PM25|Asthma symptoms wheeze", US_national_yearly!$D:$AM, 10, FALSE), 1)</f>
        <v>6.2196666944040323E-2</v>
      </c>
      <c r="AA8" s="7">
        <f>$B8 * IFERROR(VLOOKUP("industry|PM25|Asthma symptoms wheeze", US_national_yearly!$D:$AM, 35, FALSE) / VLOOKUP("industry|PM25|Asthma symptoms wheeze", US_national_yearly!$D:$AM, 10, FALSE), 1)</f>
        <v>6.2196666944040323E-2</v>
      </c>
      <c r="AB8" s="7">
        <f>$B8 * IFERROR(VLOOKUP("industry|PM25|Asthma symptoms wheeze", US_national_yearly!$D:$AM, 36, FALSE) / VLOOKUP("industry|PM25|Asthma symptoms wheeze", US_national_yearly!$D:$AM, 10, FALSE), 1)</f>
        <v>6.2196666944040323E-2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7.9065530916188633E-4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7.9514430501164595E-4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7.9963330086140556E-4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8.0412229671116518E-4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8.0861129256092491E-4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8.134647437968316E-4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8.183181950327385E-4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8.2292230412546626E-4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8.2752641321819412E-4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8.3213052231092177E-4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8.3673463140364964E-4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8.413387404963775E-4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8.4459509788560854E-4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8.4785145527483947E-4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8.5110781266407051E-4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8.5436417005330144E-4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8.5762052744253249E-4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8.60691848176172E-4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8.6376316890981162E-4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8.6683448964345136E-4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8.6990581037709087E-4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8.729771311107306E-4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8.7593436644944152E-4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8.7889160178815254E-4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8.8184883712686367E-4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8.848060724655748E-4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8.8776330780428582E-4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4.4110724677651654E-3</v>
      </c>
      <c r="C13" s="7">
        <f>$B13 * IFERROR(VLOOKUP("industry|PM25|Non-fatal heart attacks", US_national_yearly!$D:$AM, 11, FALSE) / VLOOKUP("industry|PM25|Non-fatal heart attacks", US_national_yearly!$D:$AM, 10, FALSE), 1)</f>
        <v>4.5394799439110898E-3</v>
      </c>
      <c r="D13" s="7">
        <f>$B13 * IFERROR(VLOOKUP("industry|PM25|Non-fatal heart attacks", US_national_yearly!$D:$AM, 12, FALSE) / VLOOKUP("industry|PM25|Non-fatal heart attacks", US_national_yearly!$D:$AM, 10, FALSE), 1)</f>
        <v>4.6678874200570134E-3</v>
      </c>
      <c r="E13" s="7">
        <f>$B13 * IFERROR(VLOOKUP("industry|PM25|Non-fatal heart attacks", US_national_yearly!$D:$AM, 13, FALSE) / VLOOKUP("industry|PM25|Non-fatal heart attacks", US_national_yearly!$D:$AM, 10, FALSE), 1)</f>
        <v>4.7962948962029378E-3</v>
      </c>
      <c r="F13" s="7">
        <f>$B13 * IFERROR(VLOOKUP("industry|PM25|Non-fatal heart attacks", US_national_yearly!$D:$AM, 14, FALSE) / VLOOKUP("industry|PM25|Non-fatal heart attacks", US_national_yearly!$D:$AM, 10, FALSE), 1)</f>
        <v>4.9247023723488622E-3</v>
      </c>
      <c r="G13" s="7">
        <f>$B13 * IFERROR(VLOOKUP("industry|PM25|Non-fatal heart attacks", US_national_yearly!$D:$AM, 15, FALSE) / VLOOKUP("industry|PM25|Non-fatal heart attacks", US_national_yearly!$D:$AM, 10, FALSE), 1)</f>
        <v>5.0459280585748003E-3</v>
      </c>
      <c r="H13" s="7">
        <f>$B13 * IFERROR(VLOOKUP("industry|PM25|Non-fatal heart attacks", US_national_yearly!$D:$AM, 16, FALSE) / VLOOKUP("industry|PM25|Non-fatal heart attacks", US_national_yearly!$D:$AM, 10, FALSE), 1)</f>
        <v>5.1671537448007383E-3</v>
      </c>
      <c r="I13" s="7">
        <f>$B13 * IFERROR(VLOOKUP("industry|PM25|Non-fatal heart attacks", US_national_yearly!$D:$AM, 17, FALSE) / VLOOKUP("industry|PM25|Non-fatal heart attacks", US_national_yearly!$D:$AM, 10, FALSE), 1)</f>
        <v>5.265044605975564E-3</v>
      </c>
      <c r="J13" s="7">
        <f>$B13 * IFERROR(VLOOKUP("industry|PM25|Non-fatal heart attacks", US_national_yearly!$D:$AM, 18, FALSE) / VLOOKUP("industry|PM25|Non-fatal heart attacks", US_national_yearly!$D:$AM, 10, FALSE), 1)</f>
        <v>5.3629354671503879E-3</v>
      </c>
      <c r="K13" s="7">
        <f>$B13 * IFERROR(VLOOKUP("industry|PM25|Non-fatal heart attacks", US_national_yearly!$D:$AM, 19, FALSE) / VLOOKUP("industry|PM25|Non-fatal heart attacks", US_national_yearly!$D:$AM, 10, FALSE), 1)</f>
        <v>5.4608263283252119E-3</v>
      </c>
      <c r="L13" s="7">
        <f>$B13 * IFERROR(VLOOKUP("industry|PM25|Non-fatal heart attacks", US_national_yearly!$D:$AM, 20, FALSE) / VLOOKUP("industry|PM25|Non-fatal heart attacks", US_national_yearly!$D:$AM, 10, FALSE), 1)</f>
        <v>5.5587171895000358E-3</v>
      </c>
      <c r="M13" s="7">
        <f>$B13 * IFERROR(VLOOKUP("industry|PM25|Non-fatal heart attacks", US_national_yearly!$D:$AM, 21, FALSE) / VLOOKUP("industry|PM25|Non-fatal heart attacks", US_national_yearly!$D:$AM, 10, FALSE), 1)</f>
        <v>5.6566080506748597E-3</v>
      </c>
      <c r="N13" s="7">
        <f>$B13 * IFERROR(VLOOKUP("industry|PM25|Non-fatal heart attacks", US_national_yearly!$D:$AM, 22, FALSE) / VLOOKUP("industry|PM25|Non-fatal heart attacks", US_national_yearly!$D:$AM, 10, FALSE), 1)</f>
        <v>5.7198999440570934E-3</v>
      </c>
      <c r="O13" s="7">
        <f>$B13 * IFERROR(VLOOKUP("industry|PM25|Non-fatal heart attacks", US_national_yearly!$D:$AM, 23, FALSE) / VLOOKUP("industry|PM25|Non-fatal heart attacks", US_national_yearly!$D:$AM, 10, FALSE), 1)</f>
        <v>5.7831918374393271E-3</v>
      </c>
      <c r="P13" s="7">
        <f>$B13 * IFERROR(VLOOKUP("industry|PM25|Non-fatal heart attacks", US_national_yearly!$D:$AM, 24, FALSE) / VLOOKUP("industry|PM25|Non-fatal heart attacks", US_national_yearly!$D:$AM, 10, FALSE), 1)</f>
        <v>5.8464837308215608E-3</v>
      </c>
      <c r="Q13" s="7">
        <f>$B13 * IFERROR(VLOOKUP("industry|PM25|Non-fatal heart attacks", US_national_yearly!$D:$AM, 25, FALSE) / VLOOKUP("industry|PM25|Non-fatal heart attacks", US_national_yearly!$D:$AM, 10, FALSE), 1)</f>
        <v>5.9097756242037936E-3</v>
      </c>
      <c r="R13" s="7">
        <f>$B13 * IFERROR(VLOOKUP("industry|PM25|Non-fatal heart attacks", US_national_yearly!$D:$AM, 26, FALSE) / VLOOKUP("industry|PM25|Non-fatal heart attacks", US_national_yearly!$D:$AM, 10, FALSE), 1)</f>
        <v>5.9730675175860273E-3</v>
      </c>
      <c r="S13" s="7">
        <f>$B13 * IFERROR(VLOOKUP("industry|PM25|Non-fatal heart attacks", US_national_yearly!$D:$AM, 27, FALSE) / VLOOKUP("industry|PM25|Non-fatal heart attacks", US_national_yearly!$D:$AM, 10, FALSE), 1)</f>
        <v>6.0068719576955552E-3</v>
      </c>
      <c r="T13" s="7">
        <f>$B13 * IFERROR(VLOOKUP("industry|PM25|Non-fatal heart attacks", US_national_yearly!$D:$AM, 28, FALSE) / VLOOKUP("industry|PM25|Non-fatal heart attacks", US_national_yearly!$D:$AM, 10, FALSE), 1)</f>
        <v>6.0406763978050858E-3</v>
      </c>
      <c r="U13" s="7">
        <f>$B13 * IFERROR(VLOOKUP("industry|PM25|Non-fatal heart attacks", US_national_yearly!$D:$AM, 29, FALSE) / VLOOKUP("industry|PM25|Non-fatal heart attacks", US_national_yearly!$D:$AM, 10, FALSE), 1)</f>
        <v>6.0744808379146146E-3</v>
      </c>
      <c r="V13" s="7">
        <f>$B13 * IFERROR(VLOOKUP("industry|PM25|Non-fatal heart attacks", US_national_yearly!$D:$AM, 30, FALSE) / VLOOKUP("industry|PM25|Non-fatal heart attacks", US_national_yearly!$D:$AM, 10, FALSE), 1)</f>
        <v>6.1082852780241434E-3</v>
      </c>
      <c r="W13" s="7">
        <f>$B13 * IFERROR(VLOOKUP("industry|PM25|Non-fatal heart attacks", US_national_yearly!$D:$AM, 31, FALSE) / VLOOKUP("industry|PM25|Non-fatal heart attacks", US_national_yearly!$D:$AM, 10, FALSE), 1)</f>
        <v>6.1420897181336731E-3</v>
      </c>
      <c r="X13" s="7">
        <f>$B13 * IFERROR(VLOOKUP("industry|PM25|Non-fatal heart attacks", US_national_yearly!$D:$AM, 32, FALSE) / VLOOKUP("industry|PM25|Non-fatal heart attacks", US_national_yearly!$D:$AM, 10, FALSE), 1)</f>
        <v>6.1681797668637749E-3</v>
      </c>
      <c r="Y13" s="7">
        <f>$B13 * IFERROR(VLOOKUP("industry|PM25|Non-fatal heart attacks", US_national_yearly!$D:$AM, 33, FALSE) / VLOOKUP("industry|PM25|Non-fatal heart attacks", US_national_yearly!$D:$AM, 10, FALSE), 1)</f>
        <v>6.1942698155938759E-3</v>
      </c>
      <c r="Z13" s="7">
        <f>$B13 * IFERROR(VLOOKUP("industry|PM25|Non-fatal heart attacks", US_national_yearly!$D:$AM, 34, FALSE) / VLOOKUP("industry|PM25|Non-fatal heart attacks", US_national_yearly!$D:$AM, 10, FALSE), 1)</f>
        <v>6.2203598643239778E-3</v>
      </c>
      <c r="AA13" s="7">
        <f>$B13 * IFERROR(VLOOKUP("industry|PM25|Non-fatal heart attacks", US_national_yearly!$D:$AM, 35, FALSE) / VLOOKUP("industry|PM25|Non-fatal heart attacks", US_national_yearly!$D:$AM, 10, FALSE), 1)</f>
        <v>6.2464499130540797E-3</v>
      </c>
      <c r="AB13" s="7">
        <f>$B13 * IFERROR(VLOOKUP("industry|PM25|Non-fatal heart attacks", US_national_yearly!$D:$AM, 36, FALSE) / VLOOKUP("industry|PM25|Non-fatal heart attacks", US_national_yearly!$D:$AM, 10, FALSE), 1)</f>
        <v>6.2725399617841815E-3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3.3236743319070428</v>
      </c>
      <c r="C14" s="7">
        <f>$B14 * IFERROR(VLOOKUP("industry|PM25|Minor restricted activity days", US_national_yearly!$D:$AM, 11, FALSE) / VLOOKUP("industry|PM25|Minor restricted activity days", US_national_yearly!$D:$AM, 10, FALSE), 1)</f>
        <v>3.3318145612641237</v>
      </c>
      <c r="D14" s="7">
        <f>$B14 * IFERROR(VLOOKUP("industry|PM25|Minor restricted activity days", US_national_yearly!$D:$AM, 12, FALSE) / VLOOKUP("industry|PM25|Minor restricted activity days", US_national_yearly!$D:$AM, 10, FALSE), 1)</f>
        <v>3.3399547906212055</v>
      </c>
      <c r="E14" s="7">
        <f>$B14 * IFERROR(VLOOKUP("industry|PM25|Minor restricted activity days", US_national_yearly!$D:$AM, 13, FALSE) / VLOOKUP("industry|PM25|Minor restricted activity days", US_national_yearly!$D:$AM, 10, FALSE), 1)</f>
        <v>3.3480950199782864</v>
      </c>
      <c r="F14" s="7">
        <f>$B14 * IFERROR(VLOOKUP("industry|PM25|Minor restricted activity days", US_national_yearly!$D:$AM, 14, FALSE) / VLOOKUP("industry|PM25|Minor restricted activity days", US_national_yearly!$D:$AM, 10, FALSE), 1)</f>
        <v>3.3562352493353673</v>
      </c>
      <c r="G14" s="7">
        <f>$B14 * IFERROR(VLOOKUP("industry|PM25|Minor restricted activity days", US_national_yearly!$D:$AM, 15, FALSE) / VLOOKUP("industry|PM25|Minor restricted activity days", US_national_yearly!$D:$AM, 10, FALSE), 1)</f>
        <v>3.3681837830109211</v>
      </c>
      <c r="H14" s="7">
        <f>$B14 * IFERROR(VLOOKUP("industry|PM25|Minor restricted activity days", US_national_yearly!$D:$AM, 16, FALSE) / VLOOKUP("industry|PM25|Minor restricted activity days", US_national_yearly!$D:$AM, 10, FALSE), 1)</f>
        <v>3.3801323166864741</v>
      </c>
      <c r="I14" s="7">
        <f>$B14 * IFERROR(VLOOKUP("industry|PM25|Minor restricted activity days", US_national_yearly!$D:$AM, 17, FALSE) / VLOOKUP("industry|PM25|Minor restricted activity days", US_national_yearly!$D:$AM, 10, FALSE), 1)</f>
        <v>3.4004298031056965</v>
      </c>
      <c r="J14" s="7">
        <f>$B14 * IFERROR(VLOOKUP("industry|PM25|Minor restricted activity days", US_national_yearly!$D:$AM, 18, FALSE) / VLOOKUP("industry|PM25|Minor restricted activity days", US_national_yearly!$D:$AM, 10, FALSE), 1)</f>
        <v>3.4207272895249199</v>
      </c>
      <c r="K14" s="7">
        <f>$B14 * IFERROR(VLOOKUP("industry|PM25|Minor restricted activity days", US_national_yearly!$D:$AM, 19, FALSE) / VLOOKUP("industry|PM25|Minor restricted activity days", US_national_yearly!$D:$AM, 10, FALSE), 1)</f>
        <v>3.4410247759441415</v>
      </c>
      <c r="L14" s="7">
        <f>$B14 * IFERROR(VLOOKUP("industry|PM25|Minor restricted activity days", US_national_yearly!$D:$AM, 20, FALSE) / VLOOKUP("industry|PM25|Minor restricted activity days", US_national_yearly!$D:$AM, 10, FALSE), 1)</f>
        <v>3.4613222623633644</v>
      </c>
      <c r="M14" s="7">
        <f>$B14 * IFERROR(VLOOKUP("industry|PM25|Minor restricted activity days", US_national_yearly!$D:$AM, 21, FALSE) / VLOOKUP("industry|PM25|Minor restricted activity days", US_national_yearly!$D:$AM, 10, FALSE), 1)</f>
        <v>3.4816197487825868</v>
      </c>
      <c r="N14" s="7">
        <f>$B14 * IFERROR(VLOOKUP("industry|PM25|Minor restricted activity days", US_national_yearly!$D:$AM, 22, FALSE) / VLOOKUP("industry|PM25|Minor restricted activity days", US_national_yearly!$D:$AM, 10, FALSE), 1)</f>
        <v>3.509348119423934</v>
      </c>
      <c r="O14" s="7">
        <f>$B14 * IFERROR(VLOOKUP("industry|PM25|Minor restricted activity days", US_national_yearly!$D:$AM, 23, FALSE) / VLOOKUP("industry|PM25|Minor restricted activity days", US_national_yearly!$D:$AM, 10, FALSE), 1)</f>
        <v>3.5370764900652838</v>
      </c>
      <c r="P14" s="7">
        <f>$B14 * IFERROR(VLOOKUP("industry|PM25|Minor restricted activity days", US_national_yearly!$D:$AM, 24, FALSE) / VLOOKUP("industry|PM25|Minor restricted activity days", US_national_yearly!$D:$AM, 10, FALSE), 1)</f>
        <v>3.5648048607066309</v>
      </c>
      <c r="Q14" s="7">
        <f>$B14 * IFERROR(VLOOKUP("industry|PM25|Minor restricted activity days", US_national_yearly!$D:$AM, 25, FALSE) / VLOOKUP("industry|PM25|Minor restricted activity days", US_national_yearly!$D:$AM, 10, FALSE), 1)</f>
        <v>3.5925332313479816</v>
      </c>
      <c r="R14" s="7">
        <f>$B14 * IFERROR(VLOOKUP("industry|PM25|Minor restricted activity days", US_national_yearly!$D:$AM, 26, FALSE) / VLOOKUP("industry|PM25|Minor restricted activity days", US_national_yearly!$D:$AM, 10, FALSE), 1)</f>
        <v>3.6202616019893288</v>
      </c>
      <c r="S14" s="7">
        <f>$B14 * IFERROR(VLOOKUP("industry|PM25|Minor restricted activity days", US_national_yearly!$D:$AM, 27, FALSE) / VLOOKUP("industry|PM25|Minor restricted activity days", US_national_yearly!$D:$AM, 10, FALSE), 1)</f>
        <v>3.6482561758333163</v>
      </c>
      <c r="T14" s="7">
        <f>$B14 * IFERROR(VLOOKUP("industry|PM25|Minor restricted activity days", US_national_yearly!$D:$AM, 28, FALSE) / VLOOKUP("industry|PM25|Minor restricted activity days", US_national_yearly!$D:$AM, 10, FALSE), 1)</f>
        <v>3.6762507496773047</v>
      </c>
      <c r="U14" s="7">
        <f>$B14 * IFERROR(VLOOKUP("industry|PM25|Minor restricted activity days", US_national_yearly!$D:$AM, 29, FALSE) / VLOOKUP("industry|PM25|Minor restricted activity days", US_national_yearly!$D:$AM, 10, FALSE), 1)</f>
        <v>3.7042453235212922</v>
      </c>
      <c r="V14" s="7">
        <f>$B14 * IFERROR(VLOOKUP("industry|PM25|Minor restricted activity days", US_national_yearly!$D:$AM, 30, FALSE) / VLOOKUP("industry|PM25|Minor restricted activity days", US_national_yearly!$D:$AM, 10, FALSE), 1)</f>
        <v>3.7322398973652793</v>
      </c>
      <c r="W14" s="7">
        <f>$B14 * IFERROR(VLOOKUP("industry|PM25|Minor restricted activity days", US_national_yearly!$D:$AM, 31, FALSE) / VLOOKUP("industry|PM25|Minor restricted activity days", US_national_yearly!$D:$AM, 10, FALSE), 1)</f>
        <v>3.7602344712092677</v>
      </c>
      <c r="X14" s="7">
        <f>$B14 * IFERROR(VLOOKUP("industry|PM25|Minor restricted activity days", US_national_yearly!$D:$AM, 32, FALSE) / VLOOKUP("industry|PM25|Minor restricted activity days", US_national_yearly!$D:$AM, 10, FALSE), 1)</f>
        <v>3.7845607306349964</v>
      </c>
      <c r="Y14" s="7">
        <f>$B14 * IFERROR(VLOOKUP("industry|PM25|Minor restricted activity days", US_national_yearly!$D:$AM, 33, FALSE) / VLOOKUP("industry|PM25|Minor restricted activity days", US_national_yearly!$D:$AM, 10, FALSE), 1)</f>
        <v>3.8088869900607261</v>
      </c>
      <c r="Z14" s="7">
        <f>$B14 * IFERROR(VLOOKUP("industry|PM25|Minor restricted activity days", US_national_yearly!$D:$AM, 34, FALSE) / VLOOKUP("industry|PM25|Minor restricted activity days", US_national_yearly!$D:$AM, 10, FALSE), 1)</f>
        <v>3.8332132494864557</v>
      </c>
      <c r="AA14" s="7">
        <f>$B14 * IFERROR(VLOOKUP("industry|PM25|Minor restricted activity days", US_national_yearly!$D:$AM, 35, FALSE) / VLOOKUP("industry|PM25|Minor restricted activity days", US_national_yearly!$D:$AM, 10, FALSE), 1)</f>
        <v>3.8575395089121849</v>
      </c>
      <c r="AB14" s="7">
        <f>$B14 * IFERROR(VLOOKUP("industry|PM25|Minor restricted activity days", US_national_yearly!$D:$AM, 36, FALSE) / VLOOKUP("industry|PM25|Minor restricted activity days", US_national_yearly!$D:$AM, 10, FALSE), 1)</f>
        <v>3.8818657683379145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0.56525713676675604</v>
      </c>
      <c r="C15" s="7">
        <f>$B15 * IFERROR(VLOOKUP("industry|PM25|Work loss days", US_national_yearly!$D:$AM, 11, FALSE) / VLOOKUP("industry|PM25|Work loss days", US_national_yearly!$D:$AM, 10, FALSE), 1)</f>
        <v>0.56700966084119964</v>
      </c>
      <c r="D15" s="7">
        <f>$B15 * IFERROR(VLOOKUP("industry|PM25|Work loss days", US_national_yearly!$D:$AM, 12, FALSE) / VLOOKUP("industry|PM25|Work loss days", US_national_yearly!$D:$AM, 10, FALSE), 1)</f>
        <v>0.56876218491564323</v>
      </c>
      <c r="E15" s="7">
        <f>$B15 * IFERROR(VLOOKUP("industry|PM25|Work loss days", US_national_yearly!$D:$AM, 13, FALSE) / VLOOKUP("industry|PM25|Work loss days", US_national_yearly!$D:$AM, 10, FALSE), 1)</f>
        <v>0.57051470899008683</v>
      </c>
      <c r="F15" s="7">
        <f>$B15 * IFERROR(VLOOKUP("industry|PM25|Work loss days", US_national_yearly!$D:$AM, 14, FALSE) / VLOOKUP("industry|PM25|Work loss days", US_national_yearly!$D:$AM, 10, FALSE), 1)</f>
        <v>0.57226723306453042</v>
      </c>
      <c r="G15" s="7">
        <f>$B15 * IFERROR(VLOOKUP("industry|PM25|Work loss days", US_national_yearly!$D:$AM, 15, FALSE) / VLOOKUP("industry|PM25|Work loss days", US_national_yearly!$D:$AM, 10, FALSE), 1)</f>
        <v>0.57455522997770592</v>
      </c>
      <c r="H15" s="7">
        <f>$B15 * IFERROR(VLOOKUP("industry|PM25|Work loss days", US_national_yearly!$D:$AM, 16, FALSE) / VLOOKUP("industry|PM25|Work loss days", US_national_yearly!$D:$AM, 10, FALSE), 1)</f>
        <v>0.57684322689088141</v>
      </c>
      <c r="I15" s="7">
        <f>$B15 * IFERROR(VLOOKUP("industry|PM25|Work loss days", US_national_yearly!$D:$AM, 17, FALSE) / VLOOKUP("industry|PM25|Work loss days", US_national_yearly!$D:$AM, 10, FALSE), 1)</f>
        <v>0.58019358255840181</v>
      </c>
      <c r="J15" s="7">
        <f>$B15 * IFERROR(VLOOKUP("industry|PM25|Work loss days", US_national_yearly!$D:$AM, 18, FALSE) / VLOOKUP("industry|PM25|Work loss days", US_national_yearly!$D:$AM, 10, FALSE), 1)</f>
        <v>0.58354393822592221</v>
      </c>
      <c r="K15" s="7">
        <f>$B15 * IFERROR(VLOOKUP("industry|PM25|Work loss days", US_national_yearly!$D:$AM, 19, FALSE) / VLOOKUP("industry|PM25|Work loss days", US_national_yearly!$D:$AM, 10, FALSE), 1)</f>
        <v>0.5868942938934425</v>
      </c>
      <c r="L15" s="7">
        <f>$B15 * IFERROR(VLOOKUP("industry|PM25|Work loss days", US_national_yearly!$D:$AM, 20, FALSE) / VLOOKUP("industry|PM25|Work loss days", US_national_yearly!$D:$AM, 10, FALSE), 1)</f>
        <v>0.59024464956096279</v>
      </c>
      <c r="M15" s="7">
        <f>$B15 * IFERROR(VLOOKUP("industry|PM25|Work loss days", US_national_yearly!$D:$AM, 21, FALSE) / VLOOKUP("industry|PM25|Work loss days", US_national_yearly!$D:$AM, 10, FALSE), 1)</f>
        <v>0.59359500522848319</v>
      </c>
      <c r="N15" s="7">
        <f>$B15 * IFERROR(VLOOKUP("industry|PM25|Work loss days", US_national_yearly!$D:$AM, 22, FALSE) / VLOOKUP("industry|PM25|Work loss days", US_national_yearly!$D:$AM, 10, FALSE), 1)</f>
        <v>0.59782271432029133</v>
      </c>
      <c r="O15" s="7">
        <f>$B15 * IFERROR(VLOOKUP("industry|PM25|Work loss days", US_national_yearly!$D:$AM, 23, FALSE) / VLOOKUP("industry|PM25|Work loss days", US_national_yearly!$D:$AM, 10, FALSE), 1)</f>
        <v>0.60205042341209936</v>
      </c>
      <c r="P15" s="7">
        <f>$B15 * IFERROR(VLOOKUP("industry|PM25|Work loss days", US_national_yearly!$D:$AM, 24, FALSE) / VLOOKUP("industry|PM25|Work loss days", US_national_yearly!$D:$AM, 10, FALSE), 1)</f>
        <v>0.60627813250390727</v>
      </c>
      <c r="Q15" s="7">
        <f>$B15 * IFERROR(VLOOKUP("industry|PM25|Work loss days", US_national_yearly!$D:$AM, 25, FALSE) / VLOOKUP("industry|PM25|Work loss days", US_national_yearly!$D:$AM, 10, FALSE), 1)</f>
        <v>0.61050584159571541</v>
      </c>
      <c r="R15" s="7">
        <f>$B15 * IFERROR(VLOOKUP("industry|PM25|Work loss days", US_national_yearly!$D:$AM, 26, FALSE) / VLOOKUP("industry|PM25|Work loss days", US_national_yearly!$D:$AM, 10, FALSE), 1)</f>
        <v>0.61473355068752333</v>
      </c>
      <c r="S15" s="7">
        <f>$B15 * IFERROR(VLOOKUP("industry|PM25|Work loss days", US_national_yearly!$D:$AM, 27, FALSE) / VLOOKUP("industry|PM25|Work loss days", US_national_yearly!$D:$AM, 10, FALSE), 1)</f>
        <v>0.6194214807144659</v>
      </c>
      <c r="T15" s="7">
        <f>$B15 * IFERROR(VLOOKUP("industry|PM25|Work loss days", US_national_yearly!$D:$AM, 28, FALSE) / VLOOKUP("industry|PM25|Work loss days", US_national_yearly!$D:$AM, 10, FALSE), 1)</f>
        <v>0.62410941074140824</v>
      </c>
      <c r="U15" s="7">
        <f>$B15 * IFERROR(VLOOKUP("industry|PM25|Work loss days", US_national_yearly!$D:$AM, 29, FALSE) / VLOOKUP("industry|PM25|Work loss days", US_national_yearly!$D:$AM, 10, FALSE), 1)</f>
        <v>0.6287973407683507</v>
      </c>
      <c r="V15" s="7">
        <f>$B15 * IFERROR(VLOOKUP("industry|PM25|Work loss days", US_national_yearly!$D:$AM, 30, FALSE) / VLOOKUP("industry|PM25|Work loss days", US_national_yearly!$D:$AM, 10, FALSE), 1)</f>
        <v>0.63348527079529304</v>
      </c>
      <c r="W15" s="7">
        <f>$B15 * IFERROR(VLOOKUP("industry|PM25|Work loss days", US_national_yearly!$D:$AM, 31, FALSE) / VLOOKUP("industry|PM25|Work loss days", US_national_yearly!$D:$AM, 10, FALSE), 1)</f>
        <v>0.63817320082223561</v>
      </c>
      <c r="X15" s="7">
        <f>$B15 * IFERROR(VLOOKUP("industry|PM25|Work loss days", US_national_yearly!$D:$AM, 32, FALSE) / VLOOKUP("industry|PM25|Work loss days", US_national_yearly!$D:$AM, 10, FALSE), 1)</f>
        <v>0.64233904306727418</v>
      </c>
      <c r="Y15" s="7">
        <f>$B15 * IFERROR(VLOOKUP("industry|PM25|Work loss days", US_national_yearly!$D:$AM, 33, FALSE) / VLOOKUP("industry|PM25|Work loss days", US_national_yearly!$D:$AM, 10, FALSE), 1)</f>
        <v>0.64650488531231287</v>
      </c>
      <c r="Z15" s="7">
        <f>$B15 * IFERROR(VLOOKUP("industry|PM25|Work loss days", US_national_yearly!$D:$AM, 34, FALSE) / VLOOKUP("industry|PM25|Work loss days", US_national_yearly!$D:$AM, 10, FALSE), 1)</f>
        <v>0.65067072755735156</v>
      </c>
      <c r="AA15" s="7">
        <f>$B15 * IFERROR(VLOOKUP("industry|PM25|Work loss days", US_national_yearly!$D:$AM, 35, FALSE) / VLOOKUP("industry|PM25|Work loss days", US_national_yearly!$D:$AM, 10, FALSE), 1)</f>
        <v>0.65483656980239024</v>
      </c>
      <c r="AB15" s="7">
        <f>$B15 * IFERROR(VLOOKUP("industry|PM25|Work loss days", US_national_yearly!$D:$AM, 36, FALSE) / VLOOKUP("industry|PM25|Work loss days", US_national_yearly!$D:$AM, 10, FALSE), 1)</f>
        <v>0.65900241204742893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1.1033381431551294E-3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1.1363396943896117E-3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1.1693412456240942E-3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1.2023427968585764E-3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1.2353443480930585E-3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1.2669739562419402E-3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1.2986035643908216E-3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1.3257603548278336E-3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1.3529171452648452E-3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1.3800739357018575E-3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1.4072307261388695E-3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1.4343875165758815E-3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1.4525283549729196E-3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1.470669193369957E-3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1.4888100317669948E-3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1.5069508701640326E-3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1.5250917085610702E-3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1.5348111298490665E-3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1.5445305511370628E-3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1.5542499724250595E-3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1.5639693937130556E-3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1.5736888150010518E-3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1.5803630886853822E-3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1.5870373623697121E-3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1.5937116360540424E-3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1.6003859097383723E-3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1.6070601834227024E-3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2.4161149189504576E-5</v>
      </c>
      <c r="C2" s="7">
        <f>$B2 * IFERROR(VLOOKUP("industry|NOx|Premature mortality", US_national_yearly!$D:$AM, 11, FALSE) / VLOOKUP("industry|NOx|Premature mortality", US_national_yearly!$D:$AM, 10, FALSE), 1)</f>
        <v>2.4518413760788149E-5</v>
      </c>
      <c r="D2" s="7">
        <f>$B2 * IFERROR(VLOOKUP("industry|NOx|Premature mortality", US_national_yearly!$D:$AM, 12, FALSE) / VLOOKUP("industry|NOx|Premature mortality", US_national_yearly!$D:$AM, 10, FALSE), 1)</f>
        <v>2.4875678332071725E-5</v>
      </c>
      <c r="E2" s="7">
        <f>$B2 * IFERROR(VLOOKUP("industry|NOx|Premature mortality", US_national_yearly!$D:$AM, 13, FALSE) / VLOOKUP("industry|NOx|Premature mortality", US_national_yearly!$D:$AM, 10, FALSE), 1)</f>
        <v>2.5232942903355297E-5</v>
      </c>
      <c r="F2" s="7">
        <f>$B2 * IFERROR(VLOOKUP("industry|NOx|Premature mortality", US_national_yearly!$D:$AM, 14, FALSE) / VLOOKUP("industry|NOx|Premature mortality", US_national_yearly!$D:$AM, 10, FALSE), 1)</f>
        <v>2.5590207474638873E-5</v>
      </c>
      <c r="G2" s="7">
        <f>$B2 * IFERROR(VLOOKUP("industry|NOx|Premature mortality", US_national_yearly!$D:$AM, 15, FALSE) / VLOOKUP("industry|NOx|Premature mortality", US_national_yearly!$D:$AM, 10, FALSE), 1)</f>
        <v>2.6230916640276898E-5</v>
      </c>
      <c r="H2" s="7">
        <f>$B2 * IFERROR(VLOOKUP("industry|NOx|Premature mortality", US_national_yearly!$D:$AM, 16, FALSE) / VLOOKUP("industry|NOx|Premature mortality", US_national_yearly!$D:$AM, 10, FALSE), 1)</f>
        <v>2.6871625805914922E-5</v>
      </c>
      <c r="I2" s="7">
        <f>$B2 * IFERROR(VLOOKUP("industry|NOx|Premature mortality", US_national_yearly!$D:$AM, 17, FALSE) / VLOOKUP("industry|NOx|Premature mortality", US_national_yearly!$D:$AM, 10, FALSE), 1)</f>
        <v>2.7287275400552452E-5</v>
      </c>
      <c r="J2" s="7">
        <f>$B2 * IFERROR(VLOOKUP("industry|NOx|Premature mortality", US_national_yearly!$D:$AM, 18, FALSE) / VLOOKUP("industry|NOx|Premature mortality", US_national_yearly!$D:$AM, 10, FALSE), 1)</f>
        <v>2.7702924995189978E-5</v>
      </c>
      <c r="K2" s="7">
        <f>$B2 * IFERROR(VLOOKUP("industry|NOx|Premature mortality", US_national_yearly!$D:$AM, 19, FALSE) / VLOOKUP("industry|NOx|Premature mortality", US_national_yearly!$D:$AM, 10, FALSE), 1)</f>
        <v>2.8118574589827514E-5</v>
      </c>
      <c r="L2" s="7">
        <f>$B2 * IFERROR(VLOOKUP("industry|NOx|Premature mortality", US_national_yearly!$D:$AM, 20, FALSE) / VLOOKUP("industry|NOx|Premature mortality", US_national_yearly!$D:$AM, 10, FALSE), 1)</f>
        <v>2.8534224184465041E-5</v>
      </c>
      <c r="M2" s="7">
        <f>$B2 * IFERROR(VLOOKUP("industry|NOx|Premature mortality", US_national_yearly!$D:$AM, 21, FALSE) / VLOOKUP("industry|NOx|Premature mortality", US_national_yearly!$D:$AM, 10, FALSE), 1)</f>
        <v>2.894987377910257E-5</v>
      </c>
      <c r="N2" s="7">
        <f>$B2 * IFERROR(VLOOKUP("industry|NOx|Premature mortality", US_national_yearly!$D:$AM, 22, FALSE) / VLOOKUP("industry|NOx|Premature mortality", US_national_yearly!$D:$AM, 10, FALSE), 1)</f>
        <v>2.9259171315814279E-5</v>
      </c>
      <c r="O2" s="7">
        <f>$B2 * IFERROR(VLOOKUP("industry|NOx|Premature mortality", US_national_yearly!$D:$AM, 23, FALSE) / VLOOKUP("industry|NOx|Premature mortality", US_national_yearly!$D:$AM, 10, FALSE), 1)</f>
        <v>2.9568468852525985E-5</v>
      </c>
      <c r="P2" s="7">
        <f>$B2 * IFERROR(VLOOKUP("industry|NOx|Premature mortality", US_national_yearly!$D:$AM, 24, FALSE) / VLOOKUP("industry|NOx|Premature mortality", US_national_yearly!$D:$AM, 10, FALSE), 1)</f>
        <v>2.9877766389237685E-5</v>
      </c>
      <c r="Q2" s="7">
        <f>$B2 * IFERROR(VLOOKUP("industry|NOx|Premature mortality", US_national_yearly!$D:$AM, 25, FALSE) / VLOOKUP("industry|NOx|Premature mortality", US_national_yearly!$D:$AM, 10, FALSE), 1)</f>
        <v>3.0187063925949391E-5</v>
      </c>
      <c r="R2" s="7">
        <f>$B2 * IFERROR(VLOOKUP("industry|NOx|Premature mortality", US_national_yearly!$D:$AM, 26, FALSE) / VLOOKUP("industry|NOx|Premature mortality", US_national_yearly!$D:$AM, 10, FALSE), 1)</f>
        <v>3.0496361462661093E-5</v>
      </c>
      <c r="S2" s="7">
        <f>$B2 * IFERROR(VLOOKUP("industry|NOx|Premature mortality", US_national_yearly!$D:$AM, 27, FALSE) / VLOOKUP("industry|NOx|Premature mortality", US_national_yearly!$D:$AM, 10, FALSE), 1)</f>
        <v>3.0640389069426719E-5</v>
      </c>
      <c r="T2" s="7">
        <f>$B2 * IFERROR(VLOOKUP("industry|NOx|Premature mortality", US_national_yearly!$D:$AM, 28, FALSE) / VLOOKUP("industry|NOx|Premature mortality", US_national_yearly!$D:$AM, 10, FALSE), 1)</f>
        <v>3.0784416676192338E-5</v>
      </c>
      <c r="U2" s="7">
        <f>$B2 * IFERROR(VLOOKUP("industry|NOx|Premature mortality", US_national_yearly!$D:$AM, 29, FALSE) / VLOOKUP("industry|NOx|Premature mortality", US_national_yearly!$D:$AM, 10, FALSE), 1)</f>
        <v>3.0928444282957963E-5</v>
      </c>
      <c r="V2" s="7">
        <f>$B2 * IFERROR(VLOOKUP("industry|NOx|Premature mortality", US_national_yearly!$D:$AM, 30, FALSE) / VLOOKUP("industry|NOx|Premature mortality", US_national_yearly!$D:$AM, 10, FALSE), 1)</f>
        <v>3.1072471889723589E-5</v>
      </c>
      <c r="W2" s="7">
        <f>$B2 * IFERROR(VLOOKUP("industry|NOx|Premature mortality", US_national_yearly!$D:$AM, 31, FALSE) / VLOOKUP("industry|NOx|Premature mortality", US_national_yearly!$D:$AM, 10, FALSE), 1)</f>
        <v>3.1216499496489208E-5</v>
      </c>
      <c r="X2" s="7">
        <f>$B2 * IFERROR(VLOOKUP("industry|NOx|Premature mortality", US_national_yearly!$D:$AM, 32, FALSE) / VLOOKUP("industry|NOx|Premature mortality", US_national_yearly!$D:$AM, 10, FALSE), 1)</f>
        <v>3.1227506546823907E-5</v>
      </c>
      <c r="Y2" s="7">
        <f>$B2 * IFERROR(VLOOKUP("industry|NOx|Premature mortality", US_national_yearly!$D:$AM, 33, FALSE) / VLOOKUP("industry|NOx|Premature mortality", US_national_yearly!$D:$AM, 10, FALSE), 1)</f>
        <v>3.1238513597158605E-5</v>
      </c>
      <c r="Z2" s="7">
        <f>$B2 * IFERROR(VLOOKUP("industry|NOx|Premature mortality", US_national_yearly!$D:$AM, 34, FALSE) / VLOOKUP("industry|NOx|Premature mortality", US_national_yearly!$D:$AM, 10, FALSE), 1)</f>
        <v>3.1249520647493311E-5</v>
      </c>
      <c r="AA2" s="7">
        <f>$B2 * IFERROR(VLOOKUP("industry|NOx|Premature mortality", US_national_yearly!$D:$AM, 35, FALSE) / VLOOKUP("industry|NOx|Premature mortality", US_national_yearly!$D:$AM, 10, FALSE), 1)</f>
        <v>3.1260527697828009E-5</v>
      </c>
      <c r="AB2" s="7">
        <f>$B2 * IFERROR(VLOOKUP("industry|NOx|Premature mortality", US_national_yearly!$D:$AM, 36, FALSE) / VLOOKUP("industry|NOx|Premature mortality", US_national_yearly!$D:$AM, 10, FALSE), 1)</f>
        <v>3.1271534748162708E-5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7.5074728563359544E-8</v>
      </c>
      <c r="C3" s="7">
        <f>$B3 * IFERROR(VLOOKUP("industry|NOx|Infant mortality", US_national_yearly!$D:$AM, 11, FALSE) / VLOOKUP("industry|NOx|Infant mortality", US_national_yearly!$D:$AM, 10, FALSE), 1)</f>
        <v>7.4355750469092935E-8</v>
      </c>
      <c r="D3" s="7">
        <f>$B3 * IFERROR(VLOOKUP("industry|NOx|Infant mortality", US_national_yearly!$D:$AM, 12, FALSE) / VLOOKUP("industry|NOx|Infant mortality", US_national_yearly!$D:$AM, 10, FALSE), 1)</f>
        <v>7.3636772374826326E-8</v>
      </c>
      <c r="E3" s="7">
        <f>$B3 * IFERROR(VLOOKUP("industry|NOx|Infant mortality", US_national_yearly!$D:$AM, 13, FALSE) / VLOOKUP("industry|NOx|Infant mortality", US_national_yearly!$D:$AM, 10, FALSE), 1)</f>
        <v>7.2917794280559718E-8</v>
      </c>
      <c r="F3" s="7">
        <f>$B3 * IFERROR(VLOOKUP("industry|NOx|Infant mortality", US_national_yearly!$D:$AM, 14, FALSE) / VLOOKUP("industry|NOx|Infant mortality", US_national_yearly!$D:$AM, 10, FALSE), 1)</f>
        <v>7.2198816186293109E-8</v>
      </c>
      <c r="G3" s="7">
        <f>$B3 * IFERROR(VLOOKUP("industry|NOx|Infant mortality", US_national_yearly!$D:$AM, 15, FALSE) / VLOOKUP("industry|NOx|Infant mortality", US_national_yearly!$D:$AM, 10, FALSE), 1)</f>
        <v>4.7888625400369898E-8</v>
      </c>
      <c r="H3" s="7">
        <f>$B3 * IFERROR(VLOOKUP("industry|NOx|Infant mortality", US_national_yearly!$D:$AM, 16, FALSE) / VLOOKUP("industry|NOx|Infant mortality", US_national_yearly!$D:$AM, 10, FALSE), 1)</f>
        <v>2.35784346144467E-8</v>
      </c>
      <c r="I3" s="7">
        <f>$B3 * IFERROR(VLOOKUP("industry|NOx|Infant mortality", US_national_yearly!$D:$AM, 17, FALSE) / VLOOKUP("industry|NOx|Infant mortality", US_national_yearly!$D:$AM, 10, FALSE), 1)</f>
        <v>2.3408444281173182E-8</v>
      </c>
      <c r="J3" s="7">
        <f>$B3 * IFERROR(VLOOKUP("industry|NOx|Infant mortality", US_national_yearly!$D:$AM, 18, FALSE) / VLOOKUP("industry|NOx|Infant mortality", US_national_yearly!$D:$AM, 10, FALSE), 1)</f>
        <v>2.3238453947899667E-8</v>
      </c>
      <c r="K3" s="7">
        <f>$B3 * IFERROR(VLOOKUP("industry|NOx|Infant mortality", US_national_yearly!$D:$AM, 19, FALSE) / VLOOKUP("industry|NOx|Infant mortality", US_national_yearly!$D:$AM, 10, FALSE), 1)</f>
        <v>2.3068463614626149E-8</v>
      </c>
      <c r="L3" s="7">
        <f>$B3 * IFERROR(VLOOKUP("industry|NOx|Infant mortality", US_national_yearly!$D:$AM, 20, FALSE) / VLOOKUP("industry|NOx|Infant mortality", US_national_yearly!$D:$AM, 10, FALSE), 1)</f>
        <v>2.2898473281352627E-8</v>
      </c>
      <c r="M3" s="7">
        <f>$B3 * IFERROR(VLOOKUP("industry|NOx|Infant mortality", US_national_yearly!$D:$AM, 21, FALSE) / VLOOKUP("industry|NOx|Infant mortality", US_national_yearly!$D:$AM, 10, FALSE), 1)</f>
        <v>2.2728482948079109E-8</v>
      </c>
      <c r="N3" s="7">
        <f>$B3 * IFERROR(VLOOKUP("industry|NOx|Infant mortality", US_national_yearly!$D:$AM, 22, FALSE) / VLOOKUP("industry|NOx|Infant mortality", US_national_yearly!$D:$AM, 10, FALSE), 1)</f>
        <v>2.2613951129266854E-8</v>
      </c>
      <c r="O3" s="7">
        <f>$B3 * IFERROR(VLOOKUP("industry|NOx|Infant mortality", US_national_yearly!$D:$AM, 23, FALSE) / VLOOKUP("industry|NOx|Infant mortality", US_national_yearly!$D:$AM, 10, FALSE), 1)</f>
        <v>2.2499419310454592E-8</v>
      </c>
      <c r="P3" s="7">
        <f>$B3 * IFERROR(VLOOKUP("industry|NOx|Infant mortality", US_national_yearly!$D:$AM, 24, FALSE) / VLOOKUP("industry|NOx|Infant mortality", US_national_yearly!$D:$AM, 10, FALSE), 1)</f>
        <v>2.2384887491642333E-8</v>
      </c>
      <c r="Q3" s="7">
        <f>$B3 * IFERROR(VLOOKUP("industry|NOx|Infant mortality", US_national_yearly!$D:$AM, 25, FALSE) / VLOOKUP("industry|NOx|Infant mortality", US_national_yearly!$D:$AM, 10, FALSE), 1)</f>
        <v>2.2270355672830074E-8</v>
      </c>
      <c r="R3" s="7">
        <f>$B3 * IFERROR(VLOOKUP("industry|NOx|Infant mortality", US_national_yearly!$D:$AM, 26, FALSE) / VLOOKUP("industry|NOx|Infant mortality", US_national_yearly!$D:$AM, 10, FALSE), 1)</f>
        <v>2.2155823854017819E-8</v>
      </c>
      <c r="S3" s="7">
        <f>$B3 * IFERROR(VLOOKUP("industry|NOx|Infant mortality", US_national_yearly!$D:$AM, 27, FALSE) / VLOOKUP("industry|NOx|Infant mortality", US_national_yearly!$D:$AM, 10, FALSE), 1)</f>
        <v>2.2019819366786776E-8</v>
      </c>
      <c r="T3" s="7">
        <f>$B3 * IFERROR(VLOOKUP("industry|NOx|Infant mortality", US_national_yearly!$D:$AM, 28, FALSE) / VLOOKUP("industry|NOx|Infant mortality", US_national_yearly!$D:$AM, 10, FALSE), 1)</f>
        <v>2.1883814879555736E-8</v>
      </c>
      <c r="U3" s="7">
        <f>$B3 * IFERROR(VLOOKUP("industry|NOx|Infant mortality", US_national_yearly!$D:$AM, 29, FALSE) / VLOOKUP("industry|NOx|Infant mortality", US_national_yearly!$D:$AM, 10, FALSE), 1)</f>
        <v>2.1747810392324697E-8</v>
      </c>
      <c r="V3" s="7">
        <f>$B3 * IFERROR(VLOOKUP("industry|NOx|Infant mortality", US_national_yearly!$D:$AM, 30, FALSE) / VLOOKUP("industry|NOx|Infant mortality", US_national_yearly!$D:$AM, 10, FALSE), 1)</f>
        <v>2.1611805905093657E-8</v>
      </c>
      <c r="W3" s="7">
        <f>$B3 * IFERROR(VLOOKUP("industry|NOx|Infant mortality", US_national_yearly!$D:$AM, 31, FALSE) / VLOOKUP("industry|NOx|Infant mortality", US_national_yearly!$D:$AM, 10, FALSE), 1)</f>
        <v>2.1475801417862621E-8</v>
      </c>
      <c r="X3" s="7">
        <f>$B3 * IFERROR(VLOOKUP("industry|NOx|Infant mortality", US_national_yearly!$D:$AM, 32, FALSE) / VLOOKUP("industry|NOx|Infant mortality", US_national_yearly!$D:$AM, 10, FALSE), 1)</f>
        <v>2.1332981646755462E-8</v>
      </c>
      <c r="Y3" s="7">
        <f>$B3 * IFERROR(VLOOKUP("industry|NOx|Infant mortality", US_national_yearly!$D:$AM, 33, FALSE) / VLOOKUP("industry|NOx|Infant mortality", US_national_yearly!$D:$AM, 10, FALSE), 1)</f>
        <v>2.1190161875648309E-8</v>
      </c>
      <c r="Z3" s="7">
        <f>$B3 * IFERROR(VLOOKUP("industry|NOx|Infant mortality", US_national_yearly!$D:$AM, 34, FALSE) / VLOOKUP("industry|NOx|Infant mortality", US_national_yearly!$D:$AM, 10, FALSE), 1)</f>
        <v>2.1047342104541153E-8</v>
      </c>
      <c r="AA3" s="7">
        <f>$B3 * IFERROR(VLOOKUP("industry|NOx|Infant mortality", US_national_yearly!$D:$AM, 35, FALSE) / VLOOKUP("industry|NOx|Infant mortality", US_national_yearly!$D:$AM, 10, FALSE), 1)</f>
        <v>2.0904522333433998E-8</v>
      </c>
      <c r="AB3" s="7">
        <f>$B3 * IFERROR(VLOOKUP("industry|NOx|Infant mortality", US_national_yearly!$D:$AM, 36, FALSE) / VLOOKUP("industry|NOx|Infant mortality", US_national_yearly!$D:$AM, 10, FALSE), 1)</f>
        <v>2.0761702562326842E-8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5.847011849330298E-5</v>
      </c>
      <c r="C6" s="7">
        <f>$B6 * IFERROR(VLOOKUP("industry|NOx|Asthma symptoms cough", US_national_yearly!$D:$AM, 11, FALSE) / VLOOKUP("industry|NOx|Asthma symptoms cough", US_national_yearly!$D:$AM, 10, FALSE), 1)</f>
        <v>5.9270009554257071E-5</v>
      </c>
      <c r="D6" s="7">
        <f>$B6 * IFERROR(VLOOKUP("industry|NOx|Asthma symptoms cough", US_national_yearly!$D:$AM, 12, FALSE) / VLOOKUP("industry|NOx|Asthma symptoms cough", US_national_yearly!$D:$AM, 10, FALSE), 1)</f>
        <v>6.0069900615211169E-5</v>
      </c>
      <c r="E6" s="7">
        <f>$B6 * IFERROR(VLOOKUP("industry|NOx|Asthma symptoms cough", US_national_yearly!$D:$AM, 13, FALSE) / VLOOKUP("industry|NOx|Asthma symptoms cough", US_national_yearly!$D:$AM, 10, FALSE), 1)</f>
        <v>6.086979167616526E-5</v>
      </c>
      <c r="F6" s="7">
        <f>$B6 * IFERROR(VLOOKUP("industry|NOx|Asthma symptoms cough", US_national_yearly!$D:$AM, 14, FALSE) / VLOOKUP("industry|NOx|Asthma symptoms cough", US_national_yearly!$D:$AM, 10, FALSE), 1)</f>
        <v>6.1669682737119358E-5</v>
      </c>
      <c r="G6" s="7">
        <f>$B6 * IFERROR(VLOOKUP("industry|NOx|Asthma symptoms cough", US_national_yearly!$D:$AM, 15, FALSE) / VLOOKUP("industry|NOx|Asthma symptoms cough", US_national_yearly!$D:$AM, 10, FALSE), 1)</f>
        <v>6.2311071274946171E-5</v>
      </c>
      <c r="H6" s="7">
        <f>$B6 * IFERROR(VLOOKUP("industry|NOx|Asthma symptoms cough", US_national_yearly!$D:$AM, 16, FALSE) / VLOOKUP("industry|NOx|Asthma symptoms cough", US_national_yearly!$D:$AM, 10, FALSE), 1)</f>
        <v>6.2952459812773011E-5</v>
      </c>
      <c r="I6" s="7">
        <f>$B6 * IFERROR(VLOOKUP("industry|NOx|Asthma symptoms cough", US_national_yearly!$D:$AM, 17, FALSE) / VLOOKUP("industry|NOx|Asthma symptoms cough", US_national_yearly!$D:$AM, 10, FALSE), 1)</f>
        <v>6.3175668709889034E-5</v>
      </c>
      <c r="J6" s="7">
        <f>$B6 * IFERROR(VLOOKUP("industry|NOx|Asthma symptoms cough", US_national_yearly!$D:$AM, 18, FALSE) / VLOOKUP("industry|NOx|Asthma symptoms cough", US_national_yearly!$D:$AM, 10, FALSE), 1)</f>
        <v>6.3398877607005071E-5</v>
      </c>
      <c r="K6" s="7">
        <f>$B6 * IFERROR(VLOOKUP("industry|NOx|Asthma symptoms cough", US_national_yearly!$D:$AM, 19, FALSE) / VLOOKUP("industry|NOx|Asthma symptoms cough", US_national_yearly!$D:$AM, 10, FALSE), 1)</f>
        <v>6.3622086504121095E-5</v>
      </c>
      <c r="L6" s="7">
        <f>$B6 * IFERROR(VLOOKUP("industry|NOx|Asthma symptoms cough", US_national_yearly!$D:$AM, 20, FALSE) / VLOOKUP("industry|NOx|Asthma symptoms cough", US_national_yearly!$D:$AM, 10, FALSE), 1)</f>
        <v>6.3845295401237132E-5</v>
      </c>
      <c r="M6" s="7">
        <f>$B6 * IFERROR(VLOOKUP("industry|NOx|Asthma symptoms cough", US_national_yearly!$D:$AM, 21, FALSE) / VLOOKUP("industry|NOx|Asthma symptoms cough", US_national_yearly!$D:$AM, 10, FALSE), 1)</f>
        <v>6.4068504298353169E-5</v>
      </c>
      <c r="N6" s="7">
        <f>$B6 * IFERROR(VLOOKUP("industry|NOx|Asthma symptoms cough", US_national_yearly!$D:$AM, 22, FALSE) / VLOOKUP("industry|NOx|Asthma symptoms cough", US_national_yearly!$D:$AM, 10, FALSE), 1)</f>
        <v>6.4323303347717768E-5</v>
      </c>
      <c r="O6" s="7">
        <f>$B6 * IFERROR(VLOOKUP("industry|NOx|Asthma symptoms cough", US_national_yearly!$D:$AM, 23, FALSE) / VLOOKUP("industry|NOx|Asthma symptoms cough", US_national_yearly!$D:$AM, 10, FALSE), 1)</f>
        <v>6.4578102397082354E-5</v>
      </c>
      <c r="P6" s="7">
        <f>$B6 * IFERROR(VLOOKUP("industry|NOx|Asthma symptoms cough", US_national_yearly!$D:$AM, 24, FALSE) / VLOOKUP("industry|NOx|Asthma symptoms cough", US_national_yearly!$D:$AM, 10, FALSE), 1)</f>
        <v>6.4832901446446953E-5</v>
      </c>
      <c r="Q6" s="7">
        <f>$B6 * IFERROR(VLOOKUP("industry|NOx|Asthma symptoms cough", US_national_yearly!$D:$AM, 25, FALSE) / VLOOKUP("industry|NOx|Asthma symptoms cough", US_national_yearly!$D:$AM, 10, FALSE), 1)</f>
        <v>6.5087700495811552E-5</v>
      </c>
      <c r="R6" s="7">
        <f>$B6 * IFERROR(VLOOKUP("industry|NOx|Asthma symptoms cough", US_national_yearly!$D:$AM, 26, FALSE) / VLOOKUP("industry|NOx|Asthma symptoms cough", US_national_yearly!$D:$AM, 10, FALSE), 1)</f>
        <v>6.5342499545176152E-5</v>
      </c>
      <c r="S6" s="7">
        <f>$B6 * IFERROR(VLOOKUP("industry|NOx|Asthma symptoms cough", US_national_yearly!$D:$AM, 27, FALSE) / VLOOKUP("industry|NOx|Asthma symptoms cough", US_national_yearly!$D:$AM, 10, FALSE), 1)</f>
        <v>6.567117904501532E-5</v>
      </c>
      <c r="T6" s="7">
        <f>$B6 * IFERROR(VLOOKUP("industry|NOx|Asthma symptoms cough", US_national_yearly!$D:$AM, 28, FALSE) / VLOOKUP("industry|NOx|Asthma symptoms cough", US_national_yearly!$D:$AM, 10, FALSE), 1)</f>
        <v>6.5999858544854489E-5</v>
      </c>
      <c r="U6" s="7">
        <f>$B6 * IFERROR(VLOOKUP("industry|NOx|Asthma symptoms cough", US_national_yearly!$D:$AM, 29, FALSE) / VLOOKUP("industry|NOx|Asthma symptoms cough", US_national_yearly!$D:$AM, 10, FALSE), 1)</f>
        <v>6.6328538044693657E-5</v>
      </c>
      <c r="V6" s="7">
        <f>$B6 * IFERROR(VLOOKUP("industry|NOx|Asthma symptoms cough", US_national_yearly!$D:$AM, 30, FALSE) / VLOOKUP("industry|NOx|Asthma symptoms cough", US_national_yearly!$D:$AM, 10, FALSE), 1)</f>
        <v>6.6657217544532812E-5</v>
      </c>
      <c r="W6" s="7">
        <f>$B6 * IFERROR(VLOOKUP("industry|NOx|Asthma symptoms cough", US_national_yearly!$D:$AM, 31, FALSE) / VLOOKUP("industry|NOx|Asthma symptoms cough", US_national_yearly!$D:$AM, 10, FALSE), 1)</f>
        <v>6.6985897044371994E-5</v>
      </c>
      <c r="X6" s="7">
        <f>$B6 * IFERROR(VLOOKUP("industry|NOx|Asthma symptoms cough", US_national_yearly!$D:$AM, 32, FALSE) / VLOOKUP("industry|NOx|Asthma symptoms cough", US_national_yearly!$D:$AM, 10, FALSE), 1)</f>
        <v>6.7290608215722037E-5</v>
      </c>
      <c r="Y6" s="7">
        <f>$B6 * IFERROR(VLOOKUP("industry|NOx|Asthma symptoms cough", US_national_yearly!$D:$AM, 33, FALSE) / VLOOKUP("industry|NOx|Asthma symptoms cough", US_national_yearly!$D:$AM, 10, FALSE), 1)</f>
        <v>6.7595319387072066E-5</v>
      </c>
      <c r="Z6" s="7">
        <f>$B6 * IFERROR(VLOOKUP("industry|NOx|Asthma symptoms cough", US_national_yearly!$D:$AM, 34, FALSE) / VLOOKUP("industry|NOx|Asthma symptoms cough", US_national_yearly!$D:$AM, 10, FALSE), 1)</f>
        <v>6.7900030558422109E-5</v>
      </c>
      <c r="AA6" s="7">
        <f>$B6 * IFERROR(VLOOKUP("industry|NOx|Asthma symptoms cough", US_national_yearly!$D:$AM, 35, FALSE) / VLOOKUP("industry|NOx|Asthma symptoms cough", US_national_yearly!$D:$AM, 10, FALSE), 1)</f>
        <v>6.8204741729772125E-5</v>
      </c>
      <c r="AB6" s="7">
        <f>$B6 * IFERROR(VLOOKUP("industry|NOx|Asthma symptoms cough", US_national_yearly!$D:$AM, 36, FALSE) / VLOOKUP("industry|NOx|Asthma symptoms cough", US_national_yearly!$D:$AM, 10, FALSE), 1)</f>
        <v>6.8509452901122168E-5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7.8738416040402803E-5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7.9815584286916668E-5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8.0892752533430546E-5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8.1969920779944412E-5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8.3047089026458304E-5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8.3910810849664743E-5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8.4774532672871197E-5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8.5075115521451069E-5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8.5375698370030942E-5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8.5676281218610814E-5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8.5976864067190728E-5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8.62774469157706E-5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8.6620570443890279E-5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8.6963693972009944E-5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8.7306817500129637E-5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8.7649941028249329E-5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8.7993064556369008E-5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8.8435678727623925E-5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8.8878292898878869E-5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8.9320907070133786E-5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8.9763521241388716E-5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9.0206135412643619E-5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9.0616472785323967E-5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9.1026810158004314E-5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9.1437147530684648E-5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9.1847484903364982E-5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9.2257822276045317E-5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1.2029925079049014E-4</v>
      </c>
      <c r="C8" s="7">
        <f>$B8 * IFERROR(VLOOKUP("industry|NOx|Asthma symptoms wheeze", US_national_yearly!$D:$AM, 11, FALSE) / VLOOKUP("industry|NOx|Asthma symptoms wheeze", US_national_yearly!$D:$AM, 10, FALSE), 1)</f>
        <v>1.2194498536211999E-4</v>
      </c>
      <c r="D8" s="7">
        <f>$B8 * IFERROR(VLOOKUP("industry|NOx|Asthma symptoms wheeze", US_national_yearly!$D:$AM, 12, FALSE) / VLOOKUP("industry|NOx|Asthma symptoms wheeze", US_national_yearly!$D:$AM, 10, FALSE), 1)</f>
        <v>1.2359071993374985E-4</v>
      </c>
      <c r="E8" s="7">
        <f>$B8 * IFERROR(VLOOKUP("industry|NOx|Asthma symptoms wheeze", US_national_yearly!$D:$AM, 13, FALSE) / VLOOKUP("industry|NOx|Asthma symptoms wheeze", US_national_yearly!$D:$AM, 10, FALSE), 1)</f>
        <v>1.2523645450537971E-4</v>
      </c>
      <c r="F8" s="7">
        <f>$B8 * IFERROR(VLOOKUP("industry|NOx|Asthma symptoms wheeze", US_national_yearly!$D:$AM, 14, FALSE) / VLOOKUP("industry|NOx|Asthma symptoms wheeze", US_national_yearly!$D:$AM, 10, FALSE), 1)</f>
        <v>1.2688218907700954E-4</v>
      </c>
      <c r="G8" s="7">
        <f>$B8 * IFERROR(VLOOKUP("industry|NOx|Asthma symptoms wheeze", US_national_yearly!$D:$AM, 15, FALSE) / VLOOKUP("industry|NOx|Asthma symptoms wheeze", US_national_yearly!$D:$AM, 10, FALSE), 1)</f>
        <v>1.2820181288872832E-4</v>
      </c>
      <c r="H8" s="7">
        <f>$B8 * IFERROR(VLOOKUP("industry|NOx|Asthma symptoms wheeze", US_national_yearly!$D:$AM, 16, FALSE) / VLOOKUP("industry|NOx|Asthma symptoms wheeze", US_national_yearly!$D:$AM, 10, FALSE), 1)</f>
        <v>1.2952143670044705E-4</v>
      </c>
      <c r="I8" s="7">
        <f>$B8 * IFERROR(VLOOKUP("industry|NOx|Asthma symptoms wheeze", US_national_yearly!$D:$AM, 17, FALSE) / VLOOKUP("industry|NOx|Asthma symptoms wheeze", US_national_yearly!$D:$AM, 10, FALSE), 1)</f>
        <v>1.2998067748586466E-4</v>
      </c>
      <c r="J8" s="7">
        <f>$B8 * IFERROR(VLOOKUP("industry|NOx|Asthma symptoms wheeze", US_national_yearly!$D:$AM, 18, FALSE) / VLOOKUP("industry|NOx|Asthma symptoms wheeze", US_national_yearly!$D:$AM, 10, FALSE), 1)</f>
        <v>1.3043991827128224E-4</v>
      </c>
      <c r="K8" s="7">
        <f>$B8 * IFERROR(VLOOKUP("industry|NOx|Asthma symptoms wheeze", US_national_yearly!$D:$AM, 19, FALSE) / VLOOKUP("industry|NOx|Asthma symptoms wheeze", US_national_yearly!$D:$AM, 10, FALSE), 1)</f>
        <v>1.3089915905669985E-4</v>
      </c>
      <c r="L8" s="7">
        <f>$B8 * IFERROR(VLOOKUP("industry|NOx|Asthma symptoms wheeze", US_national_yearly!$D:$AM, 20, FALSE) / VLOOKUP("industry|NOx|Asthma symptoms wheeze", US_national_yearly!$D:$AM, 10, FALSE), 1)</f>
        <v>1.3135839984211741E-4</v>
      </c>
      <c r="M8" s="7">
        <f>$B8 * IFERROR(VLOOKUP("industry|NOx|Asthma symptoms wheeze", US_national_yearly!$D:$AM, 21, FALSE) / VLOOKUP("industry|NOx|Asthma symptoms wheeze", US_national_yearly!$D:$AM, 10, FALSE), 1)</f>
        <v>1.3181764062753499E-4</v>
      </c>
      <c r="N8" s="7">
        <f>$B8 * IFERROR(VLOOKUP("industry|NOx|Asthma symptoms wheeze", US_national_yearly!$D:$AM, 22, FALSE) / VLOOKUP("industry|NOx|Asthma symptoms wheeze", US_national_yearly!$D:$AM, 10, FALSE), 1)</f>
        <v>1.3234187652064368E-4</v>
      </c>
      <c r="O8" s="7">
        <f>$B8 * IFERROR(VLOOKUP("industry|NOx|Asthma symptoms wheeze", US_national_yearly!$D:$AM, 23, FALSE) / VLOOKUP("industry|NOx|Asthma symptoms wheeze", US_national_yearly!$D:$AM, 10, FALSE), 1)</f>
        <v>1.3286611241375234E-4</v>
      </c>
      <c r="P8" s="7">
        <f>$B8 * IFERROR(VLOOKUP("industry|NOx|Asthma symptoms wheeze", US_national_yearly!$D:$AM, 24, FALSE) / VLOOKUP("industry|NOx|Asthma symptoms wheeze", US_national_yearly!$D:$AM, 10, FALSE), 1)</f>
        <v>1.3339034830686097E-4</v>
      </c>
      <c r="Q8" s="7">
        <f>$B8 * IFERROR(VLOOKUP("industry|NOx|Asthma symptoms wheeze", US_national_yearly!$D:$AM, 25, FALSE) / VLOOKUP("industry|NOx|Asthma symptoms wheeze", US_national_yearly!$D:$AM, 10, FALSE), 1)</f>
        <v>1.3391458419996966E-4</v>
      </c>
      <c r="R8" s="7">
        <f>$B8 * IFERROR(VLOOKUP("industry|NOx|Asthma symptoms wheeze", US_national_yearly!$D:$AM, 26, FALSE) / VLOOKUP("industry|NOx|Asthma symptoms wheeze", US_national_yearly!$D:$AM, 10, FALSE), 1)</f>
        <v>1.3443882009307832E-4</v>
      </c>
      <c r="S8" s="7">
        <f>$B8 * IFERROR(VLOOKUP("industry|NOx|Asthma symptoms wheeze", US_national_yearly!$D:$AM, 27, FALSE) / VLOOKUP("industry|NOx|Asthma symptoms wheeze", US_national_yearly!$D:$AM, 10, FALSE), 1)</f>
        <v>1.3511506119961636E-4</v>
      </c>
      <c r="T8" s="7">
        <f>$B8 * IFERROR(VLOOKUP("industry|NOx|Asthma symptoms wheeze", US_national_yearly!$D:$AM, 28, FALSE) / VLOOKUP("industry|NOx|Asthma symptoms wheeze", US_national_yearly!$D:$AM, 10, FALSE), 1)</f>
        <v>1.3579130230615435E-4</v>
      </c>
      <c r="U8" s="7">
        <f>$B8 * IFERROR(VLOOKUP("industry|NOx|Asthma symptoms wheeze", US_national_yearly!$D:$AM, 29, FALSE) / VLOOKUP("industry|NOx|Asthma symptoms wheeze", US_national_yearly!$D:$AM, 10, FALSE), 1)</f>
        <v>1.3646754341269237E-4</v>
      </c>
      <c r="V8" s="7">
        <f>$B8 * IFERROR(VLOOKUP("industry|NOx|Asthma symptoms wheeze", US_national_yearly!$D:$AM, 30, FALSE) / VLOOKUP("industry|NOx|Asthma symptoms wheeze", US_national_yearly!$D:$AM, 10, FALSE), 1)</f>
        <v>1.3714378451923039E-4</v>
      </c>
      <c r="W8" s="7">
        <f>$B8 * IFERROR(VLOOKUP("industry|NOx|Asthma symptoms wheeze", US_national_yearly!$D:$AM, 31, FALSE) / VLOOKUP("industry|NOx|Asthma symptoms wheeze", US_national_yearly!$D:$AM, 10, FALSE), 1)</f>
        <v>1.3782002562576839E-4</v>
      </c>
      <c r="X8" s="7">
        <f>$B8 * IFERROR(VLOOKUP("industry|NOx|Asthma symptoms wheeze", US_national_yearly!$D:$AM, 32, FALSE) / VLOOKUP("industry|NOx|Asthma symptoms wheeze", US_national_yearly!$D:$AM, 10, FALSE), 1)</f>
        <v>1.3844695313352569E-4</v>
      </c>
      <c r="Y8" s="7">
        <f>$B8 * IFERROR(VLOOKUP("industry|NOx|Asthma symptoms wheeze", US_national_yearly!$D:$AM, 33, FALSE) / VLOOKUP("industry|NOx|Asthma symptoms wheeze", US_national_yearly!$D:$AM, 10, FALSE), 1)</f>
        <v>1.3907388064128293E-4</v>
      </c>
      <c r="Z8" s="7">
        <f>$B8 * IFERROR(VLOOKUP("industry|NOx|Asthma symptoms wheeze", US_national_yearly!$D:$AM, 34, FALSE) / VLOOKUP("industry|NOx|Asthma symptoms wheeze", US_national_yearly!$D:$AM, 10, FALSE), 1)</f>
        <v>1.3970080814904018E-4</v>
      </c>
      <c r="AA8" s="7">
        <f>$B8 * IFERROR(VLOOKUP("industry|NOx|Asthma symptoms wheeze", US_national_yearly!$D:$AM, 35, FALSE) / VLOOKUP("industry|NOx|Asthma symptoms wheeze", US_national_yearly!$D:$AM, 10, FALSE), 1)</f>
        <v>1.403277356567974E-4</v>
      </c>
      <c r="AB8" s="7">
        <f>$B8 * IFERROR(VLOOKUP("industry|NOx|Asthma symptoms wheeze", US_national_yearly!$D:$AM, 36, FALSE) / VLOOKUP("industry|NOx|Asthma symptoms wheeze", US_national_yearly!$D:$AM, 10, FALSE), 1)</f>
        <v>1.4095466316455476E-4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1.6741164609447316E-6</v>
      </c>
      <c r="C12" s="7">
        <f>$B12 * IFERROR(VLOOKUP("industry|NOx|Respiratory hospital admissions", US_national_yearly!$D:$AM, 11, FALSE) / VLOOKUP("industry|NOx|Respiratory hospital admissions", US_national_yearly!$D:$AM, 10, FALSE), 1)</f>
        <v>1.7161758128146838E-6</v>
      </c>
      <c r="D12" s="7">
        <f>$B12 * IFERROR(VLOOKUP("industry|NOx|Respiratory hospital admissions", US_national_yearly!$D:$AM, 12, FALSE) / VLOOKUP("industry|NOx|Respiratory hospital admissions", US_national_yearly!$D:$AM, 10, FALSE), 1)</f>
        <v>1.7582351646846358E-6</v>
      </c>
      <c r="E12" s="7">
        <f>$B12 * IFERROR(VLOOKUP("industry|NOx|Respiratory hospital admissions", US_national_yearly!$D:$AM, 13, FALSE) / VLOOKUP("industry|NOx|Respiratory hospital admissions", US_national_yearly!$D:$AM, 10, FALSE), 1)</f>
        <v>1.8002945165545882E-6</v>
      </c>
      <c r="F12" s="7">
        <f>$B12 * IFERROR(VLOOKUP("industry|NOx|Respiratory hospital admissions", US_national_yearly!$D:$AM, 14, FALSE) / VLOOKUP("industry|NOx|Respiratory hospital admissions", US_national_yearly!$D:$AM, 10, FALSE), 1)</f>
        <v>1.84235386842454E-6</v>
      </c>
      <c r="G12" s="7">
        <f>$B12 * IFERROR(VLOOKUP("industry|NOx|Respiratory hospital admissions", US_national_yearly!$D:$AM, 15, FALSE) / VLOOKUP("industry|NOx|Respiratory hospital admissions", US_national_yearly!$D:$AM, 10, FALSE), 1)</f>
        <v>1.8825855087516942E-6</v>
      </c>
      <c r="H12" s="7">
        <f>$B12 * IFERROR(VLOOKUP("industry|NOx|Respiratory hospital admissions", US_national_yearly!$D:$AM, 16, FALSE) / VLOOKUP("industry|NOx|Respiratory hospital admissions", US_national_yearly!$D:$AM, 10, FALSE), 1)</f>
        <v>1.9228171490788485E-6</v>
      </c>
      <c r="I12" s="7">
        <f>$B12 * IFERROR(VLOOKUP("industry|NOx|Respiratory hospital admissions", US_national_yearly!$D:$AM, 17, FALSE) / VLOOKUP("industry|NOx|Respiratory hospital admissions", US_national_yearly!$D:$AM, 10, FALSE), 1)</f>
        <v>1.9570798539571277E-6</v>
      </c>
      <c r="J12" s="7">
        <f>$B12 * IFERROR(VLOOKUP("industry|NOx|Respiratory hospital admissions", US_national_yearly!$D:$AM, 18, FALSE) / VLOOKUP("industry|NOx|Respiratory hospital admissions", US_national_yearly!$D:$AM, 10, FALSE), 1)</f>
        <v>1.9913425588354065E-6</v>
      </c>
      <c r="K12" s="7">
        <f>$B12 * IFERROR(VLOOKUP("industry|NOx|Respiratory hospital admissions", US_national_yearly!$D:$AM, 19, FALSE) / VLOOKUP("industry|NOx|Respiratory hospital admissions", US_national_yearly!$D:$AM, 10, FALSE), 1)</f>
        <v>2.0256052637136861E-6</v>
      </c>
      <c r="L12" s="7">
        <f>$B12 * IFERROR(VLOOKUP("industry|NOx|Respiratory hospital admissions", US_national_yearly!$D:$AM, 20, FALSE) / VLOOKUP("industry|NOx|Respiratory hospital admissions", US_national_yearly!$D:$AM, 10, FALSE), 1)</f>
        <v>2.0598679685919657E-6</v>
      </c>
      <c r="M12" s="7">
        <f>$B12 * IFERROR(VLOOKUP("industry|NOx|Respiratory hospital admissions", US_national_yearly!$D:$AM, 21, FALSE) / VLOOKUP("industry|NOx|Respiratory hospital admissions", US_national_yearly!$D:$AM, 10, FALSE), 1)</f>
        <v>2.0941306734702445E-6</v>
      </c>
      <c r="N12" s="7">
        <f>$B12 * IFERROR(VLOOKUP("industry|NOx|Respiratory hospital admissions", US_national_yearly!$D:$AM, 22, FALSE) / VLOOKUP("industry|NOx|Respiratory hospital admissions", US_national_yearly!$D:$AM, 10, FALSE), 1)</f>
        <v>2.1170941203625698E-6</v>
      </c>
      <c r="O12" s="7">
        <f>$B12 * IFERROR(VLOOKUP("industry|NOx|Respiratory hospital admissions", US_national_yearly!$D:$AM, 23, FALSE) / VLOOKUP("industry|NOx|Respiratory hospital admissions", US_national_yearly!$D:$AM, 10, FALSE), 1)</f>
        <v>2.1400575672548946E-6</v>
      </c>
      <c r="P12" s="7">
        <f>$B12 * IFERROR(VLOOKUP("industry|NOx|Respiratory hospital admissions", US_national_yearly!$D:$AM, 24, FALSE) / VLOOKUP("industry|NOx|Respiratory hospital admissions", US_national_yearly!$D:$AM, 10, FALSE), 1)</f>
        <v>2.1630210141472199E-6</v>
      </c>
      <c r="Q12" s="7">
        <f>$B12 * IFERROR(VLOOKUP("industry|NOx|Respiratory hospital admissions", US_national_yearly!$D:$AM, 25, FALSE) / VLOOKUP("industry|NOx|Respiratory hospital admissions", US_national_yearly!$D:$AM, 10, FALSE), 1)</f>
        <v>2.1859844610395448E-6</v>
      </c>
      <c r="R12" s="7">
        <f>$B12 * IFERROR(VLOOKUP("industry|NOx|Respiratory hospital admissions", US_national_yearly!$D:$AM, 26, FALSE) / VLOOKUP("industry|NOx|Respiratory hospital admissions", US_national_yearly!$D:$AM, 10, FALSE), 1)</f>
        <v>2.20894790793187E-6</v>
      </c>
      <c r="S12" s="7">
        <f>$B12 * IFERROR(VLOOKUP("industry|NOx|Respiratory hospital admissions", US_national_yearly!$D:$AM, 27, FALSE) / VLOOKUP("industry|NOx|Respiratory hospital admissions", US_national_yearly!$D:$AM, 10, FALSE), 1)</f>
        <v>2.2214150643667306E-6</v>
      </c>
      <c r="T12" s="7">
        <f>$B12 * IFERROR(VLOOKUP("industry|NOx|Respiratory hospital admissions", US_national_yearly!$D:$AM, 28, FALSE) / VLOOKUP("industry|NOx|Respiratory hospital admissions", US_national_yearly!$D:$AM, 10, FALSE), 1)</f>
        <v>2.2338822208015911E-6</v>
      </c>
      <c r="U12" s="7">
        <f>$B12 * IFERROR(VLOOKUP("industry|NOx|Respiratory hospital admissions", US_national_yearly!$D:$AM, 29, FALSE) / VLOOKUP("industry|NOx|Respiratory hospital admissions", US_national_yearly!$D:$AM, 10, FALSE), 1)</f>
        <v>2.2463493772364516E-6</v>
      </c>
      <c r="V12" s="7">
        <f>$B12 * IFERROR(VLOOKUP("industry|NOx|Respiratory hospital admissions", US_national_yearly!$D:$AM, 30, FALSE) / VLOOKUP("industry|NOx|Respiratory hospital admissions", US_national_yearly!$D:$AM, 10, FALSE), 1)</f>
        <v>2.2588165336713117E-6</v>
      </c>
      <c r="W12" s="7">
        <f>$B12 * IFERROR(VLOOKUP("industry|NOx|Respiratory hospital admissions", US_national_yearly!$D:$AM, 31, FALSE) / VLOOKUP("industry|NOx|Respiratory hospital admissions", US_national_yearly!$D:$AM, 10, FALSE), 1)</f>
        <v>2.2712836901061727E-6</v>
      </c>
      <c r="X12" s="7">
        <f>$B12 * IFERROR(VLOOKUP("industry|NOx|Respiratory hospital admissions", US_national_yearly!$D:$AM, 32, FALSE) / VLOOKUP("industry|NOx|Respiratory hospital admissions", US_national_yearly!$D:$AM, 10, FALSE), 1)</f>
        <v>2.2799765595640981E-6</v>
      </c>
      <c r="Y12" s="7">
        <f>$B12 * IFERROR(VLOOKUP("industry|NOx|Respiratory hospital admissions", US_national_yearly!$D:$AM, 33, FALSE) / VLOOKUP("industry|NOx|Respiratory hospital admissions", US_national_yearly!$D:$AM, 10, FALSE), 1)</f>
        <v>2.288669429022023E-6</v>
      </c>
      <c r="Z12" s="7">
        <f>$B12 * IFERROR(VLOOKUP("industry|NOx|Respiratory hospital admissions", US_national_yearly!$D:$AM, 34, FALSE) / VLOOKUP("industry|NOx|Respiratory hospital admissions", US_national_yearly!$D:$AM, 10, FALSE), 1)</f>
        <v>2.2973622984799488E-6</v>
      </c>
      <c r="AA12" s="7">
        <f>$B12 * IFERROR(VLOOKUP("industry|NOx|Respiratory hospital admissions", US_national_yearly!$D:$AM, 35, FALSE) / VLOOKUP("industry|NOx|Respiratory hospital admissions", US_national_yearly!$D:$AM, 10, FALSE), 1)</f>
        <v>2.3060551679378738E-6</v>
      </c>
      <c r="AB12" s="7">
        <f>$B12 * IFERROR(VLOOKUP("industry|NOx|Respiratory hospital admissions", US_national_yearly!$D:$AM, 36, FALSE) / VLOOKUP("industry|NOx|Respiratory hospital admissions", US_national_yearly!$D:$AM, 10, FALSE), 1)</f>
        <v>2.3147480373957991E-6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9.1985977920406533E-6</v>
      </c>
      <c r="C13" s="7">
        <f>$B13 * IFERROR(VLOOKUP("industry|NOx|Non-fatal heart attacks", US_national_yearly!$D:$AM, 11, FALSE) / VLOOKUP("industry|NOx|Non-fatal heart attacks", US_national_yearly!$D:$AM, 10, FALSE), 1)</f>
        <v>9.46141054579202E-6</v>
      </c>
      <c r="D13" s="7">
        <f>$B13 * IFERROR(VLOOKUP("industry|NOx|Non-fatal heart attacks", US_national_yearly!$D:$AM, 12, FALSE) / VLOOKUP("industry|NOx|Non-fatal heart attacks", US_national_yearly!$D:$AM, 10, FALSE), 1)</f>
        <v>9.7242232995433885E-6</v>
      </c>
      <c r="E13" s="7">
        <f>$B13 * IFERROR(VLOOKUP("industry|NOx|Non-fatal heart attacks", US_national_yearly!$D:$AM, 13, FALSE) / VLOOKUP("industry|NOx|Non-fatal heart attacks", US_national_yearly!$D:$AM, 10, FALSE), 1)</f>
        <v>9.9870360532947553E-6</v>
      </c>
      <c r="F13" s="7">
        <f>$B13 * IFERROR(VLOOKUP("industry|NOx|Non-fatal heart attacks", US_national_yearly!$D:$AM, 14, FALSE) / VLOOKUP("industry|NOx|Non-fatal heart attacks", US_national_yearly!$D:$AM, 10, FALSE), 1)</f>
        <v>1.0249848807046124E-5</v>
      </c>
      <c r="G13" s="7">
        <f>$B13 * IFERROR(VLOOKUP("industry|NOx|Non-fatal heart attacks", US_national_yearly!$D:$AM, 15, FALSE) / VLOOKUP("industry|NOx|Non-fatal heart attacks", US_national_yearly!$D:$AM, 10, FALSE), 1)</f>
        <v>1.0495655290531998E-5</v>
      </c>
      <c r="H13" s="7">
        <f>$B13 * IFERROR(VLOOKUP("industry|NOx|Non-fatal heart attacks", US_national_yearly!$D:$AM, 16, FALSE) / VLOOKUP("industry|NOx|Non-fatal heart attacks", US_national_yearly!$D:$AM, 10, FALSE), 1)</f>
        <v>1.0741461774017871E-5</v>
      </c>
      <c r="I13" s="7">
        <f>$B13 * IFERROR(VLOOKUP("industry|NOx|Non-fatal heart attacks", US_national_yearly!$D:$AM, 17, FALSE) / VLOOKUP("industry|NOx|Non-fatal heart attacks", US_national_yearly!$D:$AM, 10, FALSE), 1)</f>
        <v>1.0935868863482639E-5</v>
      </c>
      <c r="J13" s="7">
        <f>$B13 * IFERROR(VLOOKUP("industry|NOx|Non-fatal heart attacks", US_national_yearly!$D:$AM, 18, FALSE) / VLOOKUP("industry|NOx|Non-fatal heart attacks", US_national_yearly!$D:$AM, 10, FALSE), 1)</f>
        <v>1.1130275952947408E-5</v>
      </c>
      <c r="K13" s="7">
        <f>$B13 * IFERROR(VLOOKUP("industry|NOx|Non-fatal heart attacks", US_national_yearly!$D:$AM, 19, FALSE) / VLOOKUP("industry|NOx|Non-fatal heart attacks", US_national_yearly!$D:$AM, 10, FALSE), 1)</f>
        <v>1.1324683042412172E-5</v>
      </c>
      <c r="L13" s="7">
        <f>$B13 * IFERROR(VLOOKUP("industry|NOx|Non-fatal heart attacks", US_national_yearly!$D:$AM, 20, FALSE) / VLOOKUP("industry|NOx|Non-fatal heart attacks", US_national_yearly!$D:$AM, 10, FALSE), 1)</f>
        <v>1.1519090131876944E-5</v>
      </c>
      <c r="M13" s="7">
        <f>$B13 * IFERROR(VLOOKUP("industry|NOx|Non-fatal heart attacks", US_national_yearly!$D:$AM, 21, FALSE) / VLOOKUP("industry|NOx|Non-fatal heart attacks", US_national_yearly!$D:$AM, 10, FALSE), 1)</f>
        <v>1.1713497221341714E-5</v>
      </c>
      <c r="N13" s="7">
        <f>$B13 * IFERROR(VLOOKUP("industry|NOx|Non-fatal heart attacks", US_national_yearly!$D:$AM, 22, FALSE) / VLOOKUP("industry|NOx|Non-fatal heart attacks", US_national_yearly!$D:$AM, 10, FALSE), 1)</f>
        <v>1.1830618162094787E-5</v>
      </c>
      <c r="O13" s="7">
        <f>$B13 * IFERROR(VLOOKUP("industry|NOx|Non-fatal heart attacks", US_national_yearly!$D:$AM, 23, FALSE) / VLOOKUP("industry|NOx|Non-fatal heart attacks", US_national_yearly!$D:$AM, 10, FALSE), 1)</f>
        <v>1.1947739102847859E-5</v>
      </c>
      <c r="P13" s="7">
        <f>$B13 * IFERROR(VLOOKUP("industry|NOx|Non-fatal heart attacks", US_national_yearly!$D:$AM, 24, FALSE) / VLOOKUP("industry|NOx|Non-fatal heart attacks", US_national_yearly!$D:$AM, 10, FALSE), 1)</f>
        <v>1.206486004360093E-5</v>
      </c>
      <c r="Q13" s="7">
        <f>$B13 * IFERROR(VLOOKUP("industry|NOx|Non-fatal heart attacks", US_national_yearly!$D:$AM, 25, FALSE) / VLOOKUP("industry|NOx|Non-fatal heart attacks", US_national_yearly!$D:$AM, 10, FALSE), 1)</f>
        <v>1.2181980984354001E-5</v>
      </c>
      <c r="R13" s="7">
        <f>$B13 * IFERROR(VLOOKUP("industry|NOx|Non-fatal heart attacks", US_national_yearly!$D:$AM, 26, FALSE) / VLOOKUP("industry|NOx|Non-fatal heart attacks", US_national_yearly!$D:$AM, 10, FALSE), 1)</f>
        <v>1.2299101925107072E-5</v>
      </c>
      <c r="S13" s="7">
        <f>$B13 * IFERROR(VLOOKUP("industry|NOx|Non-fatal heart attacks", US_national_yearly!$D:$AM, 27, FALSE) / VLOOKUP("industry|NOx|Non-fatal heart attacks", US_national_yearly!$D:$AM, 10, FALSE), 1)</f>
        <v>1.2352839348867697E-5</v>
      </c>
      <c r="T13" s="7">
        <f>$B13 * IFERROR(VLOOKUP("industry|NOx|Non-fatal heart attacks", US_national_yearly!$D:$AM, 28, FALSE) / VLOOKUP("industry|NOx|Non-fatal heart attacks", US_national_yearly!$D:$AM, 10, FALSE), 1)</f>
        <v>1.240657677262832E-5</v>
      </c>
      <c r="U13" s="7">
        <f>$B13 * IFERROR(VLOOKUP("industry|NOx|Non-fatal heart attacks", US_national_yearly!$D:$AM, 29, FALSE) / VLOOKUP("industry|NOx|Non-fatal heart attacks", US_national_yearly!$D:$AM, 10, FALSE), 1)</f>
        <v>1.2460314196388942E-5</v>
      </c>
      <c r="V13" s="7">
        <f>$B13 * IFERROR(VLOOKUP("industry|NOx|Non-fatal heart attacks", US_national_yearly!$D:$AM, 30, FALSE) / VLOOKUP("industry|NOx|Non-fatal heart attacks", US_national_yearly!$D:$AM, 10, FALSE), 1)</f>
        <v>1.2514051620149567E-5</v>
      </c>
      <c r="W13" s="7">
        <f>$B13 * IFERROR(VLOOKUP("industry|NOx|Non-fatal heart attacks", US_national_yearly!$D:$AM, 31, FALSE) / VLOOKUP("industry|NOx|Non-fatal heart attacks", US_national_yearly!$D:$AM, 10, FALSE), 1)</f>
        <v>1.2567789043910188E-5</v>
      </c>
      <c r="X13" s="7">
        <f>$B13 * IFERROR(VLOOKUP("industry|NOx|Non-fatal heart attacks", US_national_yearly!$D:$AM, 32, FALSE) / VLOOKUP("industry|NOx|Non-fatal heart attacks", US_national_yearly!$D:$AM, 10, FALSE), 1)</f>
        <v>1.2604055917766121E-5</v>
      </c>
      <c r="Y13" s="7">
        <f>$B13 * IFERROR(VLOOKUP("industry|NOx|Non-fatal heart attacks", US_national_yearly!$D:$AM, 33, FALSE) / VLOOKUP("industry|NOx|Non-fatal heart attacks", US_national_yearly!$D:$AM, 10, FALSE), 1)</f>
        <v>1.2640322791622053E-5</v>
      </c>
      <c r="Z13" s="7">
        <f>$B13 * IFERROR(VLOOKUP("industry|NOx|Non-fatal heart attacks", US_national_yearly!$D:$AM, 34, FALSE) / VLOOKUP("industry|NOx|Non-fatal heart attacks", US_national_yearly!$D:$AM, 10, FALSE), 1)</f>
        <v>1.2676589665477986E-5</v>
      </c>
      <c r="AA13" s="7">
        <f>$B13 * IFERROR(VLOOKUP("industry|NOx|Non-fatal heart attacks", US_national_yearly!$D:$AM, 35, FALSE) / VLOOKUP("industry|NOx|Non-fatal heart attacks", US_national_yearly!$D:$AM, 10, FALSE), 1)</f>
        <v>1.2712856539333917E-5</v>
      </c>
      <c r="AB13" s="7">
        <f>$B13 * IFERROR(VLOOKUP("industry|NOx|Non-fatal heart attacks", US_national_yearly!$D:$AM, 36, FALSE) / VLOOKUP("industry|NOx|Non-fatal heart attacks", US_national_yearly!$D:$AM, 10, FALSE), 1)</f>
        <v>1.274912341318985E-5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6.4631261469611798E-3</v>
      </c>
      <c r="C14" s="7">
        <f>$B14 * IFERROR(VLOOKUP("industry|NOx|Minor restricted activity days", US_national_yearly!$D:$AM, 11, FALSE) / VLOOKUP("industry|NOx|Minor restricted activity days", US_national_yearly!$D:$AM, 10, FALSE), 1)</f>
        <v>6.4727017670719051E-3</v>
      </c>
      <c r="D14" s="7">
        <f>$B14 * IFERROR(VLOOKUP("industry|NOx|Minor restricted activity days", US_national_yearly!$D:$AM, 12, FALSE) / VLOOKUP("industry|NOx|Minor restricted activity days", US_national_yearly!$D:$AM, 10, FALSE), 1)</f>
        <v>6.4822773871826295E-3</v>
      </c>
      <c r="E14" s="7">
        <f>$B14 * IFERROR(VLOOKUP("industry|NOx|Minor restricted activity days", US_national_yearly!$D:$AM, 13, FALSE) / VLOOKUP("industry|NOx|Minor restricted activity days", US_national_yearly!$D:$AM, 10, FALSE), 1)</f>
        <v>6.4918530072933548E-3</v>
      </c>
      <c r="F14" s="7">
        <f>$B14 * IFERROR(VLOOKUP("industry|NOx|Minor restricted activity days", US_national_yearly!$D:$AM, 14, FALSE) / VLOOKUP("industry|NOx|Minor restricted activity days", US_national_yearly!$D:$AM, 10, FALSE), 1)</f>
        <v>6.5014286274040793E-3</v>
      </c>
      <c r="G14" s="7">
        <f>$B14 * IFERROR(VLOOKUP("industry|NOx|Minor restricted activity days", US_national_yearly!$D:$AM, 15, FALSE) / VLOOKUP("industry|NOx|Minor restricted activity days", US_national_yearly!$D:$AM, 10, FALSE), 1)</f>
        <v>6.5188601483204146E-3</v>
      </c>
      <c r="H14" s="7">
        <f>$B14 * IFERROR(VLOOKUP("industry|NOx|Minor restricted activity days", US_national_yearly!$D:$AM, 16, FALSE) / VLOOKUP("industry|NOx|Minor restricted activity days", US_national_yearly!$D:$AM, 10, FALSE), 1)</f>
        <v>6.5362916692367498E-3</v>
      </c>
      <c r="I14" s="7">
        <f>$B14 * IFERROR(VLOOKUP("industry|NOx|Minor restricted activity days", US_national_yearly!$D:$AM, 17, FALSE) / VLOOKUP("industry|NOx|Minor restricted activity days", US_national_yearly!$D:$AM, 10, FALSE), 1)</f>
        <v>6.5706080994946507E-3</v>
      </c>
      <c r="J14" s="7">
        <f>$B14 * IFERROR(VLOOKUP("industry|NOx|Minor restricted activity days", US_national_yearly!$D:$AM, 18, FALSE) / VLOOKUP("industry|NOx|Minor restricted activity days", US_national_yearly!$D:$AM, 10, FALSE), 1)</f>
        <v>6.6049245297525499E-3</v>
      </c>
      <c r="K14" s="7">
        <f>$B14 * IFERROR(VLOOKUP("industry|NOx|Minor restricted activity days", US_national_yearly!$D:$AM, 19, FALSE) / VLOOKUP("industry|NOx|Minor restricted activity days", US_national_yearly!$D:$AM, 10, FALSE), 1)</f>
        <v>6.6392409600104481E-3</v>
      </c>
      <c r="L14" s="7">
        <f>$B14 * IFERROR(VLOOKUP("industry|NOx|Minor restricted activity days", US_national_yearly!$D:$AM, 20, FALSE) / VLOOKUP("industry|NOx|Minor restricted activity days", US_national_yearly!$D:$AM, 10, FALSE), 1)</f>
        <v>6.673557390268349E-3</v>
      </c>
      <c r="M14" s="7">
        <f>$B14 * IFERROR(VLOOKUP("industry|NOx|Minor restricted activity days", US_national_yearly!$D:$AM, 21, FALSE) / VLOOKUP("industry|NOx|Minor restricted activity days", US_national_yearly!$D:$AM, 10, FALSE), 1)</f>
        <v>6.7078738205262481E-3</v>
      </c>
      <c r="N14" s="7">
        <f>$B14 * IFERROR(VLOOKUP("industry|NOx|Minor restricted activity days", US_national_yearly!$D:$AM, 22, FALSE) / VLOOKUP("industry|NOx|Minor restricted activity days", US_national_yearly!$D:$AM, 10, FALSE), 1)</f>
        <v>6.7572917742218797E-3</v>
      </c>
      <c r="O14" s="7">
        <f>$B14 * IFERROR(VLOOKUP("industry|NOx|Minor restricted activity days", US_national_yearly!$D:$AM, 23, FALSE) / VLOOKUP("industry|NOx|Minor restricted activity days", US_national_yearly!$D:$AM, 10, FALSE), 1)</f>
        <v>6.8067097279175129E-3</v>
      </c>
      <c r="P14" s="7">
        <f>$B14 * IFERROR(VLOOKUP("industry|NOx|Minor restricted activity days", US_national_yearly!$D:$AM, 24, FALSE) / VLOOKUP("industry|NOx|Minor restricted activity days", US_national_yearly!$D:$AM, 10, FALSE), 1)</f>
        <v>6.8561276816131462E-3</v>
      </c>
      <c r="Q14" s="7">
        <f>$B14 * IFERROR(VLOOKUP("industry|NOx|Minor restricted activity days", US_national_yearly!$D:$AM, 25, FALSE) / VLOOKUP("industry|NOx|Minor restricted activity days", US_national_yearly!$D:$AM, 10, FALSE), 1)</f>
        <v>6.9055456353087777E-3</v>
      </c>
      <c r="R14" s="7">
        <f>$B14 * IFERROR(VLOOKUP("industry|NOx|Minor restricted activity days", US_national_yearly!$D:$AM, 26, FALSE) / VLOOKUP("industry|NOx|Minor restricted activity days", US_national_yearly!$D:$AM, 10, FALSE), 1)</f>
        <v>6.954963589004411E-3</v>
      </c>
      <c r="S14" s="7">
        <f>$B14 * IFERROR(VLOOKUP("industry|NOx|Minor restricted activity days", US_national_yearly!$D:$AM, 27, FALSE) / VLOOKUP("industry|NOx|Minor restricted activity days", US_national_yearly!$D:$AM, 10, FALSE), 1)</f>
        <v>7.0044344512328041E-3</v>
      </c>
      <c r="T14" s="7">
        <f>$B14 * IFERROR(VLOOKUP("industry|NOx|Minor restricted activity days", US_national_yearly!$D:$AM, 28, FALSE) / VLOOKUP("industry|NOx|Minor restricted activity days", US_national_yearly!$D:$AM, 10, FALSE), 1)</f>
        <v>7.053905313461198E-3</v>
      </c>
      <c r="U14" s="7">
        <f>$B14 * IFERROR(VLOOKUP("industry|NOx|Minor restricted activity days", US_national_yearly!$D:$AM, 29, FALSE) / VLOOKUP("industry|NOx|Minor restricted activity days", US_national_yearly!$D:$AM, 10, FALSE), 1)</f>
        <v>7.103376175689592E-3</v>
      </c>
      <c r="V14" s="7">
        <f>$B14 * IFERROR(VLOOKUP("industry|NOx|Minor restricted activity days", US_national_yearly!$D:$AM, 30, FALSE) / VLOOKUP("industry|NOx|Minor restricted activity days", US_national_yearly!$D:$AM, 10, FALSE), 1)</f>
        <v>7.1528470379179851E-3</v>
      </c>
      <c r="W14" s="7">
        <f>$B14 * IFERROR(VLOOKUP("industry|NOx|Minor restricted activity days", US_national_yearly!$D:$AM, 31, FALSE) / VLOOKUP("industry|NOx|Minor restricted activity days", US_national_yearly!$D:$AM, 10, FALSE), 1)</f>
        <v>7.2023179001463791E-3</v>
      </c>
      <c r="X14" s="7">
        <f>$B14 * IFERROR(VLOOKUP("industry|NOx|Minor restricted activity days", US_national_yearly!$D:$AM, 32, FALSE) / VLOOKUP("industry|NOx|Minor restricted activity days", US_national_yearly!$D:$AM, 10, FALSE), 1)</f>
        <v>7.2440854271231241E-3</v>
      </c>
      <c r="Y14" s="7">
        <f>$B14 * IFERROR(VLOOKUP("industry|NOx|Minor restricted activity days", US_national_yearly!$D:$AM, 33, FALSE) / VLOOKUP("industry|NOx|Minor restricted activity days", US_national_yearly!$D:$AM, 10, FALSE), 1)</f>
        <v>7.2858529540998666E-3</v>
      </c>
      <c r="Z14" s="7">
        <f>$B14 * IFERROR(VLOOKUP("industry|NOx|Minor restricted activity days", US_national_yearly!$D:$AM, 34, FALSE) / VLOOKUP("industry|NOx|Minor restricted activity days", US_national_yearly!$D:$AM, 10, FALSE), 1)</f>
        <v>7.3276204810766099E-3</v>
      </c>
      <c r="AA14" s="7">
        <f>$B14 * IFERROR(VLOOKUP("industry|NOx|Minor restricted activity days", US_national_yearly!$D:$AM, 35, FALSE) / VLOOKUP("industry|NOx|Minor restricted activity days", US_national_yearly!$D:$AM, 10, FALSE), 1)</f>
        <v>7.3693880080533541E-3</v>
      </c>
      <c r="AB14" s="7">
        <f>$B14 * IFERROR(VLOOKUP("industry|NOx|Minor restricted activity days", US_national_yearly!$D:$AM, 36, FALSE) / VLOOKUP("industry|NOx|Minor restricted activity days", US_national_yearly!$D:$AM, 10, FALSE), 1)</f>
        <v>7.4111555350300983E-3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1.0950743029372709E-3</v>
      </c>
      <c r="C15" s="7">
        <f>$B15 * IFERROR(VLOOKUP("industry|NOx|Work loss days", US_national_yearly!$D:$AM, 11, FALSE) / VLOOKUP("industry|NOx|Work loss days", US_national_yearly!$D:$AM, 10, FALSE), 1)</f>
        <v>1.0974469751117676E-3</v>
      </c>
      <c r="D15" s="7">
        <f>$B15 * IFERROR(VLOOKUP("industry|NOx|Work loss days", US_national_yearly!$D:$AM, 12, FALSE) / VLOOKUP("industry|NOx|Work loss days", US_national_yearly!$D:$AM, 10, FALSE), 1)</f>
        <v>1.0998196472862636E-3</v>
      </c>
      <c r="E15" s="7">
        <f>$B15 * IFERROR(VLOOKUP("industry|NOx|Work loss days", US_national_yearly!$D:$AM, 13, FALSE) / VLOOKUP("industry|NOx|Work loss days", US_national_yearly!$D:$AM, 10, FALSE), 1)</f>
        <v>1.1021923194607602E-3</v>
      </c>
      <c r="F15" s="7">
        <f>$B15 * IFERROR(VLOOKUP("industry|NOx|Work loss days", US_national_yearly!$D:$AM, 14, FALSE) / VLOOKUP("industry|NOx|Work loss days", US_national_yearly!$D:$AM, 10, FALSE), 1)</f>
        <v>1.1045649916352565E-3</v>
      </c>
      <c r="G15" s="7">
        <f>$B15 * IFERROR(VLOOKUP("industry|NOx|Work loss days", US_national_yearly!$D:$AM, 15, FALSE) / VLOOKUP("industry|NOx|Work loss days", US_national_yearly!$D:$AM, 10, FALSE), 1)</f>
        <v>1.1080356159430544E-3</v>
      </c>
      <c r="H15" s="7">
        <f>$B15 * IFERROR(VLOOKUP("industry|NOx|Work loss days", US_national_yearly!$D:$AM, 16, FALSE) / VLOOKUP("industry|NOx|Work loss days", US_national_yearly!$D:$AM, 10, FALSE), 1)</f>
        <v>1.1115062402508524E-3</v>
      </c>
      <c r="I15" s="7">
        <f>$B15 * IFERROR(VLOOKUP("industry|NOx|Work loss days", US_national_yearly!$D:$AM, 17, FALSE) / VLOOKUP("industry|NOx|Work loss days", US_national_yearly!$D:$AM, 10, FALSE), 1)</f>
        <v>1.117145124758254E-3</v>
      </c>
      <c r="J15" s="7">
        <f>$B15 * IFERROR(VLOOKUP("industry|NOx|Work loss days", US_national_yearly!$D:$AM, 18, FALSE) / VLOOKUP("industry|NOx|Work loss days", US_national_yearly!$D:$AM, 10, FALSE), 1)</f>
        <v>1.1227840092656555E-3</v>
      </c>
      <c r="K15" s="7">
        <f>$B15 * IFERROR(VLOOKUP("industry|NOx|Work loss days", US_national_yearly!$D:$AM, 19, FALSE) / VLOOKUP("industry|NOx|Work loss days", US_national_yearly!$D:$AM, 10, FALSE), 1)</f>
        <v>1.1284228937730571E-3</v>
      </c>
      <c r="L15" s="7">
        <f>$B15 * IFERROR(VLOOKUP("industry|NOx|Work loss days", US_national_yearly!$D:$AM, 20, FALSE) / VLOOKUP("industry|NOx|Work loss days", US_national_yearly!$D:$AM, 10, FALSE), 1)</f>
        <v>1.1340617782804585E-3</v>
      </c>
      <c r="M15" s="7">
        <f>$B15 * IFERROR(VLOOKUP("industry|NOx|Work loss days", US_national_yearly!$D:$AM, 21, FALSE) / VLOOKUP("industry|NOx|Work loss days", US_national_yearly!$D:$AM, 10, FALSE), 1)</f>
        <v>1.1397006627878602E-3</v>
      </c>
      <c r="N15" s="7">
        <f>$B15 * IFERROR(VLOOKUP("industry|NOx|Work loss days", US_national_yearly!$D:$AM, 22, FALSE) / VLOOKUP("industry|NOx|Work loss days", US_national_yearly!$D:$AM, 10, FALSE), 1)</f>
        <v>1.1470750449555991E-3</v>
      </c>
      <c r="O15" s="7">
        <f>$B15 * IFERROR(VLOOKUP("industry|NOx|Work loss days", US_national_yearly!$D:$AM, 23, FALSE) / VLOOKUP("industry|NOx|Work loss days", US_national_yearly!$D:$AM, 10, FALSE), 1)</f>
        <v>1.1544494271233385E-3</v>
      </c>
      <c r="P15" s="7">
        <f>$B15 * IFERROR(VLOOKUP("industry|NOx|Work loss days", US_national_yearly!$D:$AM, 24, FALSE) / VLOOKUP("industry|NOx|Work loss days", US_national_yearly!$D:$AM, 10, FALSE), 1)</f>
        <v>1.1618238092910777E-3</v>
      </c>
      <c r="Q15" s="7">
        <f>$B15 * IFERROR(VLOOKUP("industry|NOx|Work loss days", US_national_yearly!$D:$AM, 25, FALSE) / VLOOKUP("industry|NOx|Work loss days", US_national_yearly!$D:$AM, 10, FALSE), 1)</f>
        <v>1.1691981914588167E-3</v>
      </c>
      <c r="R15" s="7">
        <f>$B15 * IFERROR(VLOOKUP("industry|NOx|Work loss days", US_national_yearly!$D:$AM, 26, FALSE) / VLOOKUP("industry|NOx|Work loss days", US_national_yearly!$D:$AM, 10, FALSE), 1)</f>
        <v>1.1765725736265561E-3</v>
      </c>
      <c r="S15" s="7">
        <f>$B15 * IFERROR(VLOOKUP("industry|NOx|Work loss days", US_national_yearly!$D:$AM, 27, FALSE) / VLOOKUP("industry|NOx|Work loss days", US_national_yearly!$D:$AM, 10, FALSE), 1)</f>
        <v>1.1848166862096915E-3</v>
      </c>
      <c r="T15" s="7">
        <f>$B15 * IFERROR(VLOOKUP("industry|NOx|Work loss days", US_national_yearly!$D:$AM, 28, FALSE) / VLOOKUP("industry|NOx|Work loss days", US_national_yearly!$D:$AM, 10, FALSE), 1)</f>
        <v>1.1930607987928271E-3</v>
      </c>
      <c r="U15" s="7">
        <f>$B15 * IFERROR(VLOOKUP("industry|NOx|Work loss days", US_national_yearly!$D:$AM, 29, FALSE) / VLOOKUP("industry|NOx|Work loss days", US_national_yearly!$D:$AM, 10, FALSE), 1)</f>
        <v>1.2013049113759626E-3</v>
      </c>
      <c r="V15" s="7">
        <f>$B15 * IFERROR(VLOOKUP("industry|NOx|Work loss days", US_national_yearly!$D:$AM, 30, FALSE) / VLOOKUP("industry|NOx|Work loss days", US_national_yearly!$D:$AM, 10, FALSE), 1)</f>
        <v>1.209549023959098E-3</v>
      </c>
      <c r="W15" s="7">
        <f>$B15 * IFERROR(VLOOKUP("industry|NOx|Work loss days", US_national_yearly!$D:$AM, 31, FALSE) / VLOOKUP("industry|NOx|Work loss days", US_national_yearly!$D:$AM, 10, FALSE), 1)</f>
        <v>1.2177931365422337E-3</v>
      </c>
      <c r="X15" s="7">
        <f>$B15 * IFERROR(VLOOKUP("industry|NOx|Work loss days", US_national_yearly!$D:$AM, 32, FALSE) / VLOOKUP("industry|NOx|Work loss days", US_national_yearly!$D:$AM, 10, FALSE), 1)</f>
        <v>1.2249451917215007E-3</v>
      </c>
      <c r="Y15" s="7">
        <f>$B15 * IFERROR(VLOOKUP("industry|NOx|Work loss days", US_national_yearly!$D:$AM, 33, FALSE) / VLOOKUP("industry|NOx|Work loss days", US_national_yearly!$D:$AM, 10, FALSE), 1)</f>
        <v>1.2320972469007678E-3</v>
      </c>
      <c r="Z15" s="7">
        <f>$B15 * IFERROR(VLOOKUP("industry|NOx|Work loss days", US_national_yearly!$D:$AM, 34, FALSE) / VLOOKUP("industry|NOx|Work loss days", US_national_yearly!$D:$AM, 10, FALSE), 1)</f>
        <v>1.2392493020800348E-3</v>
      </c>
      <c r="AA15" s="7">
        <f>$B15 * IFERROR(VLOOKUP("industry|NOx|Work loss days", US_national_yearly!$D:$AM, 35, FALSE) / VLOOKUP("industry|NOx|Work loss days", US_national_yearly!$D:$AM, 10, FALSE), 1)</f>
        <v>1.2464013572593018E-3</v>
      </c>
      <c r="AB15" s="7">
        <f>$B15 * IFERROR(VLOOKUP("industry|NOx|Work loss days", US_national_yearly!$D:$AM, 36, FALSE) / VLOOKUP("industry|NOx|Work loss days", US_national_yearly!$D:$AM, 10, FALSE), 1)</f>
        <v>1.2535534124385689E-3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2.2929283643274084E-6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2.3602548658678108E-6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2.4275813674082137E-6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2.4949078689486161E-6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2.562234370489019E-6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2.626223103436413E-6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2.6902118363838078E-6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2.7441589682976899E-6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2.7981061002115719E-6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2.8520532321254531E-6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2.9060003640393352E-6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2.9599474959532168E-6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2.9937206204939804E-6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3.0274937450347431E-6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3.0612668695755057E-6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3.0950399941162689E-6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3.1288131186570316E-6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3.1443933252432697E-6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3.1599735318295079E-6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3.175553738415746E-6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3.1911339450019846E-6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3.2067141515882228E-6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3.2155168594234057E-6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3.2243195672585887E-6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3.2331222750937721E-6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3.2419249829289546E-6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3.2507276907641384E-6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2.4172084749450699E-3</v>
      </c>
      <c r="C2" s="7">
        <f>$B2 * IFERROR(VLOOKUP("industry|SO2|Premature mortality", US_national_yearly!$D:$AM, 11, FALSE) / VLOOKUP("industry|SO2|Premature mortality", US_national_yearly!$D:$AM, 10, FALSE), 1)</f>
        <v>2.4478511915779371E-3</v>
      </c>
      <c r="D2" s="7">
        <f>$B2 * IFERROR(VLOOKUP("industry|SO2|Premature mortality", US_national_yearly!$D:$AM, 12, FALSE) / VLOOKUP("industry|SO2|Premature mortality", US_national_yearly!$D:$AM, 10, FALSE), 1)</f>
        <v>2.4784939082108039E-3</v>
      </c>
      <c r="E2" s="7">
        <f>$B2 * IFERROR(VLOOKUP("industry|SO2|Premature mortality", US_national_yearly!$D:$AM, 13, FALSE) / VLOOKUP("industry|SO2|Premature mortality", US_national_yearly!$D:$AM, 10, FALSE), 1)</f>
        <v>2.5091366248436706E-3</v>
      </c>
      <c r="F2" s="7">
        <f>$B2 * IFERROR(VLOOKUP("industry|SO2|Premature mortality", US_national_yearly!$D:$AM, 14, FALSE) / VLOOKUP("industry|SO2|Premature mortality", US_national_yearly!$D:$AM, 10, FALSE), 1)</f>
        <v>2.5397793414765378E-3</v>
      </c>
      <c r="G2" s="7">
        <f>$B2 * IFERROR(VLOOKUP("industry|SO2|Premature mortality", US_national_yearly!$D:$AM, 15, FALSE) / VLOOKUP("industry|SO2|Premature mortality", US_national_yearly!$D:$AM, 10, FALSE), 1)</f>
        <v>2.5988420628683269E-3</v>
      </c>
      <c r="H2" s="7">
        <f>$B2 * IFERROR(VLOOKUP("industry|SO2|Premature mortality", US_national_yearly!$D:$AM, 16, FALSE) / VLOOKUP("industry|SO2|Premature mortality", US_national_yearly!$D:$AM, 10, FALSE), 1)</f>
        <v>2.6579047842601156E-3</v>
      </c>
      <c r="I2" s="7">
        <f>$B2 * IFERROR(VLOOKUP("industry|SO2|Premature mortality", US_national_yearly!$D:$AM, 17, FALSE) / VLOOKUP("industry|SO2|Premature mortality", US_national_yearly!$D:$AM, 10, FALSE), 1)</f>
        <v>2.6970143896616725E-3</v>
      </c>
      <c r="J2" s="7">
        <f>$B2 * IFERROR(VLOOKUP("industry|SO2|Premature mortality", US_national_yearly!$D:$AM, 18, FALSE) / VLOOKUP("industry|SO2|Premature mortality", US_national_yearly!$D:$AM, 10, FALSE), 1)</f>
        <v>2.7361239950632293E-3</v>
      </c>
      <c r="K2" s="7">
        <f>$B2 * IFERROR(VLOOKUP("industry|SO2|Premature mortality", US_national_yearly!$D:$AM, 19, FALSE) / VLOOKUP("industry|SO2|Premature mortality", US_national_yearly!$D:$AM, 10, FALSE), 1)</f>
        <v>2.7752336004647857E-3</v>
      </c>
      <c r="L2" s="7">
        <f>$B2 * IFERROR(VLOOKUP("industry|SO2|Premature mortality", US_national_yearly!$D:$AM, 20, FALSE) / VLOOKUP("industry|SO2|Premature mortality", US_national_yearly!$D:$AM, 10, FALSE), 1)</f>
        <v>2.8143432058663426E-3</v>
      </c>
      <c r="M2" s="7">
        <f>$B2 * IFERROR(VLOOKUP("industry|SO2|Premature mortality", US_national_yearly!$D:$AM, 21, FALSE) / VLOOKUP("industry|SO2|Premature mortality", US_national_yearly!$D:$AM, 10, FALSE), 1)</f>
        <v>2.853452811267899E-3</v>
      </c>
      <c r="N2" s="7">
        <f>$B2 * IFERROR(VLOOKUP("industry|SO2|Premature mortality", US_national_yearly!$D:$AM, 22, FALSE) / VLOOKUP("industry|SO2|Premature mortality", US_national_yearly!$D:$AM, 10, FALSE), 1)</f>
        <v>2.8840458214449399E-3</v>
      </c>
      <c r="O2" s="7">
        <f>$B2 * IFERROR(VLOOKUP("industry|SO2|Premature mortality", US_national_yearly!$D:$AM, 23, FALSE) / VLOOKUP("industry|SO2|Premature mortality", US_national_yearly!$D:$AM, 10, FALSE), 1)</f>
        <v>2.9146388316219807E-3</v>
      </c>
      <c r="P2" s="7">
        <f>$B2 * IFERROR(VLOOKUP("industry|SO2|Premature mortality", US_national_yearly!$D:$AM, 24, FALSE) / VLOOKUP("industry|SO2|Premature mortality", US_national_yearly!$D:$AM, 10, FALSE), 1)</f>
        <v>2.9452318417990211E-3</v>
      </c>
      <c r="Q2" s="7">
        <f>$B2 * IFERROR(VLOOKUP("industry|SO2|Premature mortality", US_national_yearly!$D:$AM, 25, FALSE) / VLOOKUP("industry|SO2|Premature mortality", US_national_yearly!$D:$AM, 10, FALSE), 1)</f>
        <v>2.9758248519760619E-3</v>
      </c>
      <c r="R2" s="7">
        <f>$B2 * IFERROR(VLOOKUP("industry|SO2|Premature mortality", US_national_yearly!$D:$AM, 26, FALSE) / VLOOKUP("industry|SO2|Premature mortality", US_national_yearly!$D:$AM, 10, FALSE), 1)</f>
        <v>3.0064178621531023E-3</v>
      </c>
      <c r="S2" s="7">
        <f>$B2 * IFERROR(VLOOKUP("industry|SO2|Premature mortality", US_national_yearly!$D:$AM, 27, FALSE) / VLOOKUP("industry|SO2|Premature mortality", US_national_yearly!$D:$AM, 10, FALSE), 1)</f>
        <v>3.0229364022588568E-3</v>
      </c>
      <c r="T2" s="7">
        <f>$B2 * IFERROR(VLOOKUP("industry|SO2|Premature mortality", US_national_yearly!$D:$AM, 28, FALSE) / VLOOKUP("industry|SO2|Premature mortality", US_national_yearly!$D:$AM, 10, FALSE), 1)</f>
        <v>3.0394549423646117E-3</v>
      </c>
      <c r="U2" s="7">
        <f>$B2 * IFERROR(VLOOKUP("industry|SO2|Premature mortality", US_national_yearly!$D:$AM, 29, FALSE) / VLOOKUP("industry|SO2|Premature mortality", US_national_yearly!$D:$AM, 10, FALSE), 1)</f>
        <v>3.0559734824703671E-3</v>
      </c>
      <c r="V2" s="7">
        <f>$B2 * IFERROR(VLOOKUP("industry|SO2|Premature mortality", US_national_yearly!$D:$AM, 30, FALSE) / VLOOKUP("industry|SO2|Premature mortality", US_national_yearly!$D:$AM, 10, FALSE), 1)</f>
        <v>3.072492022576122E-3</v>
      </c>
      <c r="W2" s="7">
        <f>$B2 * IFERROR(VLOOKUP("industry|SO2|Premature mortality", US_national_yearly!$D:$AM, 31, FALSE) / VLOOKUP("industry|SO2|Premature mortality", US_national_yearly!$D:$AM, 10, FALSE), 1)</f>
        <v>3.0890105626818769E-3</v>
      </c>
      <c r="X2" s="7">
        <f>$B2 * IFERROR(VLOOKUP("industry|SO2|Premature mortality", US_national_yearly!$D:$AM, 32, FALSE) / VLOOKUP("industry|SO2|Premature mortality", US_national_yearly!$D:$AM, 10, FALSE), 1)</f>
        <v>3.0925658565578323E-3</v>
      </c>
      <c r="Y2" s="7">
        <f>$B2 * IFERROR(VLOOKUP("industry|SO2|Premature mortality", US_national_yearly!$D:$AM, 33, FALSE) / VLOOKUP("industry|SO2|Premature mortality", US_national_yearly!$D:$AM, 10, FALSE), 1)</f>
        <v>3.0961211504337881E-3</v>
      </c>
      <c r="Z2" s="7">
        <f>$B2 * IFERROR(VLOOKUP("industry|SO2|Premature mortality", US_national_yearly!$D:$AM, 34, FALSE) / VLOOKUP("industry|SO2|Premature mortality", US_national_yearly!$D:$AM, 10, FALSE), 1)</f>
        <v>3.0996764443097444E-3</v>
      </c>
      <c r="AA2" s="7">
        <f>$B2 * IFERROR(VLOOKUP("industry|SO2|Premature mortality", US_national_yearly!$D:$AM, 35, FALSE) / VLOOKUP("industry|SO2|Premature mortality", US_national_yearly!$D:$AM, 10, FALSE), 1)</f>
        <v>3.1032317381857002E-3</v>
      </c>
      <c r="AB2" s="7">
        <f>$B2 * IFERROR(VLOOKUP("industry|SO2|Premature mortality", US_national_yearly!$D:$AM, 36, FALSE) / VLOOKUP("industry|SO2|Premature mortality", US_national_yearly!$D:$AM, 10, FALSE), 1)</f>
        <v>3.106787032061656E-3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7.503449438994393E-6</v>
      </c>
      <c r="C3" s="7">
        <f>$B3 * IFERROR(VLOOKUP("industry|SO2|Infant mortality", US_national_yearly!$D:$AM, 11, FALSE) / VLOOKUP("industry|SO2|Infant mortality", US_national_yearly!$D:$AM, 10, FALSE), 1)</f>
        <v>7.4388966848290169E-6</v>
      </c>
      <c r="D3" s="7">
        <f>$B3 * IFERROR(VLOOKUP("industry|SO2|Infant mortality", US_national_yearly!$D:$AM, 12, FALSE) / VLOOKUP("industry|SO2|Infant mortality", US_national_yearly!$D:$AM, 10, FALSE), 1)</f>
        <v>7.3743439306636424E-6</v>
      </c>
      <c r="E3" s="7">
        <f>$B3 * IFERROR(VLOOKUP("industry|SO2|Infant mortality", US_national_yearly!$D:$AM, 13, FALSE) / VLOOKUP("industry|SO2|Infant mortality", US_national_yearly!$D:$AM, 10, FALSE), 1)</f>
        <v>7.3097911764982663E-6</v>
      </c>
      <c r="F3" s="7">
        <f>$B3 * IFERROR(VLOOKUP("industry|SO2|Infant mortality", US_national_yearly!$D:$AM, 14, FALSE) / VLOOKUP("industry|SO2|Infant mortality", US_national_yearly!$D:$AM, 10, FALSE), 1)</f>
        <v>7.2452384223328911E-6</v>
      </c>
      <c r="G3" s="7">
        <f>$B3 * IFERROR(VLOOKUP("industry|SO2|Infant mortality", US_national_yearly!$D:$AM, 15, FALSE) / VLOOKUP("industry|SO2|Infant mortality", US_national_yearly!$D:$AM, 10, FALSE), 1)</f>
        <v>4.8231432360591027E-6</v>
      </c>
      <c r="H3" s="7">
        <f>$B3 * IFERROR(VLOOKUP("industry|SO2|Infant mortality", US_national_yearly!$D:$AM, 16, FALSE) / VLOOKUP("industry|SO2|Infant mortality", US_national_yearly!$D:$AM, 10, FALSE), 1)</f>
        <v>2.4010480497853157E-6</v>
      </c>
      <c r="I3" s="7">
        <f>$B3 * IFERROR(VLOOKUP("industry|SO2|Infant mortality", US_national_yearly!$D:$AM, 17, FALSE) / VLOOKUP("industry|SO2|Infant mortality", US_national_yearly!$D:$AM, 10, FALSE), 1)</f>
        <v>2.3858015994563251E-6</v>
      </c>
      <c r="J3" s="7">
        <f>$B3 * IFERROR(VLOOKUP("industry|SO2|Infant mortality", US_national_yearly!$D:$AM, 18, FALSE) / VLOOKUP("industry|SO2|Infant mortality", US_national_yearly!$D:$AM, 10, FALSE), 1)</f>
        <v>2.3705551491273349E-6</v>
      </c>
      <c r="K3" s="7">
        <f>$B3 * IFERROR(VLOOKUP("industry|SO2|Infant mortality", US_national_yearly!$D:$AM, 19, FALSE) / VLOOKUP("industry|SO2|Infant mortality", US_national_yearly!$D:$AM, 10, FALSE), 1)</f>
        <v>2.3553086987983444E-6</v>
      </c>
      <c r="L3" s="7">
        <f>$B3 * IFERROR(VLOOKUP("industry|SO2|Infant mortality", US_national_yearly!$D:$AM, 20, FALSE) / VLOOKUP("industry|SO2|Infant mortality", US_national_yearly!$D:$AM, 10, FALSE), 1)</f>
        <v>2.3400622484693542E-6</v>
      </c>
      <c r="M3" s="7">
        <f>$B3 * IFERROR(VLOOKUP("industry|SO2|Infant mortality", US_national_yearly!$D:$AM, 21, FALSE) / VLOOKUP("industry|SO2|Infant mortality", US_national_yearly!$D:$AM, 10, FALSE), 1)</f>
        <v>2.324815798140364E-6</v>
      </c>
      <c r="N3" s="7">
        <f>$B3 * IFERROR(VLOOKUP("industry|SO2|Infant mortality", US_national_yearly!$D:$AM, 22, FALSE) / VLOOKUP("industry|SO2|Infant mortality", US_national_yearly!$D:$AM, 10, FALSE), 1)</f>
        <v>2.315152526294824E-6</v>
      </c>
      <c r="O3" s="7">
        <f>$B3 * IFERROR(VLOOKUP("industry|SO2|Infant mortality", US_national_yearly!$D:$AM, 23, FALSE) / VLOOKUP("industry|SO2|Infant mortality", US_national_yearly!$D:$AM, 10, FALSE), 1)</f>
        <v>2.305489254449284E-6</v>
      </c>
      <c r="P3" s="7">
        <f>$B3 * IFERROR(VLOOKUP("industry|SO2|Infant mortality", US_national_yearly!$D:$AM, 24, FALSE) / VLOOKUP("industry|SO2|Infant mortality", US_national_yearly!$D:$AM, 10, FALSE), 1)</f>
        <v>2.295825982603744E-6</v>
      </c>
      <c r="Q3" s="7">
        <f>$B3 * IFERROR(VLOOKUP("industry|SO2|Infant mortality", US_national_yearly!$D:$AM, 25, FALSE) / VLOOKUP("industry|SO2|Infant mortality", US_national_yearly!$D:$AM, 10, FALSE), 1)</f>
        <v>2.286162710758204E-6</v>
      </c>
      <c r="R3" s="7">
        <f>$B3 * IFERROR(VLOOKUP("industry|SO2|Infant mortality", US_national_yearly!$D:$AM, 26, FALSE) / VLOOKUP("industry|SO2|Infant mortality", US_national_yearly!$D:$AM, 10, FALSE), 1)</f>
        <v>2.276499438912664E-6</v>
      </c>
      <c r="S3" s="7">
        <f>$B3 * IFERROR(VLOOKUP("industry|SO2|Infant mortality", US_national_yearly!$D:$AM, 27, FALSE) / VLOOKUP("industry|SO2|Infant mortality", US_national_yearly!$D:$AM, 10, FALSE), 1)</f>
        <v>2.2644736073364425E-6</v>
      </c>
      <c r="T3" s="7">
        <f>$B3 * IFERROR(VLOOKUP("industry|SO2|Infant mortality", US_national_yearly!$D:$AM, 28, FALSE) / VLOOKUP("industry|SO2|Infant mortality", US_national_yearly!$D:$AM, 10, FALSE), 1)</f>
        <v>2.252447775760221E-6</v>
      </c>
      <c r="U3" s="7">
        <f>$B3 * IFERROR(VLOOKUP("industry|SO2|Infant mortality", US_national_yearly!$D:$AM, 29, FALSE) / VLOOKUP("industry|SO2|Infant mortality", US_national_yearly!$D:$AM, 10, FALSE), 1)</f>
        <v>2.2404219441839994E-6</v>
      </c>
      <c r="V3" s="7">
        <f>$B3 * IFERROR(VLOOKUP("industry|SO2|Infant mortality", US_national_yearly!$D:$AM, 30, FALSE) / VLOOKUP("industry|SO2|Infant mortality", US_national_yearly!$D:$AM, 10, FALSE), 1)</f>
        <v>2.2283961126077783E-6</v>
      </c>
      <c r="W3" s="7">
        <f>$B3 * IFERROR(VLOOKUP("industry|SO2|Infant mortality", US_national_yearly!$D:$AM, 31, FALSE) / VLOOKUP("industry|SO2|Infant mortality", US_national_yearly!$D:$AM, 10, FALSE), 1)</f>
        <v>2.2163702810315568E-6</v>
      </c>
      <c r="X3" s="7">
        <f>$B3 * IFERROR(VLOOKUP("industry|SO2|Infant mortality", US_national_yearly!$D:$AM, 32, FALSE) / VLOOKUP("industry|SO2|Infant mortality", US_national_yearly!$D:$AM, 10, FALSE), 1)</f>
        <v>2.2033017908699965E-6</v>
      </c>
      <c r="Y3" s="7">
        <f>$B3 * IFERROR(VLOOKUP("industry|SO2|Infant mortality", US_national_yearly!$D:$AM, 33, FALSE) / VLOOKUP("industry|SO2|Infant mortality", US_national_yearly!$D:$AM, 10, FALSE), 1)</f>
        <v>2.1902333007084367E-6</v>
      </c>
      <c r="Z3" s="7">
        <f>$B3 * IFERROR(VLOOKUP("industry|SO2|Infant mortality", US_national_yearly!$D:$AM, 34, FALSE) / VLOOKUP("industry|SO2|Infant mortality", US_national_yearly!$D:$AM, 10, FALSE), 1)</f>
        <v>2.1771648105468768E-6</v>
      </c>
      <c r="AA3" s="7">
        <f>$B3 * IFERROR(VLOOKUP("industry|SO2|Infant mortality", US_national_yearly!$D:$AM, 35, FALSE) / VLOOKUP("industry|SO2|Infant mortality", US_national_yearly!$D:$AM, 10, FALSE), 1)</f>
        <v>2.1640963203853165E-6</v>
      </c>
      <c r="AB3" s="7">
        <f>$B3 * IFERROR(VLOOKUP("industry|SO2|Infant mortality", US_national_yearly!$D:$AM, 36, FALSE) / VLOOKUP("industry|SO2|Infant mortality", US_national_yearly!$D:$AM, 10, FALSE), 1)</f>
        <v>2.1510278302237566E-6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6.0608082515802297E-3</v>
      </c>
      <c r="C6" s="7">
        <f>$B6 * IFERROR(VLOOKUP("industry|SO2|Asthma symptoms cough", US_national_yearly!$D:$AM, 11, FALSE) / VLOOKUP("industry|SO2|Asthma symptoms cough", US_national_yearly!$D:$AM, 10, FALSE), 1)</f>
        <v>6.0608082515802297E-3</v>
      </c>
      <c r="D6" s="7">
        <f>$B6 * IFERROR(VLOOKUP("industry|SO2|Asthma symptoms cough", US_national_yearly!$D:$AM, 12, FALSE) / VLOOKUP("industry|SO2|Asthma symptoms cough", US_national_yearly!$D:$AM, 10, FALSE), 1)</f>
        <v>6.0608082515802297E-3</v>
      </c>
      <c r="E6" s="7">
        <f>$B6 * IFERROR(VLOOKUP("industry|SO2|Asthma symptoms cough", US_national_yearly!$D:$AM, 13, FALSE) / VLOOKUP("industry|SO2|Asthma symptoms cough", US_national_yearly!$D:$AM, 10, FALSE), 1)</f>
        <v>6.0608082515802297E-3</v>
      </c>
      <c r="F6" s="7">
        <f>$B6 * IFERROR(VLOOKUP("industry|SO2|Asthma symptoms cough", US_national_yearly!$D:$AM, 14, FALSE) / VLOOKUP("industry|SO2|Asthma symptoms cough", US_national_yearly!$D:$AM, 10, FALSE), 1)</f>
        <v>6.0608082515802297E-3</v>
      </c>
      <c r="G6" s="7">
        <f>$B6 * IFERROR(VLOOKUP("industry|SO2|Asthma symptoms cough", US_national_yearly!$D:$AM, 15, FALSE) / VLOOKUP("industry|SO2|Asthma symptoms cough", US_national_yearly!$D:$AM, 10, FALSE), 1)</f>
        <v>6.0608082515802297E-3</v>
      </c>
      <c r="H6" s="7">
        <f>$B6 * IFERROR(VLOOKUP("industry|SO2|Asthma symptoms cough", US_national_yearly!$D:$AM, 16, FALSE) / VLOOKUP("industry|SO2|Asthma symptoms cough", US_national_yearly!$D:$AM, 10, FALSE), 1)</f>
        <v>6.0608082515802297E-3</v>
      </c>
      <c r="I6" s="7">
        <f>$B6 * IFERROR(VLOOKUP("industry|SO2|Asthma symptoms cough", US_national_yearly!$D:$AM, 17, FALSE) / VLOOKUP("industry|SO2|Asthma symptoms cough", US_national_yearly!$D:$AM, 10, FALSE), 1)</f>
        <v>6.0608082515802297E-3</v>
      </c>
      <c r="J6" s="7">
        <f>$B6 * IFERROR(VLOOKUP("industry|SO2|Asthma symptoms cough", US_national_yearly!$D:$AM, 18, FALSE) / VLOOKUP("industry|SO2|Asthma symptoms cough", US_national_yearly!$D:$AM, 10, FALSE), 1)</f>
        <v>6.0608082515802297E-3</v>
      </c>
      <c r="K6" s="7">
        <f>$B6 * IFERROR(VLOOKUP("industry|SO2|Asthma symptoms cough", US_national_yearly!$D:$AM, 19, FALSE) / VLOOKUP("industry|SO2|Asthma symptoms cough", US_national_yearly!$D:$AM, 10, FALSE), 1)</f>
        <v>6.0608082515802297E-3</v>
      </c>
      <c r="L6" s="7">
        <f>$B6 * IFERROR(VLOOKUP("industry|SO2|Asthma symptoms cough", US_national_yearly!$D:$AM, 20, FALSE) / VLOOKUP("industry|SO2|Asthma symptoms cough", US_national_yearly!$D:$AM, 10, FALSE), 1)</f>
        <v>6.0608082515802297E-3</v>
      </c>
      <c r="M6" s="7">
        <f>$B6 * IFERROR(VLOOKUP("industry|SO2|Asthma symptoms cough", US_national_yearly!$D:$AM, 21, FALSE) / VLOOKUP("industry|SO2|Asthma symptoms cough", US_national_yearly!$D:$AM, 10, FALSE), 1)</f>
        <v>6.0608082515802297E-3</v>
      </c>
      <c r="N6" s="7">
        <f>$B6 * IFERROR(VLOOKUP("industry|SO2|Asthma symptoms cough", US_national_yearly!$D:$AM, 22, FALSE) / VLOOKUP("industry|SO2|Asthma symptoms cough", US_national_yearly!$D:$AM, 10, FALSE), 1)</f>
        <v>6.0608082515802297E-3</v>
      </c>
      <c r="O6" s="7">
        <f>$B6 * IFERROR(VLOOKUP("industry|SO2|Asthma symptoms cough", US_national_yearly!$D:$AM, 23, FALSE) / VLOOKUP("industry|SO2|Asthma symptoms cough", US_national_yearly!$D:$AM, 10, FALSE), 1)</f>
        <v>6.0608082515802297E-3</v>
      </c>
      <c r="P6" s="7">
        <f>$B6 * IFERROR(VLOOKUP("industry|SO2|Asthma symptoms cough", US_national_yearly!$D:$AM, 24, FALSE) / VLOOKUP("industry|SO2|Asthma symptoms cough", US_national_yearly!$D:$AM, 10, FALSE), 1)</f>
        <v>6.0608082515802297E-3</v>
      </c>
      <c r="Q6" s="7">
        <f>$B6 * IFERROR(VLOOKUP("industry|SO2|Asthma symptoms cough", US_national_yearly!$D:$AM, 25, FALSE) / VLOOKUP("industry|SO2|Asthma symptoms cough", US_national_yearly!$D:$AM, 10, FALSE), 1)</f>
        <v>6.0608082515802297E-3</v>
      </c>
      <c r="R6" s="7">
        <f>$B6 * IFERROR(VLOOKUP("industry|SO2|Asthma symptoms cough", US_national_yearly!$D:$AM, 26, FALSE) / VLOOKUP("industry|SO2|Asthma symptoms cough", US_national_yearly!$D:$AM, 10, FALSE), 1)</f>
        <v>6.0608082515802297E-3</v>
      </c>
      <c r="S6" s="7">
        <f>$B6 * IFERROR(VLOOKUP("industry|SO2|Asthma symptoms cough", US_national_yearly!$D:$AM, 27, FALSE) / VLOOKUP("industry|SO2|Asthma symptoms cough", US_national_yearly!$D:$AM, 10, FALSE), 1)</f>
        <v>6.0608082515802297E-3</v>
      </c>
      <c r="T6" s="7">
        <f>$B6 * IFERROR(VLOOKUP("industry|SO2|Asthma symptoms cough", US_national_yearly!$D:$AM, 28, FALSE) / VLOOKUP("industry|SO2|Asthma symptoms cough", US_national_yearly!$D:$AM, 10, FALSE), 1)</f>
        <v>6.0608082515802297E-3</v>
      </c>
      <c r="U6" s="7">
        <f>$B6 * IFERROR(VLOOKUP("industry|SO2|Asthma symptoms cough", US_national_yearly!$D:$AM, 29, FALSE) / VLOOKUP("industry|SO2|Asthma symptoms cough", US_national_yearly!$D:$AM, 10, FALSE), 1)</f>
        <v>6.0608082515802297E-3</v>
      </c>
      <c r="V6" s="7">
        <f>$B6 * IFERROR(VLOOKUP("industry|SO2|Asthma symptoms cough", US_national_yearly!$D:$AM, 30, FALSE) / VLOOKUP("industry|SO2|Asthma symptoms cough", US_national_yearly!$D:$AM, 10, FALSE), 1)</f>
        <v>6.0608082515802297E-3</v>
      </c>
      <c r="W6" s="7">
        <f>$B6 * IFERROR(VLOOKUP("industry|SO2|Asthma symptoms cough", US_national_yearly!$D:$AM, 31, FALSE) / VLOOKUP("industry|SO2|Asthma symptoms cough", US_national_yearly!$D:$AM, 10, FALSE), 1)</f>
        <v>6.0608082515802297E-3</v>
      </c>
      <c r="X6" s="7">
        <f>$B6 * IFERROR(VLOOKUP("industry|SO2|Asthma symptoms cough", US_national_yearly!$D:$AM, 32, FALSE) / VLOOKUP("industry|SO2|Asthma symptoms cough", US_national_yearly!$D:$AM, 10, FALSE), 1)</f>
        <v>6.0608082515802297E-3</v>
      </c>
      <c r="Y6" s="7">
        <f>$B6 * IFERROR(VLOOKUP("industry|SO2|Asthma symptoms cough", US_national_yearly!$D:$AM, 33, FALSE) / VLOOKUP("industry|SO2|Asthma symptoms cough", US_national_yearly!$D:$AM, 10, FALSE), 1)</f>
        <v>6.0608082515802297E-3</v>
      </c>
      <c r="Z6" s="7">
        <f>$B6 * IFERROR(VLOOKUP("industry|SO2|Asthma symptoms cough", US_national_yearly!$D:$AM, 34, FALSE) / VLOOKUP("industry|SO2|Asthma symptoms cough", US_national_yearly!$D:$AM, 10, FALSE), 1)</f>
        <v>6.0608082515802297E-3</v>
      </c>
      <c r="AA6" s="7">
        <f>$B6 * IFERROR(VLOOKUP("industry|SO2|Asthma symptoms cough", US_national_yearly!$D:$AM, 35, FALSE) / VLOOKUP("industry|SO2|Asthma symptoms cough", US_national_yearly!$D:$AM, 10, FALSE), 1)</f>
        <v>6.0608082515802297E-3</v>
      </c>
      <c r="AB6" s="7">
        <f>$B6 * IFERROR(VLOOKUP("industry|SO2|Asthma symptoms cough", US_national_yearly!$D:$AM, 36, FALSE) / VLOOKUP("industry|SO2|Asthma symptoms cough", US_national_yearly!$D:$AM, 10, FALSE), 1)</f>
        <v>6.0608082515802297E-3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8.1616135120851415E-3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8.1616135120851415E-3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8.1616135120851415E-3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8.1616135120851415E-3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8.1616135120851415E-3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8.1616135120851415E-3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8.1616135120851415E-3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8.1616135120851415E-3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8.1616135120851415E-3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8.1616135120851415E-3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8.1616135120851415E-3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8.1616135120851415E-3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8.1616135120851415E-3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8.1616135120851415E-3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8.1616135120851415E-3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8.1616135120851415E-3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8.1616135120851415E-3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8.1616135120851415E-3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8.1616135120851415E-3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8.1616135120851415E-3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8.1616135120851415E-3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8.1616135120851415E-3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8.1616135120851415E-3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8.1616135120851415E-3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8.1616135120851415E-3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8.1616135120851415E-3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8.1616135120851415E-3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1.2470076659012185E-2</v>
      </c>
      <c r="C8" s="7">
        <f>$B8 * IFERROR(VLOOKUP("industry|SO2|Asthma symptoms wheeze", US_national_yearly!$D:$AM, 11, FALSE) / VLOOKUP("industry|SO2|Asthma symptoms wheeze", US_national_yearly!$D:$AM, 10, FALSE), 1)</f>
        <v>1.2470076659012185E-2</v>
      </c>
      <c r="D8" s="7">
        <f>$B8 * IFERROR(VLOOKUP("industry|SO2|Asthma symptoms wheeze", US_national_yearly!$D:$AM, 12, FALSE) / VLOOKUP("industry|SO2|Asthma symptoms wheeze", US_national_yearly!$D:$AM, 10, FALSE), 1)</f>
        <v>1.2470076659012185E-2</v>
      </c>
      <c r="E8" s="7">
        <f>$B8 * IFERROR(VLOOKUP("industry|SO2|Asthma symptoms wheeze", US_national_yearly!$D:$AM, 13, FALSE) / VLOOKUP("industry|SO2|Asthma symptoms wheeze", US_national_yearly!$D:$AM, 10, FALSE), 1)</f>
        <v>1.2470076659012185E-2</v>
      </c>
      <c r="F8" s="7">
        <f>$B8 * IFERROR(VLOOKUP("industry|SO2|Asthma symptoms wheeze", US_national_yearly!$D:$AM, 14, FALSE) / VLOOKUP("industry|SO2|Asthma symptoms wheeze", US_national_yearly!$D:$AM, 10, FALSE), 1)</f>
        <v>1.2470076659012185E-2</v>
      </c>
      <c r="G8" s="7">
        <f>$B8 * IFERROR(VLOOKUP("industry|SO2|Asthma symptoms wheeze", US_national_yearly!$D:$AM, 15, FALSE) / VLOOKUP("industry|SO2|Asthma symptoms wheeze", US_national_yearly!$D:$AM, 10, FALSE), 1)</f>
        <v>1.2470076659012185E-2</v>
      </c>
      <c r="H8" s="7">
        <f>$B8 * IFERROR(VLOOKUP("industry|SO2|Asthma symptoms wheeze", US_national_yearly!$D:$AM, 16, FALSE) / VLOOKUP("industry|SO2|Asthma symptoms wheeze", US_national_yearly!$D:$AM, 10, FALSE), 1)</f>
        <v>1.2470076659012185E-2</v>
      </c>
      <c r="I8" s="7">
        <f>$B8 * IFERROR(VLOOKUP("industry|SO2|Asthma symptoms wheeze", US_national_yearly!$D:$AM, 17, FALSE) / VLOOKUP("industry|SO2|Asthma symptoms wheeze", US_national_yearly!$D:$AM, 10, FALSE), 1)</f>
        <v>1.2470076659012185E-2</v>
      </c>
      <c r="J8" s="7">
        <f>$B8 * IFERROR(VLOOKUP("industry|SO2|Asthma symptoms wheeze", US_national_yearly!$D:$AM, 18, FALSE) / VLOOKUP("industry|SO2|Asthma symptoms wheeze", US_national_yearly!$D:$AM, 10, FALSE), 1)</f>
        <v>1.2470076659012185E-2</v>
      </c>
      <c r="K8" s="7">
        <f>$B8 * IFERROR(VLOOKUP("industry|SO2|Asthma symptoms wheeze", US_national_yearly!$D:$AM, 19, FALSE) / VLOOKUP("industry|SO2|Asthma symptoms wheeze", US_national_yearly!$D:$AM, 10, FALSE), 1)</f>
        <v>1.2470076659012185E-2</v>
      </c>
      <c r="L8" s="7">
        <f>$B8 * IFERROR(VLOOKUP("industry|SO2|Asthma symptoms wheeze", US_national_yearly!$D:$AM, 20, FALSE) / VLOOKUP("industry|SO2|Asthma symptoms wheeze", US_national_yearly!$D:$AM, 10, FALSE), 1)</f>
        <v>1.2470076659012185E-2</v>
      </c>
      <c r="M8" s="7">
        <f>$B8 * IFERROR(VLOOKUP("industry|SO2|Asthma symptoms wheeze", US_national_yearly!$D:$AM, 21, FALSE) / VLOOKUP("industry|SO2|Asthma symptoms wheeze", US_national_yearly!$D:$AM, 10, FALSE), 1)</f>
        <v>1.2470076659012185E-2</v>
      </c>
      <c r="N8" s="7">
        <f>$B8 * IFERROR(VLOOKUP("industry|SO2|Asthma symptoms wheeze", US_national_yearly!$D:$AM, 22, FALSE) / VLOOKUP("industry|SO2|Asthma symptoms wheeze", US_national_yearly!$D:$AM, 10, FALSE), 1)</f>
        <v>1.2470076659012185E-2</v>
      </c>
      <c r="O8" s="7">
        <f>$B8 * IFERROR(VLOOKUP("industry|SO2|Asthma symptoms wheeze", US_national_yearly!$D:$AM, 23, FALSE) / VLOOKUP("industry|SO2|Asthma symptoms wheeze", US_national_yearly!$D:$AM, 10, FALSE), 1)</f>
        <v>1.2470076659012185E-2</v>
      </c>
      <c r="P8" s="7">
        <f>$B8 * IFERROR(VLOOKUP("industry|SO2|Asthma symptoms wheeze", US_national_yearly!$D:$AM, 24, FALSE) / VLOOKUP("industry|SO2|Asthma symptoms wheeze", US_national_yearly!$D:$AM, 10, FALSE), 1)</f>
        <v>1.2470076659012185E-2</v>
      </c>
      <c r="Q8" s="7">
        <f>$B8 * IFERROR(VLOOKUP("industry|SO2|Asthma symptoms wheeze", US_national_yearly!$D:$AM, 25, FALSE) / VLOOKUP("industry|SO2|Asthma symptoms wheeze", US_national_yearly!$D:$AM, 10, FALSE), 1)</f>
        <v>1.2470076659012185E-2</v>
      </c>
      <c r="R8" s="7">
        <f>$B8 * IFERROR(VLOOKUP("industry|SO2|Asthma symptoms wheeze", US_national_yearly!$D:$AM, 26, FALSE) / VLOOKUP("industry|SO2|Asthma symptoms wheeze", US_national_yearly!$D:$AM, 10, FALSE), 1)</f>
        <v>1.2470076659012185E-2</v>
      </c>
      <c r="S8" s="7">
        <f>$B8 * IFERROR(VLOOKUP("industry|SO2|Asthma symptoms wheeze", US_national_yearly!$D:$AM, 27, FALSE) / VLOOKUP("industry|SO2|Asthma symptoms wheeze", US_national_yearly!$D:$AM, 10, FALSE), 1)</f>
        <v>1.2470076659012185E-2</v>
      </c>
      <c r="T8" s="7">
        <f>$B8 * IFERROR(VLOOKUP("industry|SO2|Asthma symptoms wheeze", US_national_yearly!$D:$AM, 28, FALSE) / VLOOKUP("industry|SO2|Asthma symptoms wheeze", US_national_yearly!$D:$AM, 10, FALSE), 1)</f>
        <v>1.2470076659012185E-2</v>
      </c>
      <c r="U8" s="7">
        <f>$B8 * IFERROR(VLOOKUP("industry|SO2|Asthma symptoms wheeze", US_national_yearly!$D:$AM, 29, FALSE) / VLOOKUP("industry|SO2|Asthma symptoms wheeze", US_national_yearly!$D:$AM, 10, FALSE), 1)</f>
        <v>1.2470076659012185E-2</v>
      </c>
      <c r="V8" s="7">
        <f>$B8 * IFERROR(VLOOKUP("industry|SO2|Asthma symptoms wheeze", US_national_yearly!$D:$AM, 30, FALSE) / VLOOKUP("industry|SO2|Asthma symptoms wheeze", US_national_yearly!$D:$AM, 10, FALSE), 1)</f>
        <v>1.2470076659012185E-2</v>
      </c>
      <c r="W8" s="7">
        <f>$B8 * IFERROR(VLOOKUP("industry|SO2|Asthma symptoms wheeze", US_national_yearly!$D:$AM, 31, FALSE) / VLOOKUP("industry|SO2|Asthma symptoms wheeze", US_national_yearly!$D:$AM, 10, FALSE), 1)</f>
        <v>1.2470076659012185E-2</v>
      </c>
      <c r="X8" s="7">
        <f>$B8 * IFERROR(VLOOKUP("industry|SO2|Asthma symptoms wheeze", US_national_yearly!$D:$AM, 32, FALSE) / VLOOKUP("industry|SO2|Asthma symptoms wheeze", US_national_yearly!$D:$AM, 10, FALSE), 1)</f>
        <v>1.2470076659012185E-2</v>
      </c>
      <c r="Y8" s="7">
        <f>$B8 * IFERROR(VLOOKUP("industry|SO2|Asthma symptoms wheeze", US_national_yearly!$D:$AM, 33, FALSE) / VLOOKUP("industry|SO2|Asthma symptoms wheeze", US_national_yearly!$D:$AM, 10, FALSE), 1)</f>
        <v>1.2470076659012185E-2</v>
      </c>
      <c r="Z8" s="7">
        <f>$B8 * IFERROR(VLOOKUP("industry|SO2|Asthma symptoms wheeze", US_national_yearly!$D:$AM, 34, FALSE) / VLOOKUP("industry|SO2|Asthma symptoms wheeze", US_national_yearly!$D:$AM, 10, FALSE), 1)</f>
        <v>1.2470076659012185E-2</v>
      </c>
      <c r="AA8" s="7">
        <f>$B8 * IFERROR(VLOOKUP("industry|SO2|Asthma symptoms wheeze", US_national_yearly!$D:$AM, 35, FALSE) / VLOOKUP("industry|SO2|Asthma symptoms wheeze", US_national_yearly!$D:$AM, 10, FALSE), 1)</f>
        <v>1.2470076659012185E-2</v>
      </c>
      <c r="AB8" s="7">
        <f>$B8 * IFERROR(VLOOKUP("industry|SO2|Asthma symptoms wheeze", US_national_yearly!$D:$AM, 36, FALSE) / VLOOKUP("industry|SO2|Asthma symptoms wheeze", US_national_yearly!$D:$AM, 10, FALSE), 1)</f>
        <v>1.2470076659012185E-2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1.6928057936154711E-4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1.702722403912478E-4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1.7126390142094849E-4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1.7225556245064919E-4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1.7324722348034991E-4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1.7432832583179608E-4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1.7540942818324221E-4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1.7647124796192745E-4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1.7753306774061269E-4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1.7859488751929787E-4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1.7965670729798311E-4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1.8071852707666832E-4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1.8148687481377686E-4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1.8225522255088539E-4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1.8302357028799387E-4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1.837919180251024E-4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1.8456026576221088E-4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1.8529046283859914E-4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1.8602065991498733E-4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1.8675085699137555E-4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1.8748105406776381E-4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1.88211251144152E-4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1.8890465725682849E-4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1.8959806336950501E-4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1.9029146948218147E-4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1.9098487559485796E-4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1.9167828170753447E-4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9.3700855621863389E-4</v>
      </c>
      <c r="C13" s="7">
        <f>$B13 * IFERROR(VLOOKUP("industry|SO2|Non-fatal heart attacks", US_national_yearly!$D:$AM, 11, FALSE) / VLOOKUP("industry|SO2|Non-fatal heart attacks", US_national_yearly!$D:$AM, 10, FALSE), 1)</f>
        <v>9.6451561370752403E-4</v>
      </c>
      <c r="D13" s="7">
        <f>$B13 * IFERROR(VLOOKUP("industry|SO2|Non-fatal heart attacks", US_national_yearly!$D:$AM, 12, FALSE) / VLOOKUP("industry|SO2|Non-fatal heart attacks", US_national_yearly!$D:$AM, 10, FALSE), 1)</f>
        <v>9.9202267119641416E-4</v>
      </c>
      <c r="E13" s="7">
        <f>$B13 * IFERROR(VLOOKUP("industry|SO2|Non-fatal heart attacks", US_national_yearly!$D:$AM, 13, FALSE) / VLOOKUP("industry|SO2|Non-fatal heart attacks", US_national_yearly!$D:$AM, 10, FALSE), 1)</f>
        <v>1.0195297286853041E-3</v>
      </c>
      <c r="F13" s="7">
        <f>$B13 * IFERROR(VLOOKUP("industry|SO2|Non-fatal heart attacks", US_national_yearly!$D:$AM, 14, FALSE) / VLOOKUP("industry|SO2|Non-fatal heart attacks", US_national_yearly!$D:$AM, 10, FALSE), 1)</f>
        <v>1.0470367861741942E-3</v>
      </c>
      <c r="G13" s="7">
        <f>$B13 * IFERROR(VLOOKUP("industry|SO2|Non-fatal heart attacks", US_national_yearly!$D:$AM, 15, FALSE) / VLOOKUP("industry|SO2|Non-fatal heart attacks", US_national_yearly!$D:$AM, 10, FALSE), 1)</f>
        <v>1.0729957426688251E-3</v>
      </c>
      <c r="H13" s="7">
        <f>$B13 * IFERROR(VLOOKUP("industry|SO2|Non-fatal heart attacks", US_national_yearly!$D:$AM, 16, FALSE) / VLOOKUP("industry|SO2|Non-fatal heart attacks", US_national_yearly!$D:$AM, 10, FALSE), 1)</f>
        <v>1.0989546991634562E-3</v>
      </c>
      <c r="I13" s="7">
        <f>$B13 * IFERROR(VLOOKUP("industry|SO2|Non-fatal heart attacks", US_national_yearly!$D:$AM, 17, FALSE) / VLOOKUP("industry|SO2|Non-fatal heart attacks", US_national_yearly!$D:$AM, 10, FALSE), 1)</f>
        <v>1.1198821114389666E-3</v>
      </c>
      <c r="J13" s="7">
        <f>$B13 * IFERROR(VLOOKUP("industry|SO2|Non-fatal heart attacks", US_national_yearly!$D:$AM, 18, FALSE) / VLOOKUP("industry|SO2|Non-fatal heart attacks", US_national_yearly!$D:$AM, 10, FALSE), 1)</f>
        <v>1.1408095237144772E-3</v>
      </c>
      <c r="K13" s="7">
        <f>$B13 * IFERROR(VLOOKUP("industry|SO2|Non-fatal heart attacks", US_national_yearly!$D:$AM, 19, FALSE) / VLOOKUP("industry|SO2|Non-fatal heart attacks", US_national_yearly!$D:$AM, 10, FALSE), 1)</f>
        <v>1.1617369359899878E-3</v>
      </c>
      <c r="L13" s="7">
        <f>$B13 * IFERROR(VLOOKUP("industry|SO2|Non-fatal heart attacks", US_national_yearly!$D:$AM, 20, FALSE) / VLOOKUP("industry|SO2|Non-fatal heart attacks", US_national_yearly!$D:$AM, 10, FALSE), 1)</f>
        <v>1.1826643482654984E-3</v>
      </c>
      <c r="M13" s="7">
        <f>$B13 * IFERROR(VLOOKUP("industry|SO2|Non-fatal heart attacks", US_national_yearly!$D:$AM, 21, FALSE) / VLOOKUP("industry|SO2|Non-fatal heart attacks", US_national_yearly!$D:$AM, 10, FALSE), 1)</f>
        <v>1.2035917605410088E-3</v>
      </c>
      <c r="N13" s="7">
        <f>$B13 * IFERROR(VLOOKUP("industry|SO2|Non-fatal heart attacks", US_national_yearly!$D:$AM, 22, FALSE) / VLOOKUP("industry|SO2|Non-fatal heart attacks", US_national_yearly!$D:$AM, 10, FALSE), 1)</f>
        <v>1.2171873224823126E-3</v>
      </c>
      <c r="O13" s="7">
        <f>$B13 * IFERROR(VLOOKUP("industry|SO2|Non-fatal heart attacks", US_national_yearly!$D:$AM, 23, FALSE) / VLOOKUP("industry|SO2|Non-fatal heart attacks", US_national_yearly!$D:$AM, 10, FALSE), 1)</f>
        <v>1.2307828844236167E-3</v>
      </c>
      <c r="P13" s="7">
        <f>$B13 * IFERROR(VLOOKUP("industry|SO2|Non-fatal heart attacks", US_national_yearly!$D:$AM, 24, FALSE) / VLOOKUP("industry|SO2|Non-fatal heart attacks", US_national_yearly!$D:$AM, 10, FALSE), 1)</f>
        <v>1.2443784463649203E-3</v>
      </c>
      <c r="Q13" s="7">
        <f>$B13 * IFERROR(VLOOKUP("industry|SO2|Non-fatal heart attacks", US_national_yearly!$D:$AM, 25, FALSE) / VLOOKUP("industry|SO2|Non-fatal heart attacks", US_national_yearly!$D:$AM, 10, FALSE), 1)</f>
        <v>1.257974008306224E-3</v>
      </c>
      <c r="R13" s="7">
        <f>$B13 * IFERROR(VLOOKUP("industry|SO2|Non-fatal heart attacks", US_national_yearly!$D:$AM, 26, FALSE) / VLOOKUP("industry|SO2|Non-fatal heart attacks", US_national_yearly!$D:$AM, 10, FALSE), 1)</f>
        <v>1.271569570247528E-3</v>
      </c>
      <c r="S13" s="7">
        <f>$B13 * IFERROR(VLOOKUP("industry|SO2|Non-fatal heart attacks", US_national_yearly!$D:$AM, 27, FALSE) / VLOOKUP("industry|SO2|Non-fatal heart attacks", US_national_yearly!$D:$AM, 10, FALSE), 1)</f>
        <v>1.2787101592742053E-3</v>
      </c>
      <c r="T13" s="7">
        <f>$B13 * IFERROR(VLOOKUP("industry|SO2|Non-fatal heart attacks", US_national_yearly!$D:$AM, 28, FALSE) / VLOOKUP("industry|SO2|Non-fatal heart attacks", US_national_yearly!$D:$AM, 10, FALSE), 1)</f>
        <v>1.2858507483008827E-3</v>
      </c>
      <c r="U13" s="7">
        <f>$B13 * IFERROR(VLOOKUP("industry|SO2|Non-fatal heart attacks", US_national_yearly!$D:$AM, 29, FALSE) / VLOOKUP("industry|SO2|Non-fatal heart attacks", US_national_yearly!$D:$AM, 10, FALSE), 1)</f>
        <v>1.2929913373275603E-3</v>
      </c>
      <c r="V13" s="7">
        <f>$B13 * IFERROR(VLOOKUP("industry|SO2|Non-fatal heart attacks", US_national_yearly!$D:$AM, 30, FALSE) / VLOOKUP("industry|SO2|Non-fatal heart attacks", US_national_yearly!$D:$AM, 10, FALSE), 1)</f>
        <v>1.3001319263542376E-3</v>
      </c>
      <c r="W13" s="7">
        <f>$B13 * IFERROR(VLOOKUP("industry|SO2|Non-fatal heart attacks", US_national_yearly!$D:$AM, 31, FALSE) / VLOOKUP("industry|SO2|Non-fatal heart attacks", US_national_yearly!$D:$AM, 10, FALSE), 1)</f>
        <v>1.307272515380915E-3</v>
      </c>
      <c r="X13" s="7">
        <f>$B13 * IFERROR(VLOOKUP("industry|SO2|Non-fatal heart attacks", US_national_yearly!$D:$AM, 32, FALSE) / VLOOKUP("industry|SO2|Non-fatal heart attacks", US_national_yearly!$D:$AM, 10, FALSE), 1)</f>
        <v>1.3126955866899989E-3</v>
      </c>
      <c r="Y13" s="7">
        <f>$B13 * IFERROR(VLOOKUP("industry|SO2|Non-fatal heart attacks", US_national_yearly!$D:$AM, 33, FALSE) / VLOOKUP("industry|SO2|Non-fatal heart attacks", US_national_yearly!$D:$AM, 10, FALSE), 1)</f>
        <v>1.3181186579990828E-3</v>
      </c>
      <c r="Z13" s="7">
        <f>$B13 * IFERROR(VLOOKUP("industry|SO2|Non-fatal heart attacks", US_national_yearly!$D:$AM, 34, FALSE) / VLOOKUP("industry|SO2|Non-fatal heart attacks", US_national_yearly!$D:$AM, 10, FALSE), 1)</f>
        <v>1.3235417293081667E-3</v>
      </c>
      <c r="AA13" s="7">
        <f>$B13 * IFERROR(VLOOKUP("industry|SO2|Non-fatal heart attacks", US_national_yearly!$D:$AM, 35, FALSE) / VLOOKUP("industry|SO2|Non-fatal heart attacks", US_national_yearly!$D:$AM, 10, FALSE), 1)</f>
        <v>1.3289648006172509E-3</v>
      </c>
      <c r="AB13" s="7">
        <f>$B13 * IFERROR(VLOOKUP("industry|SO2|Non-fatal heart attacks", US_national_yearly!$D:$AM, 36, FALSE) / VLOOKUP("industry|SO2|Non-fatal heart attacks", US_national_yearly!$D:$AM, 10, FALSE), 1)</f>
        <v>1.3343878719263348E-3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0.6741969269618</v>
      </c>
      <c r="C14" s="7">
        <f>$B14 * IFERROR(VLOOKUP("industry|SO2|Minor restricted activity days", US_national_yearly!$D:$AM, 11, FALSE) / VLOOKUP("industry|SO2|Minor restricted activity days", US_national_yearly!$D:$AM, 10, FALSE), 1)</f>
        <v>0.67588335576959635</v>
      </c>
      <c r="D14" s="7">
        <f>$B14 * IFERROR(VLOOKUP("industry|SO2|Minor restricted activity days", US_national_yearly!$D:$AM, 12, FALSE) / VLOOKUP("industry|SO2|Minor restricted activity days", US_national_yearly!$D:$AM, 10, FALSE), 1)</f>
        <v>0.67756978457739259</v>
      </c>
      <c r="E14" s="7">
        <f>$B14 * IFERROR(VLOOKUP("industry|SO2|Minor restricted activity days", US_national_yearly!$D:$AM, 13, FALSE) / VLOOKUP("industry|SO2|Minor restricted activity days", US_national_yearly!$D:$AM, 10, FALSE), 1)</f>
        <v>0.67925621338518893</v>
      </c>
      <c r="F14" s="7">
        <f>$B14 * IFERROR(VLOOKUP("industry|SO2|Minor restricted activity days", US_national_yearly!$D:$AM, 14, FALSE) / VLOOKUP("industry|SO2|Minor restricted activity days", US_national_yearly!$D:$AM, 10, FALSE), 1)</f>
        <v>0.68094264219298539</v>
      </c>
      <c r="G14" s="7">
        <f>$B14 * IFERROR(VLOOKUP("industry|SO2|Minor restricted activity days", US_national_yearly!$D:$AM, 15, FALSE) / VLOOKUP("industry|SO2|Minor restricted activity days", US_national_yearly!$D:$AM, 10, FALSE), 1)</f>
        <v>0.683423539664479</v>
      </c>
      <c r="H14" s="7">
        <f>$B14 * IFERROR(VLOOKUP("industry|SO2|Minor restricted activity days", US_national_yearly!$D:$AM, 16, FALSE) / VLOOKUP("industry|SO2|Minor restricted activity days", US_national_yearly!$D:$AM, 10, FALSE), 1)</f>
        <v>0.68590443713597238</v>
      </c>
      <c r="I14" s="7">
        <f>$B14 * IFERROR(VLOOKUP("industry|SO2|Minor restricted activity days", US_national_yearly!$D:$AM, 17, FALSE) / VLOOKUP("industry|SO2|Minor restricted activity days", US_national_yearly!$D:$AM, 10, FALSE), 1)</f>
        <v>0.69013511773977443</v>
      </c>
      <c r="J14" s="7">
        <f>$B14 * IFERROR(VLOOKUP("industry|SO2|Minor restricted activity days", US_national_yearly!$D:$AM, 18, FALSE) / VLOOKUP("industry|SO2|Minor restricted activity days", US_national_yearly!$D:$AM, 10, FALSE), 1)</f>
        <v>0.69436579834357648</v>
      </c>
      <c r="K14" s="7">
        <f>$B14 * IFERROR(VLOOKUP("industry|SO2|Minor restricted activity days", US_national_yearly!$D:$AM, 19, FALSE) / VLOOKUP("industry|SO2|Minor restricted activity days", US_national_yearly!$D:$AM, 10, FALSE), 1)</f>
        <v>0.69859647894737853</v>
      </c>
      <c r="L14" s="7">
        <f>$B14 * IFERROR(VLOOKUP("industry|SO2|Minor restricted activity days", US_national_yearly!$D:$AM, 20, FALSE) / VLOOKUP("industry|SO2|Minor restricted activity days", US_national_yearly!$D:$AM, 10, FALSE), 1)</f>
        <v>0.70282715955118058</v>
      </c>
      <c r="M14" s="7">
        <f>$B14 * IFERROR(VLOOKUP("industry|SO2|Minor restricted activity days", US_national_yearly!$D:$AM, 21, FALSE) / VLOOKUP("industry|SO2|Minor restricted activity days", US_national_yearly!$D:$AM, 10, FALSE), 1)</f>
        <v>0.70705784015498263</v>
      </c>
      <c r="N14" s="7">
        <f>$B14 * IFERROR(VLOOKUP("industry|SO2|Minor restricted activity days", US_national_yearly!$D:$AM, 22, FALSE) / VLOOKUP("industry|SO2|Minor restricted activity days", US_national_yearly!$D:$AM, 10, FALSE), 1)</f>
        <v>0.71285861207498313</v>
      </c>
      <c r="O14" s="7">
        <f>$B14 * IFERROR(VLOOKUP("industry|SO2|Minor restricted activity days", US_national_yearly!$D:$AM, 23, FALSE) / VLOOKUP("industry|SO2|Minor restricted activity days", US_national_yearly!$D:$AM, 10, FALSE), 1)</f>
        <v>0.71865938399498352</v>
      </c>
      <c r="P14" s="7">
        <f>$B14 * IFERROR(VLOOKUP("industry|SO2|Minor restricted activity days", US_national_yearly!$D:$AM, 24, FALSE) / VLOOKUP("industry|SO2|Minor restricted activity days", US_national_yearly!$D:$AM, 10, FALSE), 1)</f>
        <v>0.72446015591498392</v>
      </c>
      <c r="Q14" s="7">
        <f>$B14 * IFERROR(VLOOKUP("industry|SO2|Minor restricted activity days", US_national_yearly!$D:$AM, 25, FALSE) / VLOOKUP("industry|SO2|Minor restricted activity days", US_national_yearly!$D:$AM, 10, FALSE), 1)</f>
        <v>0.73026092783498453</v>
      </c>
      <c r="R14" s="7">
        <f>$B14 * IFERROR(VLOOKUP("industry|SO2|Minor restricted activity days", US_national_yearly!$D:$AM, 26, FALSE) / VLOOKUP("industry|SO2|Minor restricted activity days", US_national_yearly!$D:$AM, 10, FALSE), 1)</f>
        <v>0.73606169975498492</v>
      </c>
      <c r="S14" s="7">
        <f>$B14 * IFERROR(VLOOKUP("industry|SO2|Minor restricted activity days", US_national_yearly!$D:$AM, 27, FALSE) / VLOOKUP("industry|SO2|Minor restricted activity days", US_national_yearly!$D:$AM, 10, FALSE), 1)</f>
        <v>0.7419818559811947</v>
      </c>
      <c r="T14" s="7">
        <f>$B14 * IFERROR(VLOOKUP("industry|SO2|Minor restricted activity days", US_national_yearly!$D:$AM, 28, FALSE) / VLOOKUP("industry|SO2|Minor restricted activity days", US_national_yearly!$D:$AM, 10, FALSE), 1)</f>
        <v>0.7479020122074046</v>
      </c>
      <c r="U14" s="7">
        <f>$B14 * IFERROR(VLOOKUP("industry|SO2|Minor restricted activity days", US_national_yearly!$D:$AM, 29, FALSE) / VLOOKUP("industry|SO2|Minor restricted activity days", US_national_yearly!$D:$AM, 10, FALSE), 1)</f>
        <v>0.75382216843361438</v>
      </c>
      <c r="V14" s="7">
        <f>$B14 * IFERROR(VLOOKUP("industry|SO2|Minor restricted activity days", US_national_yearly!$D:$AM, 30, FALSE) / VLOOKUP("industry|SO2|Minor restricted activity days", US_national_yearly!$D:$AM, 10, FALSE), 1)</f>
        <v>0.75974232465982428</v>
      </c>
      <c r="W14" s="7">
        <f>$B14 * IFERROR(VLOOKUP("industry|SO2|Minor restricted activity days", US_national_yearly!$D:$AM, 31, FALSE) / VLOOKUP("industry|SO2|Minor restricted activity days", US_national_yearly!$D:$AM, 10, FALSE), 1)</f>
        <v>0.76566248088603395</v>
      </c>
      <c r="X14" s="7">
        <f>$B14 * IFERROR(VLOOKUP("industry|SO2|Minor restricted activity days", US_national_yearly!$D:$AM, 32, FALSE) / VLOOKUP("industry|SO2|Minor restricted activity days", US_national_yearly!$D:$AM, 10, FALSE), 1)</f>
        <v>0.77086802753047545</v>
      </c>
      <c r="Y14" s="7">
        <f>$B14 * IFERROR(VLOOKUP("industry|SO2|Minor restricted activity days", US_national_yearly!$D:$AM, 33, FALSE) / VLOOKUP("industry|SO2|Minor restricted activity days", US_national_yearly!$D:$AM, 10, FALSE), 1)</f>
        <v>0.77607357417491674</v>
      </c>
      <c r="Z14" s="7">
        <f>$B14 * IFERROR(VLOOKUP("industry|SO2|Minor restricted activity days", US_national_yearly!$D:$AM, 34, FALSE) / VLOOKUP("industry|SO2|Minor restricted activity days", US_national_yearly!$D:$AM, 10, FALSE), 1)</f>
        <v>0.78127912081935802</v>
      </c>
      <c r="AA14" s="7">
        <f>$B14 * IFERROR(VLOOKUP("industry|SO2|Minor restricted activity days", US_national_yearly!$D:$AM, 35, FALSE) / VLOOKUP("industry|SO2|Minor restricted activity days", US_national_yearly!$D:$AM, 10, FALSE), 1)</f>
        <v>0.7864846674637993</v>
      </c>
      <c r="AB14" s="7">
        <f>$B14 * IFERROR(VLOOKUP("industry|SO2|Minor restricted activity days", US_national_yearly!$D:$AM, 36, FALSE) / VLOOKUP("industry|SO2|Minor restricted activity days", US_national_yearly!$D:$AM, 10, FALSE), 1)</f>
        <v>0.79169021410824081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0.11430999338204918</v>
      </c>
      <c r="C15" s="7">
        <f>$B15 * IFERROR(VLOOKUP("industry|SO2|Work loss days", US_national_yearly!$D:$AM, 11, FALSE) / VLOOKUP("industry|SO2|Work loss days", US_national_yearly!$D:$AM, 10, FALSE), 1)</f>
        <v>0.11467760140638052</v>
      </c>
      <c r="D15" s="7">
        <f>$B15 * IFERROR(VLOOKUP("industry|SO2|Work loss days", US_national_yearly!$D:$AM, 12, FALSE) / VLOOKUP("industry|SO2|Work loss days", US_national_yearly!$D:$AM, 10, FALSE), 1)</f>
        <v>0.11504520943071191</v>
      </c>
      <c r="E15" s="7">
        <f>$B15 * IFERROR(VLOOKUP("industry|SO2|Work loss days", US_national_yearly!$D:$AM, 13, FALSE) / VLOOKUP("industry|SO2|Work loss days", US_national_yearly!$D:$AM, 10, FALSE), 1)</f>
        <v>0.11541281745504324</v>
      </c>
      <c r="F15" s="7">
        <f>$B15 * IFERROR(VLOOKUP("industry|SO2|Work loss days", US_national_yearly!$D:$AM, 14, FALSE) / VLOOKUP("industry|SO2|Work loss days", US_national_yearly!$D:$AM, 10, FALSE), 1)</f>
        <v>0.11578042547937463</v>
      </c>
      <c r="G15" s="7">
        <f>$B15 * IFERROR(VLOOKUP("industry|SO2|Work loss days", US_national_yearly!$D:$AM, 15, FALSE) / VLOOKUP("industry|SO2|Work loss days", US_national_yearly!$D:$AM, 10, FALSE), 1)</f>
        <v>0.11626025329286109</v>
      </c>
      <c r="H15" s="7">
        <f>$B15 * IFERROR(VLOOKUP("industry|SO2|Work loss days", US_national_yearly!$D:$AM, 16, FALSE) / VLOOKUP("industry|SO2|Work loss days", US_national_yearly!$D:$AM, 10, FALSE), 1)</f>
        <v>0.11674008110634759</v>
      </c>
      <c r="I15" s="7">
        <f>$B15 * IFERROR(VLOOKUP("industry|SO2|Work loss days", US_national_yearly!$D:$AM, 17, FALSE) / VLOOKUP("industry|SO2|Work loss days", US_national_yearly!$D:$AM, 10, FALSE), 1)</f>
        <v>0.11744145416096738</v>
      </c>
      <c r="J15" s="7">
        <f>$B15 * IFERROR(VLOOKUP("industry|SO2|Work loss days", US_national_yearly!$D:$AM, 18, FALSE) / VLOOKUP("industry|SO2|Work loss days", US_national_yearly!$D:$AM, 10, FALSE), 1)</f>
        <v>0.11814282721558712</v>
      </c>
      <c r="K15" s="7">
        <f>$B15 * IFERROR(VLOOKUP("industry|SO2|Work loss days", US_national_yearly!$D:$AM, 19, FALSE) / VLOOKUP("industry|SO2|Work loss days", US_national_yearly!$D:$AM, 10, FALSE), 1)</f>
        <v>0.11884420027020688</v>
      </c>
      <c r="L15" s="7">
        <f>$B15 * IFERROR(VLOOKUP("industry|SO2|Work loss days", US_national_yearly!$D:$AM, 20, FALSE) / VLOOKUP("industry|SO2|Work loss days", US_national_yearly!$D:$AM, 10, FALSE), 1)</f>
        <v>0.11954557332482667</v>
      </c>
      <c r="M15" s="7">
        <f>$B15 * IFERROR(VLOOKUP("industry|SO2|Work loss days", US_national_yearly!$D:$AM, 21, FALSE) / VLOOKUP("industry|SO2|Work loss days", US_national_yearly!$D:$AM, 10, FALSE), 1)</f>
        <v>0.12024694637944643</v>
      </c>
      <c r="N15" s="7">
        <f>$B15 * IFERROR(VLOOKUP("industry|SO2|Work loss days", US_national_yearly!$D:$AM, 22, FALSE) / VLOOKUP("industry|SO2|Work loss days", US_national_yearly!$D:$AM, 10, FALSE), 1)</f>
        <v>0.12112846905343044</v>
      </c>
      <c r="O15" s="7">
        <f>$B15 * IFERROR(VLOOKUP("industry|SO2|Work loss days", US_national_yearly!$D:$AM, 23, FALSE) / VLOOKUP("industry|SO2|Work loss days", US_national_yearly!$D:$AM, 10, FALSE), 1)</f>
        <v>0.12200999172741446</v>
      </c>
      <c r="P15" s="7">
        <f>$B15 * IFERROR(VLOOKUP("industry|SO2|Work loss days", US_national_yearly!$D:$AM, 24, FALSE) / VLOOKUP("industry|SO2|Work loss days", US_national_yearly!$D:$AM, 10, FALSE), 1)</f>
        <v>0.12289151440139848</v>
      </c>
      <c r="Q15" s="7">
        <f>$B15 * IFERROR(VLOOKUP("industry|SO2|Work loss days", US_national_yearly!$D:$AM, 25, FALSE) / VLOOKUP("industry|SO2|Work loss days", US_national_yearly!$D:$AM, 10, FALSE), 1)</f>
        <v>0.12377303707538251</v>
      </c>
      <c r="R15" s="7">
        <f>$B15 * IFERROR(VLOOKUP("industry|SO2|Work loss days", US_national_yearly!$D:$AM, 26, FALSE) / VLOOKUP("industry|SO2|Work loss days", US_national_yearly!$D:$AM, 10, FALSE), 1)</f>
        <v>0.12465455974936653</v>
      </c>
      <c r="S15" s="7">
        <f>$B15 * IFERROR(VLOOKUP("industry|SO2|Work loss days", US_national_yearly!$D:$AM, 27, FALSE) / VLOOKUP("industry|SO2|Work loss days", US_national_yearly!$D:$AM, 10, FALSE), 1)</f>
        <v>0.12564094729169606</v>
      </c>
      <c r="T15" s="7">
        <f>$B15 * IFERROR(VLOOKUP("industry|SO2|Work loss days", US_national_yearly!$D:$AM, 28, FALSE) / VLOOKUP("industry|SO2|Work loss days", US_national_yearly!$D:$AM, 10, FALSE), 1)</f>
        <v>0.12662733483402563</v>
      </c>
      <c r="U15" s="7">
        <f>$B15 * IFERROR(VLOOKUP("industry|SO2|Work loss days", US_national_yearly!$D:$AM, 29, FALSE) / VLOOKUP("industry|SO2|Work loss days", US_national_yearly!$D:$AM, 10, FALSE), 1)</f>
        <v>0.12761372237635521</v>
      </c>
      <c r="V15" s="7">
        <f>$B15 * IFERROR(VLOOKUP("industry|SO2|Work loss days", US_national_yearly!$D:$AM, 30, FALSE) / VLOOKUP("industry|SO2|Work loss days", US_national_yearly!$D:$AM, 10, FALSE), 1)</f>
        <v>0.12860010991868476</v>
      </c>
      <c r="W15" s="7">
        <f>$B15 * IFERROR(VLOOKUP("industry|SO2|Work loss days", US_national_yearly!$D:$AM, 31, FALSE) / VLOOKUP("industry|SO2|Work loss days", US_national_yearly!$D:$AM, 10, FALSE), 1)</f>
        <v>0.12958649746101433</v>
      </c>
      <c r="X15" s="7">
        <f>$B15 * IFERROR(VLOOKUP("industry|SO2|Work loss days", US_national_yearly!$D:$AM, 32, FALSE) / VLOOKUP("industry|SO2|Work loss days", US_national_yearly!$D:$AM, 10, FALSE), 1)</f>
        <v>0.13047244401417363</v>
      </c>
      <c r="Y15" s="7">
        <f>$B15 * IFERROR(VLOOKUP("industry|SO2|Work loss days", US_national_yearly!$D:$AM, 33, FALSE) / VLOOKUP("industry|SO2|Work loss days", US_national_yearly!$D:$AM, 10, FALSE), 1)</f>
        <v>0.13135839056733295</v>
      </c>
      <c r="Z15" s="7">
        <f>$B15 * IFERROR(VLOOKUP("industry|SO2|Work loss days", US_national_yearly!$D:$AM, 34, FALSE) / VLOOKUP("industry|SO2|Work loss days", US_national_yearly!$D:$AM, 10, FALSE), 1)</f>
        <v>0.13224433712049224</v>
      </c>
      <c r="AA15" s="7">
        <f>$B15 * IFERROR(VLOOKUP("industry|SO2|Work loss days", US_national_yearly!$D:$AM, 35, FALSE) / VLOOKUP("industry|SO2|Work loss days", US_national_yearly!$D:$AM, 10, FALSE), 1)</f>
        <v>0.13313028367365157</v>
      </c>
      <c r="AB15" s="7">
        <f>$B15 * IFERROR(VLOOKUP("industry|SO2|Work loss days", US_national_yearly!$D:$AM, 36, FALSE) / VLOOKUP("industry|SO2|Work loss days", US_national_yearly!$D:$AM, 10, FALSE), 1)</f>
        <v>0.13401623022681086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2.3356732432165353E-4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2.4062974540677687E-4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2.4769216649190028E-4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2.5475458757702371E-4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2.6181700866214708E-4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2.6858535541268345E-4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2.7535370216321976E-4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2.8116118067918845E-4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2.8696865919515725E-4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2.9277613771112605E-4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2.9858361622709479E-4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3.0439109474306354E-4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3.0829287361485352E-4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3.1219465248664356E-4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3.1609643135843349E-4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3.1999821023022352E-4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3.2389998910201351E-4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3.2596309850365762E-4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3.2802620790530179E-4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3.300893173069459E-4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3.3215242670859012E-4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3.3421553611023418E-4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3.3561074507303579E-4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3.3700595403583734E-4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3.38401162998639E-4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3.3979637196144061E-4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3.4119158092424216E-4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2.4161149189504576E-5</v>
      </c>
      <c r="C2" s="7">
        <f>$B2 * IFERROR(VLOOKUP("LULUCF|PM25|Premature mortality", US_national_yearly!$D:$AM, 11, FALSE) / VLOOKUP("LULUCF|PM25|Premature mortality", US_national_yearly!$D:$AM, 10, FALSE), 1)</f>
        <v>2.4460694490631005E-5</v>
      </c>
      <c r="D2" s="7">
        <f>$B2 * IFERROR(VLOOKUP("LULUCF|PM25|Premature mortality", US_national_yearly!$D:$AM, 12, FALSE) / VLOOKUP("LULUCF|PM25|Premature mortality", US_national_yearly!$D:$AM, 10, FALSE), 1)</f>
        <v>2.4760239791757428E-5</v>
      </c>
      <c r="E2" s="7">
        <f>$B2 * IFERROR(VLOOKUP("LULUCF|PM25|Premature mortality", US_national_yearly!$D:$AM, 13, FALSE) / VLOOKUP("LULUCF|PM25|Premature mortality", US_national_yearly!$D:$AM, 10, FALSE), 1)</f>
        <v>2.505978509288385E-5</v>
      </c>
      <c r="F2" s="7">
        <f>$B2 * IFERROR(VLOOKUP("LULUCF|PM25|Premature mortality", US_national_yearly!$D:$AM, 14, FALSE) / VLOOKUP("LULUCF|PM25|Premature mortality", US_national_yearly!$D:$AM, 10, FALSE), 1)</f>
        <v>2.5359330394010272E-5</v>
      </c>
      <c r="G2" s="7">
        <f>$B2 * IFERROR(VLOOKUP("LULUCF|PM25|Premature mortality", US_national_yearly!$D:$AM, 15, FALSE) / VLOOKUP("LULUCF|PM25|Premature mortality", US_national_yearly!$D:$AM, 10, FALSE), 1)</f>
        <v>2.5942692608836799E-5</v>
      </c>
      <c r="H2" s="7">
        <f>$B2 * IFERROR(VLOOKUP("LULUCF|PM25|Premature mortality", US_national_yearly!$D:$AM, 16, FALSE) / VLOOKUP("LULUCF|PM25|Premature mortality", US_national_yearly!$D:$AM, 10, FALSE), 1)</f>
        <v>2.6526054823663329E-5</v>
      </c>
      <c r="I2" s="7">
        <f>$B2 * IFERROR(VLOOKUP("LULUCF|PM25|Premature mortality", US_national_yearly!$D:$AM, 17, FALSE) / VLOOKUP("LULUCF|PM25|Premature mortality", US_national_yearly!$D:$AM, 10, FALSE), 1)</f>
        <v>2.6909231683072832E-5</v>
      </c>
      <c r="J2" s="7">
        <f>$B2 * IFERROR(VLOOKUP("LULUCF|PM25|Premature mortality", US_national_yearly!$D:$AM, 18, FALSE) / VLOOKUP("LULUCF|PM25|Premature mortality", US_national_yearly!$D:$AM, 10, FALSE), 1)</f>
        <v>2.7292408542482344E-5</v>
      </c>
      <c r="K2" s="7">
        <f>$B2 * IFERROR(VLOOKUP("LULUCF|PM25|Premature mortality", US_national_yearly!$D:$AM, 19, FALSE) / VLOOKUP("LULUCF|PM25|Premature mortality", US_national_yearly!$D:$AM, 10, FALSE), 1)</f>
        <v>2.767558540189185E-5</v>
      </c>
      <c r="L2" s="7">
        <f>$B2 * IFERROR(VLOOKUP("LULUCF|PM25|Premature mortality", US_national_yearly!$D:$AM, 20, FALSE) / VLOOKUP("LULUCF|PM25|Premature mortality", US_national_yearly!$D:$AM, 10, FALSE), 1)</f>
        <v>2.8058762261301362E-5</v>
      </c>
      <c r="M2" s="7">
        <f>$B2 * IFERROR(VLOOKUP("LULUCF|PM25|Premature mortality", US_national_yearly!$D:$AM, 21, FALSE) / VLOOKUP("LULUCF|PM25|Premature mortality", US_national_yearly!$D:$AM, 10, FALSE), 1)</f>
        <v>2.8441939120710872E-5</v>
      </c>
      <c r="N2" s="7">
        <f>$B2 * IFERROR(VLOOKUP("LULUCF|PM25|Premature mortality", US_national_yearly!$D:$AM, 22, FALSE) / VLOOKUP("LULUCF|PM25|Premature mortality", US_national_yearly!$D:$AM, 10, FALSE), 1)</f>
        <v>2.8739451565119211E-5</v>
      </c>
      <c r="O2" s="7">
        <f>$B2 * IFERROR(VLOOKUP("LULUCF|PM25|Premature mortality", US_national_yearly!$D:$AM, 23, FALSE) / VLOOKUP("LULUCF|PM25|Premature mortality", US_national_yearly!$D:$AM, 10, FALSE), 1)</f>
        <v>2.9036964009527553E-5</v>
      </c>
      <c r="P2" s="7">
        <f>$B2 * IFERROR(VLOOKUP("LULUCF|PM25|Premature mortality", US_national_yearly!$D:$AM, 24, FALSE) / VLOOKUP("LULUCF|PM25|Premature mortality", US_national_yearly!$D:$AM, 10, FALSE), 1)</f>
        <v>2.9334476453935896E-5</v>
      </c>
      <c r="Q2" s="7">
        <f>$B2 * IFERROR(VLOOKUP("LULUCF|PM25|Premature mortality", US_national_yearly!$D:$AM, 25, FALSE) / VLOOKUP("LULUCF|PM25|Premature mortality", US_national_yearly!$D:$AM, 10, FALSE), 1)</f>
        <v>2.9631988898344239E-5</v>
      </c>
      <c r="R2" s="7">
        <f>$B2 * IFERROR(VLOOKUP("LULUCF|PM25|Premature mortality", US_national_yearly!$D:$AM, 26, FALSE) / VLOOKUP("LULUCF|PM25|Premature mortality", US_national_yearly!$D:$AM, 10, FALSE), 1)</f>
        <v>2.9929501342752585E-5</v>
      </c>
      <c r="S2" s="7">
        <f>$B2 * IFERROR(VLOOKUP("LULUCF|PM25|Premature mortality", US_national_yearly!$D:$AM, 27, FALSE) / VLOOKUP("LULUCF|PM25|Premature mortality", US_national_yearly!$D:$AM, 10, FALSE), 1)</f>
        <v>3.0087114596410779E-5</v>
      </c>
      <c r="T2" s="7">
        <f>$B2 * IFERROR(VLOOKUP("LULUCF|PM25|Premature mortality", US_national_yearly!$D:$AM, 28, FALSE) / VLOOKUP("LULUCF|PM25|Premature mortality", US_national_yearly!$D:$AM, 10, FALSE), 1)</f>
        <v>3.024472785006897E-5</v>
      </c>
      <c r="U2" s="7">
        <f>$B2 * IFERROR(VLOOKUP("LULUCF|PM25|Premature mortality", US_national_yearly!$D:$AM, 29, FALSE) / VLOOKUP("LULUCF|PM25|Premature mortality", US_national_yearly!$D:$AM, 10, FALSE), 1)</f>
        <v>3.0402341103727157E-5</v>
      </c>
      <c r="V2" s="7">
        <f>$B2 * IFERROR(VLOOKUP("LULUCF|PM25|Premature mortality", US_national_yearly!$D:$AM, 30, FALSE) / VLOOKUP("LULUCF|PM25|Premature mortality", US_national_yearly!$D:$AM, 10, FALSE), 1)</f>
        <v>3.0559954357385345E-5</v>
      </c>
      <c r="W2" s="7">
        <f>$B2 * IFERROR(VLOOKUP("LULUCF|PM25|Premature mortality", US_national_yearly!$D:$AM, 31, FALSE) / VLOOKUP("LULUCF|PM25|Premature mortality", US_national_yearly!$D:$AM, 10, FALSE), 1)</f>
        <v>3.0717567611043532E-5</v>
      </c>
      <c r="X2" s="7">
        <f>$B2 * IFERROR(VLOOKUP("LULUCF|PM25|Premature mortality", US_national_yearly!$D:$AM, 32, FALSE) / VLOOKUP("LULUCF|PM25|Premature mortality", US_national_yearly!$D:$AM, 10, FALSE), 1)</f>
        <v>3.0745127507668647E-5</v>
      </c>
      <c r="Y2" s="7">
        <f>$B2 * IFERROR(VLOOKUP("LULUCF|PM25|Premature mortality", US_national_yearly!$D:$AM, 33, FALSE) / VLOOKUP("LULUCF|PM25|Premature mortality", US_national_yearly!$D:$AM, 10, FALSE), 1)</f>
        <v>3.0772687404293768E-5</v>
      </c>
      <c r="Z2" s="7">
        <f>$B2 * IFERROR(VLOOKUP("LULUCF|PM25|Premature mortality", US_national_yearly!$D:$AM, 34, FALSE) / VLOOKUP("LULUCF|PM25|Premature mortality", US_national_yearly!$D:$AM, 10, FALSE), 1)</f>
        <v>3.0800247300918875E-5</v>
      </c>
      <c r="AA2" s="7">
        <f>$B2 * IFERROR(VLOOKUP("LULUCF|PM25|Premature mortality", US_national_yearly!$D:$AM, 35, FALSE) / VLOOKUP("LULUCF|PM25|Premature mortality", US_national_yearly!$D:$AM, 10, FALSE), 1)</f>
        <v>3.0827807197543996E-5</v>
      </c>
      <c r="AB2" s="7">
        <f>$B2 * IFERROR(VLOOKUP("LULUCF|PM25|Premature mortality", US_national_yearly!$D:$AM, 36, FALSE) / VLOOKUP("LULUCF|PM25|Premature mortality", US_national_yearly!$D:$AM, 10, FALSE), 1)</f>
        <v>3.0855367094169111E-5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7.5074728563359544E-8</v>
      </c>
      <c r="C3" s="7">
        <f>$B3 * IFERROR(VLOOKUP("LULUCF|PM25|Infant mortality", US_national_yearly!$D:$AM, 11, FALSE) / VLOOKUP("LULUCF|PM25|Infant mortality", US_national_yearly!$D:$AM, 10, FALSE), 1)</f>
        <v>7.4420145436465156E-8</v>
      </c>
      <c r="D3" s="7">
        <f>$B3 * IFERROR(VLOOKUP("LULUCF|PM25|Infant mortality", US_national_yearly!$D:$AM, 12, FALSE) / VLOOKUP("LULUCF|PM25|Infant mortality", US_national_yearly!$D:$AM, 10, FALSE), 1)</f>
        <v>7.3765562309570769E-8</v>
      </c>
      <c r="E3" s="7">
        <f>$B3 * IFERROR(VLOOKUP("LULUCF|PM25|Infant mortality", US_national_yearly!$D:$AM, 13, FALSE) / VLOOKUP("LULUCF|PM25|Infant mortality", US_national_yearly!$D:$AM, 10, FALSE), 1)</f>
        <v>7.3110979182676395E-8</v>
      </c>
      <c r="F3" s="7">
        <f>$B3 * IFERROR(VLOOKUP("LULUCF|PM25|Infant mortality", US_national_yearly!$D:$AM, 14, FALSE) / VLOOKUP("LULUCF|PM25|Infant mortality", US_national_yearly!$D:$AM, 10, FALSE), 1)</f>
        <v>7.2456396055781994E-8</v>
      </c>
      <c r="G3" s="7">
        <f>$B3 * IFERROR(VLOOKUP("LULUCF|PM25|Infant mortality", US_national_yearly!$D:$AM, 15, FALSE) / VLOOKUP("LULUCF|PM25|Infant mortality", US_national_yearly!$D:$AM, 10, FALSE), 1)</f>
        <v>4.8187379211450842E-8</v>
      </c>
      <c r="H3" s="7">
        <f>$B3 * IFERROR(VLOOKUP("LULUCF|PM25|Infant mortality", US_national_yearly!$D:$AM, 16, FALSE) / VLOOKUP("LULUCF|PM25|Infant mortality", US_national_yearly!$D:$AM, 10, FALSE), 1)</f>
        <v>2.3918362367119676E-8</v>
      </c>
      <c r="I3" s="7">
        <f>$B3 * IFERROR(VLOOKUP("LULUCF|PM25|Infant mortality", US_national_yearly!$D:$AM, 17, FALSE) / VLOOKUP("LULUCF|PM25|Infant mortality", US_national_yearly!$D:$AM, 10, FALSE), 1)</f>
        <v>2.376201635943939E-8</v>
      </c>
      <c r="J3" s="7">
        <f>$B3 * IFERROR(VLOOKUP("LULUCF|PM25|Infant mortality", US_national_yearly!$D:$AM, 18, FALSE) / VLOOKUP("LULUCF|PM25|Infant mortality", US_national_yearly!$D:$AM, 10, FALSE), 1)</f>
        <v>2.3605670351759099E-8</v>
      </c>
      <c r="K3" s="7">
        <f>$B3 * IFERROR(VLOOKUP("LULUCF|PM25|Infant mortality", US_national_yearly!$D:$AM, 19, FALSE) / VLOOKUP("LULUCF|PM25|Infant mortality", US_national_yearly!$D:$AM, 10, FALSE), 1)</f>
        <v>2.3449324344078807E-8</v>
      </c>
      <c r="L3" s="7">
        <f>$B3 * IFERROR(VLOOKUP("LULUCF|PM25|Infant mortality", US_national_yearly!$D:$AM, 20, FALSE) / VLOOKUP("LULUCF|PM25|Infant mortality", US_national_yearly!$D:$AM, 10, FALSE), 1)</f>
        <v>2.3292978336398518E-8</v>
      </c>
      <c r="M3" s="7">
        <f>$B3 * IFERROR(VLOOKUP("LULUCF|PM25|Infant mortality", US_national_yearly!$D:$AM, 21, FALSE) / VLOOKUP("LULUCF|PM25|Infant mortality", US_national_yearly!$D:$AM, 10, FALSE), 1)</f>
        <v>2.3136632328718233E-8</v>
      </c>
      <c r="N3" s="7">
        <f>$B3 * IFERROR(VLOOKUP("LULUCF|PM25|Infant mortality", US_national_yearly!$D:$AM, 22, FALSE) / VLOOKUP("LULUCF|PM25|Infant mortality", US_national_yearly!$D:$AM, 10, FALSE), 1)</f>
        <v>2.3038429726701467E-8</v>
      </c>
      <c r="O3" s="7">
        <f>$B3 * IFERROR(VLOOKUP("LULUCF|PM25|Infant mortality", US_national_yearly!$D:$AM, 23, FALSE) / VLOOKUP("LULUCF|PM25|Infant mortality", US_national_yearly!$D:$AM, 10, FALSE), 1)</f>
        <v>2.2940227124684704E-8</v>
      </c>
      <c r="P3" s="7">
        <f>$B3 * IFERROR(VLOOKUP("LULUCF|PM25|Infant mortality", US_national_yearly!$D:$AM, 24, FALSE) / VLOOKUP("LULUCF|PM25|Infant mortality", US_national_yearly!$D:$AM, 10, FALSE), 1)</f>
        <v>2.2842024522667935E-8</v>
      </c>
      <c r="Q3" s="7">
        <f>$B3 * IFERROR(VLOOKUP("LULUCF|PM25|Infant mortality", US_national_yearly!$D:$AM, 25, FALSE) / VLOOKUP("LULUCF|PM25|Infant mortality", US_national_yearly!$D:$AM, 10, FALSE), 1)</f>
        <v>2.2743821920651172E-8</v>
      </c>
      <c r="R3" s="7">
        <f>$B3 * IFERROR(VLOOKUP("LULUCF|PM25|Infant mortality", US_national_yearly!$D:$AM, 26, FALSE) / VLOOKUP("LULUCF|PM25|Infant mortality", US_national_yearly!$D:$AM, 10, FALSE), 1)</f>
        <v>2.2645619318634406E-8</v>
      </c>
      <c r="S3" s="7">
        <f>$B3 * IFERROR(VLOOKUP("LULUCF|PM25|Infant mortality", US_national_yearly!$D:$AM, 27, FALSE) / VLOOKUP("LULUCF|PM25|Infant mortality", US_national_yearly!$D:$AM, 10, FALSE), 1)</f>
        <v>2.252320776731132E-8</v>
      </c>
      <c r="T3" s="7">
        <f>$B3 * IFERROR(VLOOKUP("LULUCF|PM25|Infant mortality", US_national_yearly!$D:$AM, 28, FALSE) / VLOOKUP("LULUCF|PM25|Infant mortality", US_national_yearly!$D:$AM, 10, FALSE), 1)</f>
        <v>2.2400796215988231E-8</v>
      </c>
      <c r="U3" s="7">
        <f>$B3 * IFERROR(VLOOKUP("LULUCF|PM25|Infant mortality", US_national_yearly!$D:$AM, 29, FALSE) / VLOOKUP("LULUCF|PM25|Infant mortality", US_national_yearly!$D:$AM, 10, FALSE), 1)</f>
        <v>2.2278384664665145E-8</v>
      </c>
      <c r="V3" s="7">
        <f>$B3 * IFERROR(VLOOKUP("LULUCF|PM25|Infant mortality", US_national_yearly!$D:$AM, 30, FALSE) / VLOOKUP("LULUCF|PM25|Infant mortality", US_national_yearly!$D:$AM, 10, FALSE), 1)</f>
        <v>2.2155973113342059E-8</v>
      </c>
      <c r="W3" s="7">
        <f>$B3 * IFERROR(VLOOKUP("LULUCF|PM25|Infant mortality", US_national_yearly!$D:$AM, 31, FALSE) / VLOOKUP("LULUCF|PM25|Infant mortality", US_national_yearly!$D:$AM, 10, FALSE), 1)</f>
        <v>2.203356156201897E-8</v>
      </c>
      <c r="X3" s="7">
        <f>$B3 * IFERROR(VLOOKUP("LULUCF|PM25|Infant mortality", US_national_yearly!$D:$AM, 32, FALSE) / VLOOKUP("LULUCF|PM25|Infant mortality", US_national_yearly!$D:$AM, 10, FALSE), 1)</f>
        <v>2.1901586524174809E-8</v>
      </c>
      <c r="Y3" s="7">
        <f>$B3 * IFERROR(VLOOKUP("LULUCF|PM25|Infant mortality", US_national_yearly!$D:$AM, 33, FALSE) / VLOOKUP("LULUCF|PM25|Infant mortality", US_national_yearly!$D:$AM, 10, FALSE), 1)</f>
        <v>2.1769611486330641E-8</v>
      </c>
      <c r="Z3" s="7">
        <f>$B3 * IFERROR(VLOOKUP("LULUCF|PM25|Infant mortality", US_national_yearly!$D:$AM, 34, FALSE) / VLOOKUP("LULUCF|PM25|Infant mortality", US_national_yearly!$D:$AM, 10, FALSE), 1)</f>
        <v>2.1637636448486477E-8</v>
      </c>
      <c r="AA3" s="7">
        <f>$B3 * IFERROR(VLOOKUP("LULUCF|PM25|Infant mortality", US_national_yearly!$D:$AM, 35, FALSE) / VLOOKUP("LULUCF|PM25|Infant mortality", US_national_yearly!$D:$AM, 10, FALSE), 1)</f>
        <v>2.1505661410642313E-8</v>
      </c>
      <c r="AB3" s="7">
        <f>$B3 * IFERROR(VLOOKUP("LULUCF|PM25|Infant mortality", US_national_yearly!$D:$AM, 36, FALSE) / VLOOKUP("LULUCF|PM25|Infant mortality", US_national_yearly!$D:$AM, 10, FALSE), 1)</f>
        <v>2.1373686372798152E-8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5.847011849330298E-5</v>
      </c>
      <c r="C6" s="7">
        <f>$B6 * IFERROR(VLOOKUP("LULUCF|PM25|Asthma symptoms cough", US_national_yearly!$D:$AM, 11, FALSE) / VLOOKUP("LULUCF|PM25|Asthma symptoms cough", US_national_yearly!$D:$AM, 10, FALSE), 1)</f>
        <v>5.847011849330298E-5</v>
      </c>
      <c r="D6" s="7">
        <f>$B6 * IFERROR(VLOOKUP("LULUCF|PM25|Asthma symptoms cough", US_national_yearly!$D:$AM, 12, FALSE) / VLOOKUP("LULUCF|PM25|Asthma symptoms cough", US_national_yearly!$D:$AM, 10, FALSE), 1)</f>
        <v>5.847011849330298E-5</v>
      </c>
      <c r="E6" s="7">
        <f>$B6 * IFERROR(VLOOKUP("LULUCF|PM25|Asthma symptoms cough", US_national_yearly!$D:$AM, 13, FALSE) / VLOOKUP("LULUCF|PM25|Asthma symptoms cough", US_national_yearly!$D:$AM, 10, FALSE), 1)</f>
        <v>5.847011849330298E-5</v>
      </c>
      <c r="F6" s="7">
        <f>$B6 * IFERROR(VLOOKUP("LULUCF|PM25|Asthma symptoms cough", US_national_yearly!$D:$AM, 14, FALSE) / VLOOKUP("LULUCF|PM25|Asthma symptoms cough", US_national_yearly!$D:$AM, 10, FALSE), 1)</f>
        <v>5.847011849330298E-5</v>
      </c>
      <c r="G6" s="7">
        <f>$B6 * IFERROR(VLOOKUP("LULUCF|PM25|Asthma symptoms cough", US_national_yearly!$D:$AM, 15, FALSE) / VLOOKUP("LULUCF|PM25|Asthma symptoms cough", US_national_yearly!$D:$AM, 10, FALSE), 1)</f>
        <v>5.847011849330298E-5</v>
      </c>
      <c r="H6" s="7">
        <f>$B6 * IFERROR(VLOOKUP("LULUCF|PM25|Asthma symptoms cough", US_national_yearly!$D:$AM, 16, FALSE) / VLOOKUP("LULUCF|PM25|Asthma symptoms cough", US_national_yearly!$D:$AM, 10, FALSE), 1)</f>
        <v>5.847011849330298E-5</v>
      </c>
      <c r="I6" s="7">
        <f>$B6 * IFERROR(VLOOKUP("LULUCF|PM25|Asthma symptoms cough", US_national_yearly!$D:$AM, 17, FALSE) / VLOOKUP("LULUCF|PM25|Asthma symptoms cough", US_national_yearly!$D:$AM, 10, FALSE), 1)</f>
        <v>5.847011849330298E-5</v>
      </c>
      <c r="J6" s="7">
        <f>$B6 * IFERROR(VLOOKUP("LULUCF|PM25|Asthma symptoms cough", US_national_yearly!$D:$AM, 18, FALSE) / VLOOKUP("LULUCF|PM25|Asthma symptoms cough", US_national_yearly!$D:$AM, 10, FALSE), 1)</f>
        <v>5.847011849330298E-5</v>
      </c>
      <c r="K6" s="7">
        <f>$B6 * IFERROR(VLOOKUP("LULUCF|PM25|Asthma symptoms cough", US_national_yearly!$D:$AM, 19, FALSE) / VLOOKUP("LULUCF|PM25|Asthma symptoms cough", US_national_yearly!$D:$AM, 10, FALSE), 1)</f>
        <v>5.847011849330298E-5</v>
      </c>
      <c r="L6" s="7">
        <f>$B6 * IFERROR(VLOOKUP("LULUCF|PM25|Asthma symptoms cough", US_national_yearly!$D:$AM, 20, FALSE) / VLOOKUP("LULUCF|PM25|Asthma symptoms cough", US_national_yearly!$D:$AM, 10, FALSE), 1)</f>
        <v>5.847011849330298E-5</v>
      </c>
      <c r="M6" s="7">
        <f>$B6 * IFERROR(VLOOKUP("LULUCF|PM25|Asthma symptoms cough", US_national_yearly!$D:$AM, 21, FALSE) / VLOOKUP("LULUCF|PM25|Asthma symptoms cough", US_national_yearly!$D:$AM, 10, FALSE), 1)</f>
        <v>5.847011849330298E-5</v>
      </c>
      <c r="N6" s="7">
        <f>$B6 * IFERROR(VLOOKUP("LULUCF|PM25|Asthma symptoms cough", US_national_yearly!$D:$AM, 22, FALSE) / VLOOKUP("LULUCF|PM25|Asthma symptoms cough", US_national_yearly!$D:$AM, 10, FALSE), 1)</f>
        <v>5.847011849330298E-5</v>
      </c>
      <c r="O6" s="7">
        <f>$B6 * IFERROR(VLOOKUP("LULUCF|PM25|Asthma symptoms cough", US_national_yearly!$D:$AM, 23, FALSE) / VLOOKUP("LULUCF|PM25|Asthma symptoms cough", US_national_yearly!$D:$AM, 10, FALSE), 1)</f>
        <v>5.847011849330298E-5</v>
      </c>
      <c r="P6" s="7">
        <f>$B6 * IFERROR(VLOOKUP("LULUCF|PM25|Asthma symptoms cough", US_national_yearly!$D:$AM, 24, FALSE) / VLOOKUP("LULUCF|PM25|Asthma symptoms cough", US_national_yearly!$D:$AM, 10, FALSE), 1)</f>
        <v>5.847011849330298E-5</v>
      </c>
      <c r="Q6" s="7">
        <f>$B6 * IFERROR(VLOOKUP("LULUCF|PM25|Asthma symptoms cough", US_national_yearly!$D:$AM, 25, FALSE) / VLOOKUP("LULUCF|PM25|Asthma symptoms cough", US_national_yearly!$D:$AM, 10, FALSE), 1)</f>
        <v>5.847011849330298E-5</v>
      </c>
      <c r="R6" s="7">
        <f>$B6 * IFERROR(VLOOKUP("LULUCF|PM25|Asthma symptoms cough", US_national_yearly!$D:$AM, 26, FALSE) / VLOOKUP("LULUCF|PM25|Asthma symptoms cough", US_national_yearly!$D:$AM, 10, FALSE), 1)</f>
        <v>5.847011849330298E-5</v>
      </c>
      <c r="S6" s="7">
        <f>$B6 * IFERROR(VLOOKUP("LULUCF|PM25|Asthma symptoms cough", US_national_yearly!$D:$AM, 27, FALSE) / VLOOKUP("LULUCF|PM25|Asthma symptoms cough", US_national_yearly!$D:$AM, 10, FALSE), 1)</f>
        <v>5.847011849330298E-5</v>
      </c>
      <c r="T6" s="7">
        <f>$B6 * IFERROR(VLOOKUP("LULUCF|PM25|Asthma symptoms cough", US_national_yearly!$D:$AM, 28, FALSE) / VLOOKUP("LULUCF|PM25|Asthma symptoms cough", US_national_yearly!$D:$AM, 10, FALSE), 1)</f>
        <v>5.847011849330298E-5</v>
      </c>
      <c r="U6" s="7">
        <f>$B6 * IFERROR(VLOOKUP("LULUCF|PM25|Asthma symptoms cough", US_national_yearly!$D:$AM, 29, FALSE) / VLOOKUP("LULUCF|PM25|Asthma symptoms cough", US_national_yearly!$D:$AM, 10, FALSE), 1)</f>
        <v>5.847011849330298E-5</v>
      </c>
      <c r="V6" s="7">
        <f>$B6 * IFERROR(VLOOKUP("LULUCF|PM25|Asthma symptoms cough", US_national_yearly!$D:$AM, 30, FALSE) / VLOOKUP("LULUCF|PM25|Asthma symptoms cough", US_national_yearly!$D:$AM, 10, FALSE), 1)</f>
        <v>5.847011849330298E-5</v>
      </c>
      <c r="W6" s="7">
        <f>$B6 * IFERROR(VLOOKUP("LULUCF|PM25|Asthma symptoms cough", US_national_yearly!$D:$AM, 31, FALSE) / VLOOKUP("LULUCF|PM25|Asthma symptoms cough", US_national_yearly!$D:$AM, 10, FALSE), 1)</f>
        <v>5.847011849330298E-5</v>
      </c>
      <c r="X6" s="7">
        <f>$B6 * IFERROR(VLOOKUP("LULUCF|PM25|Asthma symptoms cough", US_national_yearly!$D:$AM, 32, FALSE) / VLOOKUP("LULUCF|PM25|Asthma symptoms cough", US_national_yearly!$D:$AM, 10, FALSE), 1)</f>
        <v>5.847011849330298E-5</v>
      </c>
      <c r="Y6" s="7">
        <f>$B6 * IFERROR(VLOOKUP("LULUCF|PM25|Asthma symptoms cough", US_national_yearly!$D:$AM, 33, FALSE) / VLOOKUP("LULUCF|PM25|Asthma symptoms cough", US_national_yearly!$D:$AM, 10, FALSE), 1)</f>
        <v>5.847011849330298E-5</v>
      </c>
      <c r="Z6" s="7">
        <f>$B6 * IFERROR(VLOOKUP("LULUCF|PM25|Asthma symptoms cough", US_national_yearly!$D:$AM, 34, FALSE) / VLOOKUP("LULUCF|PM25|Asthma symptoms cough", US_national_yearly!$D:$AM, 10, FALSE), 1)</f>
        <v>5.847011849330298E-5</v>
      </c>
      <c r="AA6" s="7">
        <f>$B6 * IFERROR(VLOOKUP("LULUCF|PM25|Asthma symptoms cough", US_national_yearly!$D:$AM, 35, FALSE) / VLOOKUP("LULUCF|PM25|Asthma symptoms cough", US_national_yearly!$D:$AM, 10, FALSE), 1)</f>
        <v>5.847011849330298E-5</v>
      </c>
      <c r="AB6" s="7">
        <f>$B6 * IFERROR(VLOOKUP("LULUCF|PM25|Asthma symptoms cough", US_national_yearly!$D:$AM, 36, FALSE) / VLOOKUP("LULUCF|PM25|Asthma symptoms cough", US_national_yearly!$D:$AM, 10, FALSE), 1)</f>
        <v>5.847011849330298E-5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7.8738416040402803E-5</v>
      </c>
      <c r="C7" s="7">
        <f>$B7 * IFERROR(VLOOKUP("LULUCF|PM25|Asthma symptoms shortness of breath", US_national_yearly!$D:$AM, 11, FALSE) / VLOOKUP("LULUCF|PM25|Asthma symptoms shortness of breath", US_national_yearly!$D:$AM, 10, FALSE), 1)</f>
        <v>7.8738416040402803E-5</v>
      </c>
      <c r="D7" s="7">
        <f>$B7 * IFERROR(VLOOKUP("LULUCF|PM25|Asthma symptoms shortness of breath", US_national_yearly!$D:$AM, 12, FALSE) / VLOOKUP("LULUCF|PM25|Asthma symptoms shortness of breath", US_national_yearly!$D:$AM, 10, FALSE), 1)</f>
        <v>7.8738416040402803E-5</v>
      </c>
      <c r="E7" s="7">
        <f>$B7 * IFERROR(VLOOKUP("LULUCF|PM25|Asthma symptoms shortness of breath", US_national_yearly!$D:$AM, 13, FALSE) / VLOOKUP("LULUCF|PM25|Asthma symptoms shortness of breath", US_national_yearly!$D:$AM, 10, FALSE), 1)</f>
        <v>7.8738416040402803E-5</v>
      </c>
      <c r="F7" s="7">
        <f>$B7 * IFERROR(VLOOKUP("LULUCF|PM25|Asthma symptoms shortness of breath", US_national_yearly!$D:$AM, 14, FALSE) / VLOOKUP("LULUCF|PM25|Asthma symptoms shortness of breath", US_national_yearly!$D:$AM, 10, FALSE), 1)</f>
        <v>7.8738416040402803E-5</v>
      </c>
      <c r="G7" s="7">
        <f>$B7 * IFERROR(VLOOKUP("LULUCF|PM25|Asthma symptoms shortness of breath", US_national_yearly!$D:$AM, 15, FALSE) / VLOOKUP("LULUCF|PM25|Asthma symptoms shortness of breath", US_national_yearly!$D:$AM, 10, FALSE), 1)</f>
        <v>7.8738416040402803E-5</v>
      </c>
      <c r="H7" s="7">
        <f>$B7 * IFERROR(VLOOKUP("LULUCF|PM25|Asthma symptoms shortness of breath", US_national_yearly!$D:$AM, 16, FALSE) / VLOOKUP("LULUCF|PM25|Asthma symptoms shortness of breath", US_national_yearly!$D:$AM, 10, FALSE), 1)</f>
        <v>7.8738416040402803E-5</v>
      </c>
      <c r="I7" s="7">
        <f>$B7 * IFERROR(VLOOKUP("LULUCF|PM25|Asthma symptoms shortness of breath", US_national_yearly!$D:$AM, 17, FALSE) / VLOOKUP("LULUCF|PM25|Asthma symptoms shortness of breath", US_national_yearly!$D:$AM, 10, FALSE), 1)</f>
        <v>7.8738416040402803E-5</v>
      </c>
      <c r="J7" s="7">
        <f>$B7 * IFERROR(VLOOKUP("LULUCF|PM25|Asthma symptoms shortness of breath", US_national_yearly!$D:$AM, 18, FALSE) / VLOOKUP("LULUCF|PM25|Asthma symptoms shortness of breath", US_national_yearly!$D:$AM, 10, FALSE), 1)</f>
        <v>7.8738416040402803E-5</v>
      </c>
      <c r="K7" s="7">
        <f>$B7 * IFERROR(VLOOKUP("LULUCF|PM25|Asthma symptoms shortness of breath", US_national_yearly!$D:$AM, 19, FALSE) / VLOOKUP("LULUCF|PM25|Asthma symptoms shortness of breath", US_national_yearly!$D:$AM, 10, FALSE), 1)</f>
        <v>7.8738416040402803E-5</v>
      </c>
      <c r="L7" s="7">
        <f>$B7 * IFERROR(VLOOKUP("LULUCF|PM25|Asthma symptoms shortness of breath", US_national_yearly!$D:$AM, 20, FALSE) / VLOOKUP("LULUCF|PM25|Asthma symptoms shortness of breath", US_national_yearly!$D:$AM, 10, FALSE), 1)</f>
        <v>7.8738416040402803E-5</v>
      </c>
      <c r="M7" s="7">
        <f>$B7 * IFERROR(VLOOKUP("LULUCF|PM25|Asthma symptoms shortness of breath", US_national_yearly!$D:$AM, 21, FALSE) / VLOOKUP("LULUCF|PM25|Asthma symptoms shortness of breath", US_national_yearly!$D:$AM, 10, FALSE), 1)</f>
        <v>7.8738416040402803E-5</v>
      </c>
      <c r="N7" s="7">
        <f>$B7 * IFERROR(VLOOKUP("LULUCF|PM25|Asthma symptoms shortness of breath", US_national_yearly!$D:$AM, 22, FALSE) / VLOOKUP("LULUCF|PM25|Asthma symptoms shortness of breath", US_national_yearly!$D:$AM, 10, FALSE), 1)</f>
        <v>7.8738416040402803E-5</v>
      </c>
      <c r="O7" s="7">
        <f>$B7 * IFERROR(VLOOKUP("LULUCF|PM25|Asthma symptoms shortness of breath", US_national_yearly!$D:$AM, 23, FALSE) / VLOOKUP("LULUCF|PM25|Asthma symptoms shortness of breath", US_national_yearly!$D:$AM, 10, FALSE), 1)</f>
        <v>7.8738416040402803E-5</v>
      </c>
      <c r="P7" s="7">
        <f>$B7 * IFERROR(VLOOKUP("LULUCF|PM25|Asthma symptoms shortness of breath", US_national_yearly!$D:$AM, 24, FALSE) / VLOOKUP("LULUCF|PM25|Asthma symptoms shortness of breath", US_national_yearly!$D:$AM, 10, FALSE), 1)</f>
        <v>7.8738416040402803E-5</v>
      </c>
      <c r="Q7" s="7">
        <f>$B7 * IFERROR(VLOOKUP("LULUCF|PM25|Asthma symptoms shortness of breath", US_national_yearly!$D:$AM, 25, FALSE) / VLOOKUP("LULUCF|PM25|Asthma symptoms shortness of breath", US_national_yearly!$D:$AM, 10, FALSE), 1)</f>
        <v>7.8738416040402803E-5</v>
      </c>
      <c r="R7" s="7">
        <f>$B7 * IFERROR(VLOOKUP("LULUCF|PM25|Asthma symptoms shortness of breath", US_national_yearly!$D:$AM, 26, FALSE) / VLOOKUP("LULUCF|PM25|Asthma symptoms shortness of breath", US_national_yearly!$D:$AM, 10, FALSE), 1)</f>
        <v>7.8738416040402803E-5</v>
      </c>
      <c r="S7" s="7">
        <f>$B7 * IFERROR(VLOOKUP("LULUCF|PM25|Asthma symptoms shortness of breath", US_national_yearly!$D:$AM, 27, FALSE) / VLOOKUP("LULUCF|PM25|Asthma symptoms shortness of breath", US_national_yearly!$D:$AM, 10, FALSE), 1)</f>
        <v>7.8738416040402803E-5</v>
      </c>
      <c r="T7" s="7">
        <f>$B7 * IFERROR(VLOOKUP("LULUCF|PM25|Asthma symptoms shortness of breath", US_national_yearly!$D:$AM, 28, FALSE) / VLOOKUP("LULUCF|PM25|Asthma symptoms shortness of breath", US_national_yearly!$D:$AM, 10, FALSE), 1)</f>
        <v>7.8738416040402803E-5</v>
      </c>
      <c r="U7" s="7">
        <f>$B7 * IFERROR(VLOOKUP("LULUCF|PM25|Asthma symptoms shortness of breath", US_national_yearly!$D:$AM, 29, FALSE) / VLOOKUP("LULUCF|PM25|Asthma symptoms shortness of breath", US_national_yearly!$D:$AM, 10, FALSE), 1)</f>
        <v>7.8738416040402803E-5</v>
      </c>
      <c r="V7" s="7">
        <f>$B7 * IFERROR(VLOOKUP("LULUCF|PM25|Asthma symptoms shortness of breath", US_national_yearly!$D:$AM, 30, FALSE) / VLOOKUP("LULUCF|PM25|Asthma symptoms shortness of breath", US_national_yearly!$D:$AM, 10, FALSE), 1)</f>
        <v>7.8738416040402803E-5</v>
      </c>
      <c r="W7" s="7">
        <f>$B7 * IFERROR(VLOOKUP("LULUCF|PM25|Asthma symptoms shortness of breath", US_national_yearly!$D:$AM, 31, FALSE) / VLOOKUP("LULUCF|PM25|Asthma symptoms shortness of breath", US_national_yearly!$D:$AM, 10, FALSE), 1)</f>
        <v>7.8738416040402803E-5</v>
      </c>
      <c r="X7" s="7">
        <f>$B7 * IFERROR(VLOOKUP("LULUCF|PM25|Asthma symptoms shortness of breath", US_national_yearly!$D:$AM, 32, FALSE) / VLOOKUP("LULUCF|PM25|Asthma symptoms shortness of breath", US_national_yearly!$D:$AM, 10, FALSE), 1)</f>
        <v>7.8738416040402803E-5</v>
      </c>
      <c r="Y7" s="7">
        <f>$B7 * IFERROR(VLOOKUP("LULUCF|PM25|Asthma symptoms shortness of breath", US_national_yearly!$D:$AM, 33, FALSE) / VLOOKUP("LULUCF|PM25|Asthma symptoms shortness of breath", US_national_yearly!$D:$AM, 10, FALSE), 1)</f>
        <v>7.8738416040402803E-5</v>
      </c>
      <c r="Z7" s="7">
        <f>$B7 * IFERROR(VLOOKUP("LULUCF|PM25|Asthma symptoms shortness of breath", US_national_yearly!$D:$AM, 34, FALSE) / VLOOKUP("LULUCF|PM25|Asthma symptoms shortness of breath", US_national_yearly!$D:$AM, 10, FALSE), 1)</f>
        <v>7.8738416040402803E-5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7.8738416040402803E-5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7.8738416040402803E-5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1.2029925079049014E-4</v>
      </c>
      <c r="C8" s="7">
        <f>$B8 * IFERROR(VLOOKUP("LULUCF|PM25|Asthma symptoms wheeze", US_national_yearly!$D:$AM, 11, FALSE) / VLOOKUP("LULUCF|PM25|Asthma symptoms wheeze", US_national_yearly!$D:$AM, 10, FALSE), 1)</f>
        <v>1.2029925079049014E-4</v>
      </c>
      <c r="D8" s="7">
        <f>$B8 * IFERROR(VLOOKUP("LULUCF|PM25|Asthma symptoms wheeze", US_national_yearly!$D:$AM, 12, FALSE) / VLOOKUP("LULUCF|PM25|Asthma symptoms wheeze", US_national_yearly!$D:$AM, 10, FALSE), 1)</f>
        <v>1.2029925079049014E-4</v>
      </c>
      <c r="E8" s="7">
        <f>$B8 * IFERROR(VLOOKUP("LULUCF|PM25|Asthma symptoms wheeze", US_national_yearly!$D:$AM, 13, FALSE) / VLOOKUP("LULUCF|PM25|Asthma symptoms wheeze", US_national_yearly!$D:$AM, 10, FALSE), 1)</f>
        <v>1.2029925079049014E-4</v>
      </c>
      <c r="F8" s="7">
        <f>$B8 * IFERROR(VLOOKUP("LULUCF|PM25|Asthma symptoms wheeze", US_national_yearly!$D:$AM, 14, FALSE) / VLOOKUP("LULUCF|PM25|Asthma symptoms wheeze", US_national_yearly!$D:$AM, 10, FALSE), 1)</f>
        <v>1.2029925079049014E-4</v>
      </c>
      <c r="G8" s="7">
        <f>$B8 * IFERROR(VLOOKUP("LULUCF|PM25|Asthma symptoms wheeze", US_national_yearly!$D:$AM, 15, FALSE) / VLOOKUP("LULUCF|PM25|Asthma symptoms wheeze", US_national_yearly!$D:$AM, 10, FALSE), 1)</f>
        <v>1.2029925079049014E-4</v>
      </c>
      <c r="H8" s="7">
        <f>$B8 * IFERROR(VLOOKUP("LULUCF|PM25|Asthma symptoms wheeze", US_national_yearly!$D:$AM, 16, FALSE) / VLOOKUP("LULUCF|PM25|Asthma symptoms wheeze", US_national_yearly!$D:$AM, 10, FALSE), 1)</f>
        <v>1.2029925079049014E-4</v>
      </c>
      <c r="I8" s="7">
        <f>$B8 * IFERROR(VLOOKUP("LULUCF|PM25|Asthma symptoms wheeze", US_national_yearly!$D:$AM, 17, FALSE) / VLOOKUP("LULUCF|PM25|Asthma symptoms wheeze", US_national_yearly!$D:$AM, 10, FALSE), 1)</f>
        <v>1.2029925079049014E-4</v>
      </c>
      <c r="J8" s="7">
        <f>$B8 * IFERROR(VLOOKUP("LULUCF|PM25|Asthma symptoms wheeze", US_national_yearly!$D:$AM, 18, FALSE) / VLOOKUP("LULUCF|PM25|Asthma symptoms wheeze", US_national_yearly!$D:$AM, 10, FALSE), 1)</f>
        <v>1.2029925079049014E-4</v>
      </c>
      <c r="K8" s="7">
        <f>$B8 * IFERROR(VLOOKUP("LULUCF|PM25|Asthma symptoms wheeze", US_national_yearly!$D:$AM, 19, FALSE) / VLOOKUP("LULUCF|PM25|Asthma symptoms wheeze", US_national_yearly!$D:$AM, 10, FALSE), 1)</f>
        <v>1.2029925079049014E-4</v>
      </c>
      <c r="L8" s="7">
        <f>$B8 * IFERROR(VLOOKUP("LULUCF|PM25|Asthma symptoms wheeze", US_national_yearly!$D:$AM, 20, FALSE) / VLOOKUP("LULUCF|PM25|Asthma symptoms wheeze", US_national_yearly!$D:$AM, 10, FALSE), 1)</f>
        <v>1.2029925079049014E-4</v>
      </c>
      <c r="M8" s="7">
        <f>$B8 * IFERROR(VLOOKUP("LULUCF|PM25|Asthma symptoms wheeze", US_national_yearly!$D:$AM, 21, FALSE) / VLOOKUP("LULUCF|PM25|Asthma symptoms wheeze", US_national_yearly!$D:$AM, 10, FALSE), 1)</f>
        <v>1.2029925079049014E-4</v>
      </c>
      <c r="N8" s="7">
        <f>$B8 * IFERROR(VLOOKUP("LULUCF|PM25|Asthma symptoms wheeze", US_national_yearly!$D:$AM, 22, FALSE) / VLOOKUP("LULUCF|PM25|Asthma symptoms wheeze", US_national_yearly!$D:$AM, 10, FALSE), 1)</f>
        <v>1.2029925079049014E-4</v>
      </c>
      <c r="O8" s="7">
        <f>$B8 * IFERROR(VLOOKUP("LULUCF|PM25|Asthma symptoms wheeze", US_national_yearly!$D:$AM, 23, FALSE) / VLOOKUP("LULUCF|PM25|Asthma symptoms wheeze", US_national_yearly!$D:$AM, 10, FALSE), 1)</f>
        <v>1.2029925079049014E-4</v>
      </c>
      <c r="P8" s="7">
        <f>$B8 * IFERROR(VLOOKUP("LULUCF|PM25|Asthma symptoms wheeze", US_national_yearly!$D:$AM, 24, FALSE) / VLOOKUP("LULUCF|PM25|Asthma symptoms wheeze", US_national_yearly!$D:$AM, 10, FALSE), 1)</f>
        <v>1.2029925079049014E-4</v>
      </c>
      <c r="Q8" s="7">
        <f>$B8 * IFERROR(VLOOKUP("LULUCF|PM25|Asthma symptoms wheeze", US_national_yearly!$D:$AM, 25, FALSE) / VLOOKUP("LULUCF|PM25|Asthma symptoms wheeze", US_national_yearly!$D:$AM, 10, FALSE), 1)</f>
        <v>1.2029925079049014E-4</v>
      </c>
      <c r="R8" s="7">
        <f>$B8 * IFERROR(VLOOKUP("LULUCF|PM25|Asthma symptoms wheeze", US_national_yearly!$D:$AM, 26, FALSE) / VLOOKUP("LULUCF|PM25|Asthma symptoms wheeze", US_national_yearly!$D:$AM, 10, FALSE), 1)</f>
        <v>1.2029925079049014E-4</v>
      </c>
      <c r="S8" s="7">
        <f>$B8 * IFERROR(VLOOKUP("LULUCF|PM25|Asthma symptoms wheeze", US_national_yearly!$D:$AM, 27, FALSE) / VLOOKUP("LULUCF|PM25|Asthma symptoms wheeze", US_national_yearly!$D:$AM, 10, FALSE), 1)</f>
        <v>1.2029925079049014E-4</v>
      </c>
      <c r="T8" s="7">
        <f>$B8 * IFERROR(VLOOKUP("LULUCF|PM25|Asthma symptoms wheeze", US_national_yearly!$D:$AM, 28, FALSE) / VLOOKUP("LULUCF|PM25|Asthma symptoms wheeze", US_national_yearly!$D:$AM, 10, FALSE), 1)</f>
        <v>1.2029925079049014E-4</v>
      </c>
      <c r="U8" s="7">
        <f>$B8 * IFERROR(VLOOKUP("LULUCF|PM25|Asthma symptoms wheeze", US_national_yearly!$D:$AM, 29, FALSE) / VLOOKUP("LULUCF|PM25|Asthma symptoms wheeze", US_national_yearly!$D:$AM, 10, FALSE), 1)</f>
        <v>1.2029925079049014E-4</v>
      </c>
      <c r="V8" s="7">
        <f>$B8 * IFERROR(VLOOKUP("LULUCF|PM25|Asthma symptoms wheeze", US_national_yearly!$D:$AM, 30, FALSE) / VLOOKUP("LULUCF|PM25|Asthma symptoms wheeze", US_national_yearly!$D:$AM, 10, FALSE), 1)</f>
        <v>1.2029925079049014E-4</v>
      </c>
      <c r="W8" s="7">
        <f>$B8 * IFERROR(VLOOKUP("LULUCF|PM25|Asthma symptoms wheeze", US_national_yearly!$D:$AM, 31, FALSE) / VLOOKUP("LULUCF|PM25|Asthma symptoms wheeze", US_national_yearly!$D:$AM, 10, FALSE), 1)</f>
        <v>1.2029925079049014E-4</v>
      </c>
      <c r="X8" s="7">
        <f>$B8 * IFERROR(VLOOKUP("LULUCF|PM25|Asthma symptoms wheeze", US_national_yearly!$D:$AM, 32, FALSE) / VLOOKUP("LULUCF|PM25|Asthma symptoms wheeze", US_national_yearly!$D:$AM, 10, FALSE), 1)</f>
        <v>1.2029925079049014E-4</v>
      </c>
      <c r="Y8" s="7">
        <f>$B8 * IFERROR(VLOOKUP("LULUCF|PM25|Asthma symptoms wheeze", US_national_yearly!$D:$AM, 33, FALSE) / VLOOKUP("LULUCF|PM25|Asthma symptoms wheeze", US_national_yearly!$D:$AM, 10, FALSE), 1)</f>
        <v>1.2029925079049014E-4</v>
      </c>
      <c r="Z8" s="7">
        <f>$B8 * IFERROR(VLOOKUP("LULUCF|PM25|Asthma symptoms wheeze", US_national_yearly!$D:$AM, 34, FALSE) / VLOOKUP("LULUCF|PM25|Asthma symptoms wheeze", US_national_yearly!$D:$AM, 10, FALSE), 1)</f>
        <v>1.2029925079049014E-4</v>
      </c>
      <c r="AA8" s="7">
        <f>$B8 * IFERROR(VLOOKUP("LULUCF|PM25|Asthma symptoms wheeze", US_national_yearly!$D:$AM, 35, FALSE) / VLOOKUP("LULUCF|PM25|Asthma symptoms wheeze", US_national_yearly!$D:$AM, 10, FALSE), 1)</f>
        <v>1.2029925079049014E-4</v>
      </c>
      <c r="AB8" s="7">
        <f>$B8 * IFERROR(VLOOKUP("LULUCF|PM25|Asthma symptoms wheeze", US_national_yearly!$D:$AM, 36, FALSE) / VLOOKUP("LULUCF|PM25|Asthma symptoms wheeze", US_national_yearly!$D:$AM, 10, FALSE), 1)</f>
        <v>1.2029925079049014E-4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1.6741164609447316E-6</v>
      </c>
      <c r="C12" s="7">
        <f>$B12 * IFERROR(VLOOKUP("LULUCF|PM25|Respiratory hospital admissions", US_national_yearly!$D:$AM, 11, FALSE) / VLOOKUP("LULUCF|PM25|Respiratory hospital admissions", US_national_yearly!$D:$AM, 10, FALSE), 1)</f>
        <v>1.6837118217345881E-6</v>
      </c>
      <c r="D12" s="7">
        <f>$B12 * IFERROR(VLOOKUP("LULUCF|PM25|Respiratory hospital admissions", US_national_yearly!$D:$AM, 12, FALSE) / VLOOKUP("LULUCF|PM25|Respiratory hospital admissions", US_national_yearly!$D:$AM, 10, FALSE), 1)</f>
        <v>1.6933071825244442E-6</v>
      </c>
      <c r="E12" s="7">
        <f>$B12 * IFERROR(VLOOKUP("LULUCF|PM25|Respiratory hospital admissions", US_national_yearly!$D:$AM, 13, FALSE) / VLOOKUP("LULUCF|PM25|Respiratory hospital admissions", US_national_yearly!$D:$AM, 10, FALSE), 1)</f>
        <v>1.7029025433143007E-6</v>
      </c>
      <c r="F12" s="7">
        <f>$B12 * IFERROR(VLOOKUP("LULUCF|PM25|Respiratory hospital admissions", US_national_yearly!$D:$AM, 14, FALSE) / VLOOKUP("LULUCF|PM25|Respiratory hospital admissions", US_national_yearly!$D:$AM, 10, FALSE), 1)</f>
        <v>1.7124979041041568E-6</v>
      </c>
      <c r="G12" s="7">
        <f>$B12 * IFERROR(VLOOKUP("LULUCF|PM25|Respiratory hospital admissions", US_national_yearly!$D:$AM, 15, FALSE) / VLOOKUP("LULUCF|PM25|Respiratory hospital admissions", US_national_yearly!$D:$AM, 10, FALSE), 1)</f>
        <v>1.7228613030499614E-6</v>
      </c>
      <c r="H12" s="7">
        <f>$B12 * IFERROR(VLOOKUP("LULUCF|PM25|Respiratory hospital admissions", US_national_yearly!$D:$AM, 16, FALSE) / VLOOKUP("LULUCF|PM25|Respiratory hospital admissions", US_national_yearly!$D:$AM, 10, FALSE), 1)</f>
        <v>1.7332247019957659E-6</v>
      </c>
      <c r="I12" s="7">
        <f>$B12 * IFERROR(VLOOKUP("LULUCF|PM25|Respiratory hospital admissions", US_national_yearly!$D:$AM, 17, FALSE) / VLOOKUP("LULUCF|PM25|Respiratory hospital admissions", US_national_yearly!$D:$AM, 10, FALSE), 1)</f>
        <v>1.7431265359465601E-6</v>
      </c>
      <c r="J12" s="7">
        <f>$B12 * IFERROR(VLOOKUP("LULUCF|PM25|Respiratory hospital admissions", US_national_yearly!$D:$AM, 18, FALSE) / VLOOKUP("LULUCF|PM25|Respiratory hospital admissions", US_national_yearly!$D:$AM, 10, FALSE), 1)</f>
        <v>1.7530283698973551E-6</v>
      </c>
      <c r="K12" s="7">
        <f>$B12 * IFERROR(VLOOKUP("LULUCF|PM25|Respiratory hospital admissions", US_national_yearly!$D:$AM, 19, FALSE) / VLOOKUP("LULUCF|PM25|Respiratory hospital admissions", US_national_yearly!$D:$AM, 10, FALSE), 1)</f>
        <v>1.7629302038481496E-6</v>
      </c>
      <c r="L12" s="7">
        <f>$B12 * IFERROR(VLOOKUP("LULUCF|PM25|Respiratory hospital admissions", US_national_yearly!$D:$AM, 20, FALSE) / VLOOKUP("LULUCF|PM25|Respiratory hospital admissions", US_national_yearly!$D:$AM, 10, FALSE), 1)</f>
        <v>1.7728320377989444E-6</v>
      </c>
      <c r="M12" s="7">
        <f>$B12 * IFERROR(VLOOKUP("LULUCF|PM25|Respiratory hospital admissions", US_national_yearly!$D:$AM, 21, FALSE) / VLOOKUP("LULUCF|PM25|Respiratory hospital admissions", US_national_yearly!$D:$AM, 10, FALSE), 1)</f>
        <v>1.7827338717497388E-6</v>
      </c>
      <c r="N12" s="7">
        <f>$B12 * IFERROR(VLOOKUP("LULUCF|PM25|Respiratory hospital admissions", US_national_yearly!$D:$AM, 22, FALSE) / VLOOKUP("LULUCF|PM25|Respiratory hospital admissions", US_national_yearly!$D:$AM, 10, FALSE), 1)</f>
        <v>1.7898407069298493E-6</v>
      </c>
      <c r="O12" s="7">
        <f>$B12 * IFERROR(VLOOKUP("LULUCF|PM25|Respiratory hospital admissions", US_national_yearly!$D:$AM, 23, FALSE) / VLOOKUP("LULUCF|PM25|Respiratory hospital admissions", US_national_yearly!$D:$AM, 10, FALSE), 1)</f>
        <v>1.7969475421099597E-6</v>
      </c>
      <c r="P12" s="7">
        <f>$B12 * IFERROR(VLOOKUP("LULUCF|PM25|Respiratory hospital admissions", US_national_yearly!$D:$AM, 24, FALSE) / VLOOKUP("LULUCF|PM25|Respiratory hospital admissions", US_national_yearly!$D:$AM, 10, FALSE), 1)</f>
        <v>1.8040543772900696E-6</v>
      </c>
      <c r="Q12" s="7">
        <f>$B12 * IFERROR(VLOOKUP("LULUCF|PM25|Respiratory hospital admissions", US_national_yearly!$D:$AM, 25, FALSE) / VLOOKUP("LULUCF|PM25|Respiratory hospital admissions", US_national_yearly!$D:$AM, 10, FALSE), 1)</f>
        <v>1.81116121247018E-6</v>
      </c>
      <c r="R12" s="7">
        <f>$B12 * IFERROR(VLOOKUP("LULUCF|PM25|Respiratory hospital admissions", US_national_yearly!$D:$AM, 26, FALSE) / VLOOKUP("LULUCF|PM25|Respiratory hospital admissions", US_national_yearly!$D:$AM, 10, FALSE), 1)</f>
        <v>1.8182680476502905E-6</v>
      </c>
      <c r="S12" s="7">
        <f>$B12 * IFERROR(VLOOKUP("LULUCF|PM25|Respiratory hospital admissions", US_national_yearly!$D:$AM, 27, FALSE) / VLOOKUP("LULUCF|PM25|Respiratory hospital admissions", US_national_yearly!$D:$AM, 10, FALSE), 1)</f>
        <v>1.8250346911942904E-6</v>
      </c>
      <c r="T12" s="7">
        <f>$B12 * IFERROR(VLOOKUP("LULUCF|PM25|Respiratory hospital admissions", US_national_yearly!$D:$AM, 28, FALSE) / VLOOKUP("LULUCF|PM25|Respiratory hospital admissions", US_national_yearly!$D:$AM, 10, FALSE), 1)</f>
        <v>1.8318013347382906E-6</v>
      </c>
      <c r="U12" s="7">
        <f>$B12 * IFERROR(VLOOKUP("LULUCF|PM25|Respiratory hospital admissions", US_national_yearly!$D:$AM, 29, FALSE) / VLOOKUP("LULUCF|PM25|Respiratory hospital admissions", US_national_yearly!$D:$AM, 10, FALSE), 1)</f>
        <v>1.8385679782822906E-6</v>
      </c>
      <c r="V12" s="7">
        <f>$B12 * IFERROR(VLOOKUP("LULUCF|PM25|Respiratory hospital admissions", US_national_yearly!$D:$AM, 30, FALSE) / VLOOKUP("LULUCF|PM25|Respiratory hospital admissions", US_national_yearly!$D:$AM, 10, FALSE), 1)</f>
        <v>1.8453346218262904E-6</v>
      </c>
      <c r="W12" s="7">
        <f>$B12 * IFERROR(VLOOKUP("LULUCF|PM25|Respiratory hospital admissions", US_national_yearly!$D:$AM, 31, FALSE) / VLOOKUP("LULUCF|PM25|Respiratory hospital admissions", US_national_yearly!$D:$AM, 10, FALSE), 1)</f>
        <v>1.8521012653702905E-6</v>
      </c>
      <c r="X12" s="7">
        <f>$B12 * IFERROR(VLOOKUP("LULUCF|PM25|Respiratory hospital admissions", US_national_yearly!$D:$AM, 32, FALSE) / VLOOKUP("LULUCF|PM25|Respiratory hospital admissions", US_national_yearly!$D:$AM, 10, FALSE), 1)</f>
        <v>1.858610862776075E-6</v>
      </c>
      <c r="Y12" s="7">
        <f>$B12 * IFERROR(VLOOKUP("LULUCF|PM25|Respiratory hospital admissions", US_national_yearly!$D:$AM, 33, FALSE) / VLOOKUP("LULUCF|PM25|Respiratory hospital admissions", US_national_yearly!$D:$AM, 10, FALSE), 1)</f>
        <v>1.8651204601818589E-6</v>
      </c>
      <c r="Z12" s="7">
        <f>$B12 * IFERROR(VLOOKUP("LULUCF|PM25|Respiratory hospital admissions", US_national_yearly!$D:$AM, 34, FALSE) / VLOOKUP("LULUCF|PM25|Respiratory hospital admissions", US_national_yearly!$D:$AM, 10, FALSE), 1)</f>
        <v>1.871630057587643E-6</v>
      </c>
      <c r="AA12" s="7">
        <f>$B12 * IFERROR(VLOOKUP("LULUCF|PM25|Respiratory hospital admissions", US_national_yearly!$D:$AM, 35, FALSE) / VLOOKUP("LULUCF|PM25|Respiratory hospital admissions", US_national_yearly!$D:$AM, 10, FALSE), 1)</f>
        <v>1.8781396549934268E-6</v>
      </c>
      <c r="AB12" s="7">
        <f>$B12 * IFERROR(VLOOKUP("LULUCF|PM25|Respiratory hospital admissions", US_national_yearly!$D:$AM, 36, FALSE) / VLOOKUP("LULUCF|PM25|Respiratory hospital admissions", US_national_yearly!$D:$AM, 10, FALSE), 1)</f>
        <v>1.8846492523992109E-6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9.1985977920406533E-6</v>
      </c>
      <c r="C13" s="7">
        <f>$B13 * IFERROR(VLOOKUP("LULUCF|PM25|Non-fatal heart attacks", US_national_yearly!$D:$AM, 11, FALSE) / VLOOKUP("LULUCF|PM25|Non-fatal heart attacks", US_national_yearly!$D:$AM, 10, FALSE), 1)</f>
        <v>9.4660254401400599E-6</v>
      </c>
      <c r="D13" s="7">
        <f>$B13 * IFERROR(VLOOKUP("LULUCF|PM25|Non-fatal heart attacks", US_national_yearly!$D:$AM, 12, FALSE) / VLOOKUP("LULUCF|PM25|Non-fatal heart attacks", US_national_yearly!$D:$AM, 10, FALSE), 1)</f>
        <v>9.7334530882394665E-6</v>
      </c>
      <c r="E13" s="7">
        <f>$B13 * IFERROR(VLOOKUP("LULUCF|PM25|Non-fatal heart attacks", US_national_yearly!$D:$AM, 13, FALSE) / VLOOKUP("LULUCF|PM25|Non-fatal heart attacks", US_national_yearly!$D:$AM, 10, FALSE), 1)</f>
        <v>1.0000880736338871E-5</v>
      </c>
      <c r="F13" s="7">
        <f>$B13 * IFERROR(VLOOKUP("LULUCF|PM25|Non-fatal heart attacks", US_national_yearly!$D:$AM, 14, FALSE) / VLOOKUP("LULUCF|PM25|Non-fatal heart attacks", US_national_yearly!$D:$AM, 10, FALSE), 1)</f>
        <v>1.026830838443828E-5</v>
      </c>
      <c r="G13" s="7">
        <f>$B13 * IFERROR(VLOOKUP("LULUCF|PM25|Non-fatal heart attacks", US_national_yearly!$D:$AM, 15, FALSE) / VLOOKUP("LULUCF|PM25|Non-fatal heart attacks", US_national_yearly!$D:$AM, 10, FALSE), 1)</f>
        <v>1.0520509563044166E-5</v>
      </c>
      <c r="H13" s="7">
        <f>$B13 * IFERROR(VLOOKUP("LULUCF|PM25|Non-fatal heart attacks", US_national_yearly!$D:$AM, 16, FALSE) / VLOOKUP("LULUCF|PM25|Non-fatal heart attacks", US_national_yearly!$D:$AM, 10, FALSE), 1)</f>
        <v>1.0772710741650048E-5</v>
      </c>
      <c r="I13" s="7">
        <f>$B13 * IFERROR(VLOOKUP("LULUCF|PM25|Non-fatal heart attacks", US_national_yearly!$D:$AM, 17, FALSE) / VLOOKUP("LULUCF|PM25|Non-fatal heart attacks", US_national_yearly!$D:$AM, 10, FALSE), 1)</f>
        <v>1.0975396568044583E-5</v>
      </c>
      <c r="J13" s="7">
        <f>$B13 * IFERROR(VLOOKUP("LULUCF|PM25|Non-fatal heart attacks", US_national_yearly!$D:$AM, 18, FALSE) / VLOOKUP("LULUCF|PM25|Non-fatal heart attacks", US_national_yearly!$D:$AM, 10, FALSE), 1)</f>
        <v>1.1178082394439116E-5</v>
      </c>
      <c r="K13" s="7">
        <f>$B13 * IFERROR(VLOOKUP("LULUCF|PM25|Non-fatal heart attacks", US_national_yearly!$D:$AM, 19, FALSE) / VLOOKUP("LULUCF|PM25|Non-fatal heart attacks", US_national_yearly!$D:$AM, 10, FALSE), 1)</f>
        <v>1.1380768220833653E-5</v>
      </c>
      <c r="L13" s="7">
        <f>$B13 * IFERROR(VLOOKUP("LULUCF|PM25|Non-fatal heart attacks", US_national_yearly!$D:$AM, 20, FALSE) / VLOOKUP("LULUCF|PM25|Non-fatal heart attacks", US_national_yearly!$D:$AM, 10, FALSE), 1)</f>
        <v>1.1583454047228186E-5</v>
      </c>
      <c r="M13" s="7">
        <f>$B13 * IFERROR(VLOOKUP("LULUCF|PM25|Non-fatal heart attacks", US_national_yearly!$D:$AM, 21, FALSE) / VLOOKUP("LULUCF|PM25|Non-fatal heart attacks", US_national_yearly!$D:$AM, 10, FALSE), 1)</f>
        <v>1.1786139873622723E-5</v>
      </c>
      <c r="N13" s="7">
        <f>$B13 * IFERROR(VLOOKUP("LULUCF|PM25|Non-fatal heart attacks", US_national_yearly!$D:$AM, 22, FALSE) / VLOOKUP("LULUCF|PM25|Non-fatal heart attacks", US_national_yearly!$D:$AM, 10, FALSE), 1)</f>
        <v>1.1916852217338046E-5</v>
      </c>
      <c r="O13" s="7">
        <f>$B13 * IFERROR(VLOOKUP("LULUCF|PM25|Non-fatal heart attacks", US_national_yearly!$D:$AM, 23, FALSE) / VLOOKUP("LULUCF|PM25|Non-fatal heart attacks", US_national_yearly!$D:$AM, 10, FALSE), 1)</f>
        <v>1.2047564561053372E-5</v>
      </c>
      <c r="P13" s="7">
        <f>$B13 * IFERROR(VLOOKUP("LULUCF|PM25|Non-fatal heart attacks", US_national_yearly!$D:$AM, 24, FALSE) / VLOOKUP("LULUCF|PM25|Non-fatal heart attacks", US_national_yearly!$D:$AM, 10, FALSE), 1)</f>
        <v>1.2178276904768698E-5</v>
      </c>
      <c r="Q13" s="7">
        <f>$B13 * IFERROR(VLOOKUP("LULUCF|PM25|Non-fatal heart attacks", US_national_yearly!$D:$AM, 25, FALSE) / VLOOKUP("LULUCF|PM25|Non-fatal heart attacks", US_national_yearly!$D:$AM, 10, FALSE), 1)</f>
        <v>1.230898924848402E-5</v>
      </c>
      <c r="R13" s="7">
        <f>$B13 * IFERROR(VLOOKUP("LULUCF|PM25|Non-fatal heart attacks", US_national_yearly!$D:$AM, 26, FALSE) / VLOOKUP("LULUCF|PM25|Non-fatal heart attacks", US_national_yearly!$D:$AM, 10, FALSE), 1)</f>
        <v>1.2439701592199346E-5</v>
      </c>
      <c r="S13" s="7">
        <f>$B13 * IFERROR(VLOOKUP("LULUCF|PM25|Non-fatal heart attacks", US_national_yearly!$D:$AM, 27, FALSE) / VLOOKUP("LULUCF|PM25|Non-fatal heart attacks", US_national_yearly!$D:$AM, 10, FALSE), 1)</f>
        <v>1.2508538446822996E-5</v>
      </c>
      <c r="T13" s="7">
        <f>$B13 * IFERROR(VLOOKUP("LULUCF|PM25|Non-fatal heart attacks", US_national_yearly!$D:$AM, 28, FALSE) / VLOOKUP("LULUCF|PM25|Non-fatal heart attacks", US_national_yearly!$D:$AM, 10, FALSE), 1)</f>
        <v>1.257737530144665E-5</v>
      </c>
      <c r="U13" s="7">
        <f>$B13 * IFERROR(VLOOKUP("LULUCF|PM25|Non-fatal heart attacks", US_national_yearly!$D:$AM, 29, FALSE) / VLOOKUP("LULUCF|PM25|Non-fatal heart attacks", US_national_yearly!$D:$AM, 10, FALSE), 1)</f>
        <v>1.2646212156070302E-5</v>
      </c>
      <c r="V13" s="7">
        <f>$B13 * IFERROR(VLOOKUP("LULUCF|PM25|Non-fatal heart attacks", US_national_yearly!$D:$AM, 30, FALSE) / VLOOKUP("LULUCF|PM25|Non-fatal heart attacks", US_national_yearly!$D:$AM, 10, FALSE), 1)</f>
        <v>1.2715049010693954E-5</v>
      </c>
      <c r="W13" s="7">
        <f>$B13 * IFERROR(VLOOKUP("LULUCF|PM25|Non-fatal heart attacks", US_national_yearly!$D:$AM, 31, FALSE) / VLOOKUP("LULUCF|PM25|Non-fatal heart attacks", US_national_yearly!$D:$AM, 10, FALSE), 1)</f>
        <v>1.2783885865317606E-5</v>
      </c>
      <c r="X13" s="7">
        <f>$B13 * IFERROR(VLOOKUP("LULUCF|PM25|Non-fatal heart attacks", US_national_yearly!$D:$AM, 32, FALSE) / VLOOKUP("LULUCF|PM25|Non-fatal heart attacks", US_national_yearly!$D:$AM, 10, FALSE), 1)</f>
        <v>1.2836142991581568E-5</v>
      </c>
      <c r="Y13" s="7">
        <f>$B13 * IFERROR(VLOOKUP("LULUCF|PM25|Non-fatal heart attacks", US_national_yearly!$D:$AM, 33, FALSE) / VLOOKUP("LULUCF|PM25|Non-fatal heart attacks", US_national_yearly!$D:$AM, 10, FALSE), 1)</f>
        <v>1.2888400117845534E-5</v>
      </c>
      <c r="Z13" s="7">
        <f>$B13 * IFERROR(VLOOKUP("LULUCF|PM25|Non-fatal heart attacks", US_national_yearly!$D:$AM, 34, FALSE) / VLOOKUP("LULUCF|PM25|Non-fatal heart attacks", US_national_yearly!$D:$AM, 10, FALSE), 1)</f>
        <v>1.2940657244109498E-5</v>
      </c>
      <c r="AA13" s="7">
        <f>$B13 * IFERROR(VLOOKUP("LULUCF|PM25|Non-fatal heart attacks", US_national_yearly!$D:$AM, 35, FALSE) / VLOOKUP("LULUCF|PM25|Non-fatal heart attacks", US_national_yearly!$D:$AM, 10, FALSE), 1)</f>
        <v>1.2992914370373463E-5</v>
      </c>
      <c r="AB13" s="7">
        <f>$B13 * IFERROR(VLOOKUP("LULUCF|PM25|Non-fatal heart attacks", US_national_yearly!$D:$AM, 36, FALSE) / VLOOKUP("LULUCF|PM25|Non-fatal heart attacks", US_national_yearly!$D:$AM, 10, FALSE), 1)</f>
        <v>1.3045171496637427E-5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6.4631261469611798E-3</v>
      </c>
      <c r="C14" s="7">
        <f>$B14 * IFERROR(VLOOKUP("LULUCF|PM25|Minor restricted activity days", US_national_yearly!$D:$AM, 11, FALSE) / VLOOKUP("LULUCF|PM25|Minor restricted activity days", US_national_yearly!$D:$AM, 10, FALSE), 1)</f>
        <v>6.478909867479901E-3</v>
      </c>
      <c r="D14" s="7">
        <f>$B14 * IFERROR(VLOOKUP("LULUCF|PM25|Minor restricted activity days", US_national_yearly!$D:$AM, 12, FALSE) / VLOOKUP("LULUCF|PM25|Minor restricted activity days", US_national_yearly!$D:$AM, 10, FALSE), 1)</f>
        <v>6.4946935879986222E-3</v>
      </c>
      <c r="E14" s="7">
        <f>$B14 * IFERROR(VLOOKUP("LULUCF|PM25|Minor restricted activity days", US_national_yearly!$D:$AM, 13, FALSE) / VLOOKUP("LULUCF|PM25|Minor restricted activity days", US_national_yearly!$D:$AM, 10, FALSE), 1)</f>
        <v>6.5104773085173451E-3</v>
      </c>
      <c r="F14" s="7">
        <f>$B14 * IFERROR(VLOOKUP("LULUCF|PM25|Minor restricted activity days", US_national_yearly!$D:$AM, 14, FALSE) / VLOOKUP("LULUCF|PM25|Minor restricted activity days", US_national_yearly!$D:$AM, 10, FALSE), 1)</f>
        <v>6.5262610290360654E-3</v>
      </c>
      <c r="G14" s="7">
        <f>$B14 * IFERROR(VLOOKUP("LULUCF|PM25|Minor restricted activity days", US_national_yearly!$D:$AM, 15, FALSE) / VLOOKUP("LULUCF|PM25|Minor restricted activity days", US_national_yearly!$D:$AM, 10, FALSE), 1)</f>
        <v>6.5495494362956177E-3</v>
      </c>
      <c r="H14" s="7">
        <f>$B14 * IFERROR(VLOOKUP("LULUCF|PM25|Minor restricted activity days", US_national_yearly!$D:$AM, 16, FALSE) / VLOOKUP("LULUCF|PM25|Minor restricted activity days", US_national_yearly!$D:$AM, 10, FALSE), 1)</f>
        <v>6.5728378435551699E-3</v>
      </c>
      <c r="I14" s="7">
        <f>$B14 * IFERROR(VLOOKUP("LULUCF|PM25|Minor restricted activity days", US_national_yearly!$D:$AM, 17, FALSE) / VLOOKUP("LULUCF|PM25|Minor restricted activity days", US_national_yearly!$D:$AM, 10, FALSE), 1)</f>
        <v>6.6126503555280153E-3</v>
      </c>
      <c r="J14" s="7">
        <f>$B14 * IFERROR(VLOOKUP("LULUCF|PM25|Minor restricted activity days", US_national_yearly!$D:$AM, 18, FALSE) / VLOOKUP("LULUCF|PM25|Minor restricted activity days", US_national_yearly!$D:$AM, 10, FALSE), 1)</f>
        <v>6.6524628675008581E-3</v>
      </c>
      <c r="K14" s="7">
        <f>$B14 * IFERROR(VLOOKUP("LULUCF|PM25|Minor restricted activity days", US_national_yearly!$D:$AM, 19, FALSE) / VLOOKUP("LULUCF|PM25|Minor restricted activity days", US_national_yearly!$D:$AM, 10, FALSE), 1)</f>
        <v>6.6922753794737026E-3</v>
      </c>
      <c r="L14" s="7">
        <f>$B14 * IFERROR(VLOOKUP("LULUCF|PM25|Minor restricted activity days", US_national_yearly!$D:$AM, 20, FALSE) / VLOOKUP("LULUCF|PM25|Minor restricted activity days", US_national_yearly!$D:$AM, 10, FALSE), 1)</f>
        <v>6.7320878914465471E-3</v>
      </c>
      <c r="M14" s="7">
        <f>$B14 * IFERROR(VLOOKUP("LULUCF|PM25|Minor restricted activity days", US_national_yearly!$D:$AM, 21, FALSE) / VLOOKUP("LULUCF|PM25|Minor restricted activity days", US_national_yearly!$D:$AM, 10, FALSE), 1)</f>
        <v>6.7719004034193907E-3</v>
      </c>
      <c r="N14" s="7">
        <f>$B14 * IFERROR(VLOOKUP("LULUCF|PM25|Minor restricted activity days", US_national_yearly!$D:$AM, 22, FALSE) / VLOOKUP("LULUCF|PM25|Minor restricted activity days", US_national_yearly!$D:$AM, 10, FALSE), 1)</f>
        <v>6.8261329713834419E-3</v>
      </c>
      <c r="O14" s="7">
        <f>$B14 * IFERROR(VLOOKUP("LULUCF|PM25|Minor restricted activity days", US_national_yearly!$D:$AM, 23, FALSE) / VLOOKUP("LULUCF|PM25|Minor restricted activity days", US_national_yearly!$D:$AM, 10, FALSE), 1)</f>
        <v>6.8803655393474905E-3</v>
      </c>
      <c r="P14" s="7">
        <f>$B14 * IFERROR(VLOOKUP("LULUCF|PM25|Minor restricted activity days", US_national_yearly!$D:$AM, 24, FALSE) / VLOOKUP("LULUCF|PM25|Minor restricted activity days", US_national_yearly!$D:$AM, 10, FALSE), 1)</f>
        <v>6.9345981073115417E-3</v>
      </c>
      <c r="Q14" s="7">
        <f>$B14 * IFERROR(VLOOKUP("LULUCF|PM25|Minor restricted activity days", US_national_yearly!$D:$AM, 25, FALSE) / VLOOKUP("LULUCF|PM25|Minor restricted activity days", US_national_yearly!$D:$AM, 10, FALSE), 1)</f>
        <v>6.9888306752755912E-3</v>
      </c>
      <c r="R14" s="7">
        <f>$B14 * IFERROR(VLOOKUP("LULUCF|PM25|Minor restricted activity days", US_national_yearly!$D:$AM, 26, FALSE) / VLOOKUP("LULUCF|PM25|Minor restricted activity days", US_national_yearly!$D:$AM, 10, FALSE), 1)</f>
        <v>7.0430632432396407E-3</v>
      </c>
      <c r="S14" s="7">
        <f>$B14 * IFERROR(VLOOKUP("LULUCF|PM25|Minor restricted activity days", US_national_yearly!$D:$AM, 27, FALSE) / VLOOKUP("LULUCF|PM25|Minor restricted activity days", US_national_yearly!$D:$AM, 10, FALSE), 1)</f>
        <v>7.0976692931283636E-3</v>
      </c>
      <c r="T14" s="7">
        <f>$B14 * IFERROR(VLOOKUP("LULUCF|PM25|Minor restricted activity days", US_national_yearly!$D:$AM, 28, FALSE) / VLOOKUP("LULUCF|PM25|Minor restricted activity days", US_national_yearly!$D:$AM, 10, FALSE), 1)</f>
        <v>7.1522753430170866E-3</v>
      </c>
      <c r="U14" s="7">
        <f>$B14 * IFERROR(VLOOKUP("LULUCF|PM25|Minor restricted activity days", US_national_yearly!$D:$AM, 29, FALSE) / VLOOKUP("LULUCF|PM25|Minor restricted activity days", US_national_yearly!$D:$AM, 10, FALSE), 1)</f>
        <v>7.2068813929058104E-3</v>
      </c>
      <c r="V14" s="7">
        <f>$B14 * IFERROR(VLOOKUP("LULUCF|PM25|Minor restricted activity days", US_national_yearly!$D:$AM, 30, FALSE) / VLOOKUP("LULUCF|PM25|Minor restricted activity days", US_national_yearly!$D:$AM, 10, FALSE), 1)</f>
        <v>7.2614874427945333E-3</v>
      </c>
      <c r="W14" s="7">
        <f>$B14 * IFERROR(VLOOKUP("LULUCF|PM25|Minor restricted activity days", US_national_yearly!$D:$AM, 31, FALSE) / VLOOKUP("LULUCF|PM25|Minor restricted activity days", US_national_yearly!$D:$AM, 10, FALSE), 1)</f>
        <v>7.3160934926832562E-3</v>
      </c>
      <c r="X14" s="7">
        <f>$B14 * IFERROR(VLOOKUP("LULUCF|PM25|Minor restricted activity days", US_national_yearly!$D:$AM, 32, FALSE) / VLOOKUP("LULUCF|PM25|Minor restricted activity days", US_national_yearly!$D:$AM, 10, FALSE), 1)</f>
        <v>7.3634970374598071E-3</v>
      </c>
      <c r="Y14" s="7">
        <f>$B14 * IFERROR(VLOOKUP("LULUCF|PM25|Minor restricted activity days", US_national_yearly!$D:$AM, 33, FALSE) / VLOOKUP("LULUCF|PM25|Minor restricted activity days", US_national_yearly!$D:$AM, 10, FALSE), 1)</f>
        <v>7.410900582236357E-3</v>
      </c>
      <c r="Z14" s="7">
        <f>$B14 * IFERROR(VLOOKUP("LULUCF|PM25|Minor restricted activity days", US_national_yearly!$D:$AM, 34, FALSE) / VLOOKUP("LULUCF|PM25|Minor restricted activity days", US_national_yearly!$D:$AM, 10, FALSE), 1)</f>
        <v>7.4583041270129078E-3</v>
      </c>
      <c r="AA14" s="7">
        <f>$B14 * IFERROR(VLOOKUP("LULUCF|PM25|Minor restricted activity days", US_national_yearly!$D:$AM, 35, FALSE) / VLOOKUP("LULUCF|PM25|Minor restricted activity days", US_national_yearly!$D:$AM, 10, FALSE), 1)</f>
        <v>7.505707671789456E-3</v>
      </c>
      <c r="AB14" s="7">
        <f>$B14 * IFERROR(VLOOKUP("LULUCF|PM25|Minor restricted activity days", US_national_yearly!$D:$AM, 36, FALSE) / VLOOKUP("LULUCF|PM25|Minor restricted activity days", US_national_yearly!$D:$AM, 10, FALSE), 1)</f>
        <v>7.5531112165660068E-3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1.0950743029372709E-3</v>
      </c>
      <c r="C15" s="7">
        <f>$B15 * IFERROR(VLOOKUP("LULUCF|PM25|Work loss days", US_national_yearly!$D:$AM, 11, FALSE) / VLOOKUP("LULUCF|PM25|Work loss days", US_national_yearly!$D:$AM, 10, FALSE), 1)</f>
        <v>1.0984686388625939E-3</v>
      </c>
      <c r="D15" s="7">
        <f>$B15 * IFERROR(VLOOKUP("LULUCF|PM25|Work loss days", US_national_yearly!$D:$AM, 12, FALSE) / VLOOKUP("LULUCF|PM25|Work loss days", US_national_yearly!$D:$AM, 10, FALSE), 1)</f>
        <v>1.1018629747879169E-3</v>
      </c>
      <c r="E15" s="7">
        <f>$B15 * IFERROR(VLOOKUP("LULUCF|PM25|Work loss days", US_national_yearly!$D:$AM, 13, FALSE) / VLOOKUP("LULUCF|PM25|Work loss days", US_national_yearly!$D:$AM, 10, FALSE), 1)</f>
        <v>1.10525731071324E-3</v>
      </c>
      <c r="F15" s="7">
        <f>$B15 * IFERROR(VLOOKUP("LULUCF|PM25|Work loss days", US_national_yearly!$D:$AM, 14, FALSE) / VLOOKUP("LULUCF|PM25|Work loss days", US_national_yearly!$D:$AM, 10, FALSE), 1)</f>
        <v>1.1086516466385628E-3</v>
      </c>
      <c r="G15" s="7">
        <f>$B15 * IFERROR(VLOOKUP("LULUCF|PM25|Work loss days", US_national_yearly!$D:$AM, 15, FALSE) / VLOOKUP("LULUCF|PM25|Work loss days", US_national_yearly!$D:$AM, 10, FALSE), 1)</f>
        <v>1.113101837632492E-3</v>
      </c>
      <c r="H15" s="7">
        <f>$B15 * IFERROR(VLOOKUP("LULUCF|PM25|Work loss days", US_national_yearly!$D:$AM, 16, FALSE) / VLOOKUP("LULUCF|PM25|Work loss days", US_national_yearly!$D:$AM, 10, FALSE), 1)</f>
        <v>1.1175520286264217E-3</v>
      </c>
      <c r="I15" s="7">
        <f>$B15 * IFERROR(VLOOKUP("LULUCF|PM25|Work loss days", US_national_yearly!$D:$AM, 17, FALSE) / VLOOKUP("LULUCF|PM25|Work loss days", US_national_yearly!$D:$AM, 10, FALSE), 1)</f>
        <v>1.1241054243188292E-3</v>
      </c>
      <c r="J15" s="7">
        <f>$B15 * IFERROR(VLOOKUP("LULUCF|PM25|Work loss days", US_national_yearly!$D:$AM, 18, FALSE) / VLOOKUP("LULUCF|PM25|Work loss days", US_national_yearly!$D:$AM, 10, FALSE), 1)</f>
        <v>1.1306588200112367E-3</v>
      </c>
      <c r="K15" s="7">
        <f>$B15 * IFERROR(VLOOKUP("LULUCF|PM25|Work loss days", US_national_yearly!$D:$AM, 19, FALSE) / VLOOKUP("LULUCF|PM25|Work loss days", US_national_yearly!$D:$AM, 10, FALSE), 1)</f>
        <v>1.1372122157036443E-3</v>
      </c>
      <c r="L15" s="7">
        <f>$B15 * IFERROR(VLOOKUP("LULUCF|PM25|Work loss days", US_national_yearly!$D:$AM, 20, FALSE) / VLOOKUP("LULUCF|PM25|Work loss days", US_national_yearly!$D:$AM, 10, FALSE), 1)</f>
        <v>1.1437656113960518E-3</v>
      </c>
      <c r="M15" s="7">
        <f>$B15 * IFERROR(VLOOKUP("LULUCF|PM25|Work loss days", US_national_yearly!$D:$AM, 21, FALSE) / VLOOKUP("LULUCF|PM25|Work loss days", US_national_yearly!$D:$AM, 10, FALSE), 1)</f>
        <v>1.1503190070884593E-3</v>
      </c>
      <c r="N15" s="7">
        <f>$B15 * IFERROR(VLOOKUP("LULUCF|PM25|Work loss days", US_national_yearly!$D:$AM, 22, FALSE) / VLOOKUP("LULUCF|PM25|Work loss days", US_national_yearly!$D:$AM, 10, FALSE), 1)</f>
        <v>1.158566951586017E-3</v>
      </c>
      <c r="O15" s="7">
        <f>$B15 * IFERROR(VLOOKUP("LULUCF|PM25|Work loss days", US_national_yearly!$D:$AM, 23, FALSE) / VLOOKUP("LULUCF|PM25|Work loss days", US_national_yearly!$D:$AM, 10, FALSE), 1)</f>
        <v>1.1668148960835745E-3</v>
      </c>
      <c r="P15" s="7">
        <f>$B15 * IFERROR(VLOOKUP("LULUCF|PM25|Work loss days", US_national_yearly!$D:$AM, 24, FALSE) / VLOOKUP("LULUCF|PM25|Work loss days", US_national_yearly!$D:$AM, 10, FALSE), 1)</f>
        <v>1.1750628405811324E-3</v>
      </c>
      <c r="Q15" s="7">
        <f>$B15 * IFERROR(VLOOKUP("LULUCF|PM25|Work loss days", US_national_yearly!$D:$AM, 25, FALSE) / VLOOKUP("LULUCF|PM25|Work loss days", US_national_yearly!$D:$AM, 10, FALSE), 1)</f>
        <v>1.1833107850786899E-3</v>
      </c>
      <c r="R15" s="7">
        <f>$B15 * IFERROR(VLOOKUP("LULUCF|PM25|Work loss days", US_national_yearly!$D:$AM, 26, FALSE) / VLOOKUP("LULUCF|PM25|Work loss days", US_national_yearly!$D:$AM, 10, FALSE), 1)</f>
        <v>1.1915587295762478E-3</v>
      </c>
      <c r="S15" s="7">
        <f>$B15 * IFERROR(VLOOKUP("LULUCF|PM25|Work loss days", US_national_yearly!$D:$AM, 27, FALSE) / VLOOKUP("LULUCF|PM25|Work loss days", US_national_yearly!$D:$AM, 10, FALSE), 1)</f>
        <v>1.2006813083237781E-3</v>
      </c>
      <c r="T15" s="7">
        <f>$B15 * IFERROR(VLOOKUP("LULUCF|PM25|Work loss days", US_national_yearly!$D:$AM, 28, FALSE) / VLOOKUP("LULUCF|PM25|Work loss days", US_national_yearly!$D:$AM, 10, FALSE), 1)</f>
        <v>1.2098038870713087E-3</v>
      </c>
      <c r="U15" s="7">
        <f>$B15 * IFERROR(VLOOKUP("LULUCF|PM25|Work loss days", US_national_yearly!$D:$AM, 29, FALSE) / VLOOKUP("LULUCF|PM25|Work loss days", US_national_yearly!$D:$AM, 10, FALSE), 1)</f>
        <v>1.2189264658188387E-3</v>
      </c>
      <c r="V15" s="7">
        <f>$B15 * IFERROR(VLOOKUP("LULUCF|PM25|Work loss days", US_national_yearly!$D:$AM, 30, FALSE) / VLOOKUP("LULUCF|PM25|Work loss days", US_national_yearly!$D:$AM, 10, FALSE), 1)</f>
        <v>1.2280490445663694E-3</v>
      </c>
      <c r="W15" s="7">
        <f>$B15 * IFERROR(VLOOKUP("LULUCF|PM25|Work loss days", US_national_yearly!$D:$AM, 31, FALSE) / VLOOKUP("LULUCF|PM25|Work loss days", US_national_yearly!$D:$AM, 10, FALSE), 1)</f>
        <v>1.2371716233138999E-3</v>
      </c>
      <c r="X15" s="7">
        <f>$B15 * IFERROR(VLOOKUP("LULUCF|PM25|Work loss days", US_national_yearly!$D:$AM, 32, FALSE) / VLOOKUP("LULUCF|PM25|Work loss days", US_national_yearly!$D:$AM, 10, FALSE), 1)</f>
        <v>1.2452658110554929E-3</v>
      </c>
      <c r="Y15" s="7">
        <f>$B15 * IFERROR(VLOOKUP("LULUCF|PM25|Work loss days", US_national_yearly!$D:$AM, 33, FALSE) / VLOOKUP("LULUCF|PM25|Work loss days", US_national_yearly!$D:$AM, 10, FALSE), 1)</f>
        <v>1.2533599987970862E-3</v>
      </c>
      <c r="Z15" s="7">
        <f>$B15 * IFERROR(VLOOKUP("LULUCF|PM25|Work loss days", US_national_yearly!$D:$AM, 34, FALSE) / VLOOKUP("LULUCF|PM25|Work loss days", US_national_yearly!$D:$AM, 10, FALSE), 1)</f>
        <v>1.2614541865386794E-3</v>
      </c>
      <c r="AA15" s="7">
        <f>$B15 * IFERROR(VLOOKUP("LULUCF|PM25|Work loss days", US_national_yearly!$D:$AM, 35, FALSE) / VLOOKUP("LULUCF|PM25|Work loss days", US_national_yearly!$D:$AM, 10, FALSE), 1)</f>
        <v>1.2695483742802729E-3</v>
      </c>
      <c r="AB15" s="7">
        <f>$B15 * IFERROR(VLOOKUP("LULUCF|PM25|Work loss days", US_national_yearly!$D:$AM, 36, FALSE) / VLOOKUP("LULUCF|PM25|Work loss days", US_national_yearly!$D:$AM, 10, FALSE), 1)</f>
        <v>1.277642562021866E-3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2.2929283643274084E-6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2.3614426627511098E-6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2.4299569611748116E-6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2.4984712595985134E-6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2.5669855580222156E-6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2.6326100174256305E-6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2.6982344768290466E-6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2.7543601174380993E-6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2.8104857580471512E-6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2.8666113986562035E-6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2.9227370392652566E-6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2.9788626798743085E-6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3.0162829258915615E-6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3.0537031719088149E-6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3.091123417926068E-6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3.1285436639433214E-6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3.1659639099605744E-6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3.1857627136978622E-6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3.2055615174351495E-6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3.2253603211724365E-6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3.2451591249097242E-6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3.2649579286470116E-6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3.278286743755826E-6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3.2916155588646409E-6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3.3049443739734558E-6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3.3182731890822703E-6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3.3316020041910852E-6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2.4161149189504576E-5</v>
      </c>
      <c r="C2" s="7">
        <f>$B2 * IFERROR(VLOOKUP("LULUCF|NOx|Premature mortality", US_national_yearly!$D:$AM, 11, FALSE) / VLOOKUP("LULUCF|NOx|Premature mortality", US_national_yearly!$D:$AM, 10, FALSE), 1)</f>
        <v>2.4516035632636907E-5</v>
      </c>
      <c r="D2" s="7">
        <f>$B2 * IFERROR(VLOOKUP("LULUCF|NOx|Premature mortality", US_national_yearly!$D:$AM, 12, FALSE) / VLOOKUP("LULUCF|NOx|Premature mortality", US_national_yearly!$D:$AM, 10, FALSE), 1)</f>
        <v>2.4870922075769231E-5</v>
      </c>
      <c r="E2" s="7">
        <f>$B2 * IFERROR(VLOOKUP("LULUCF|NOx|Premature mortality", US_national_yearly!$D:$AM, 13, FALSE) / VLOOKUP("LULUCF|NOx|Premature mortality", US_national_yearly!$D:$AM, 10, FALSE), 1)</f>
        <v>2.5225808518901559E-5</v>
      </c>
      <c r="F2" s="7">
        <f>$B2 * IFERROR(VLOOKUP("LULUCF|NOx|Premature mortality", US_national_yearly!$D:$AM, 14, FALSE) / VLOOKUP("LULUCF|NOx|Premature mortality", US_national_yearly!$D:$AM, 10, FALSE), 1)</f>
        <v>2.558069496203389E-5</v>
      </c>
      <c r="G2" s="7">
        <f>$B2 * IFERROR(VLOOKUP("LULUCF|NOx|Premature mortality", US_national_yearly!$D:$AM, 15, FALSE) / VLOOKUP("LULUCF|NOx|Premature mortality", US_national_yearly!$D:$AM, 10, FALSE), 1)</f>
        <v>2.6218154917644494E-5</v>
      </c>
      <c r="H2" s="7">
        <f>$B2 * IFERROR(VLOOKUP("LULUCF|NOx|Premature mortality", US_national_yearly!$D:$AM, 16, FALSE) / VLOOKUP("LULUCF|NOx|Premature mortality", US_national_yearly!$D:$AM, 10, FALSE), 1)</f>
        <v>2.6855614873255111E-5</v>
      </c>
      <c r="I2" s="7">
        <f>$B2 * IFERROR(VLOOKUP("LULUCF|NOx|Premature mortality", US_national_yearly!$D:$AM, 17, FALSE) / VLOOKUP("LULUCF|NOx|Premature mortality", US_national_yearly!$D:$AM, 10, FALSE), 1)</f>
        <v>2.7267107366346979E-5</v>
      </c>
      <c r="J2" s="7">
        <f>$B2 * IFERROR(VLOOKUP("LULUCF|NOx|Premature mortality", US_national_yearly!$D:$AM, 18, FALSE) / VLOOKUP("LULUCF|NOx|Premature mortality", US_national_yearly!$D:$AM, 10, FALSE), 1)</f>
        <v>2.7678599859438853E-5</v>
      </c>
      <c r="K2" s="7">
        <f>$B2 * IFERROR(VLOOKUP("LULUCF|NOx|Premature mortality", US_national_yearly!$D:$AM, 19, FALSE) / VLOOKUP("LULUCF|NOx|Premature mortality", US_national_yearly!$D:$AM, 10, FALSE), 1)</f>
        <v>2.809009235253072E-5</v>
      </c>
      <c r="L2" s="7">
        <f>$B2 * IFERROR(VLOOKUP("LULUCF|NOx|Premature mortality", US_national_yearly!$D:$AM, 20, FALSE) / VLOOKUP("LULUCF|NOx|Premature mortality", US_national_yearly!$D:$AM, 10, FALSE), 1)</f>
        <v>2.8501584845622591E-5</v>
      </c>
      <c r="M2" s="7">
        <f>$B2 * IFERROR(VLOOKUP("LULUCF|NOx|Premature mortality", US_national_yearly!$D:$AM, 21, FALSE) / VLOOKUP("LULUCF|NOx|Premature mortality", US_national_yearly!$D:$AM, 10, FALSE), 1)</f>
        <v>2.8913077338714465E-5</v>
      </c>
      <c r="N2" s="7">
        <f>$B2 * IFERROR(VLOOKUP("LULUCF|NOx|Premature mortality", US_national_yearly!$D:$AM, 22, FALSE) / VLOOKUP("LULUCF|NOx|Premature mortality", US_national_yearly!$D:$AM, 10, FALSE), 1)</f>
        <v>2.9217909377901874E-5</v>
      </c>
      <c r="O2" s="7">
        <f>$B2 * IFERROR(VLOOKUP("LULUCF|NOx|Premature mortality", US_national_yearly!$D:$AM, 23, FALSE) / VLOOKUP("LULUCF|NOx|Premature mortality", US_national_yearly!$D:$AM, 10, FALSE), 1)</f>
        <v>2.9522741417089282E-5</v>
      </c>
      <c r="P2" s="7">
        <f>$B2 * IFERROR(VLOOKUP("LULUCF|NOx|Premature mortality", US_national_yearly!$D:$AM, 24, FALSE) / VLOOKUP("LULUCF|NOx|Premature mortality", US_national_yearly!$D:$AM, 10, FALSE), 1)</f>
        <v>2.9827573456276691E-5</v>
      </c>
      <c r="Q2" s="7">
        <f>$B2 * IFERROR(VLOOKUP("LULUCF|NOx|Premature mortality", US_national_yearly!$D:$AM, 25, FALSE) / VLOOKUP("LULUCF|NOx|Premature mortality", US_national_yearly!$D:$AM, 10, FALSE), 1)</f>
        <v>3.0132405495464103E-5</v>
      </c>
      <c r="R2" s="7">
        <f>$B2 * IFERROR(VLOOKUP("LULUCF|NOx|Premature mortality", US_national_yearly!$D:$AM, 26, FALSE) / VLOOKUP("LULUCF|NOx|Premature mortality", US_national_yearly!$D:$AM, 10, FALSE), 1)</f>
        <v>3.0437237534651511E-5</v>
      </c>
      <c r="S2" s="7">
        <f>$B2 * IFERROR(VLOOKUP("LULUCF|NOx|Premature mortality", US_national_yearly!$D:$AM, 27, FALSE) / VLOOKUP("LULUCF|NOx|Premature mortality", US_national_yearly!$D:$AM, 10, FALSE), 1)</f>
        <v>3.0575786766080031E-5</v>
      </c>
      <c r="T2" s="7">
        <f>$B2 * IFERROR(VLOOKUP("LULUCF|NOx|Premature mortality", US_national_yearly!$D:$AM, 28, FALSE) / VLOOKUP("LULUCF|NOx|Premature mortality", US_national_yearly!$D:$AM, 10, FALSE), 1)</f>
        <v>3.0714335997508554E-5</v>
      </c>
      <c r="U2" s="7">
        <f>$B2 * IFERROR(VLOOKUP("LULUCF|NOx|Premature mortality", US_national_yearly!$D:$AM, 29, FALSE) / VLOOKUP("LULUCF|NOx|Premature mortality", US_national_yearly!$D:$AM, 10, FALSE), 1)</f>
        <v>3.0852885228937071E-5</v>
      </c>
      <c r="V2" s="7">
        <f>$B2 * IFERROR(VLOOKUP("LULUCF|NOx|Premature mortality", US_national_yearly!$D:$AM, 30, FALSE) / VLOOKUP("LULUCF|NOx|Premature mortality", US_national_yearly!$D:$AM, 10, FALSE), 1)</f>
        <v>3.0991434460365594E-5</v>
      </c>
      <c r="W2" s="7">
        <f>$B2 * IFERROR(VLOOKUP("LULUCF|NOx|Premature mortality", US_national_yearly!$D:$AM, 31, FALSE) / VLOOKUP("LULUCF|NOx|Premature mortality", US_national_yearly!$D:$AM, 10, FALSE), 1)</f>
        <v>3.1129983691794117E-5</v>
      </c>
      <c r="X2" s="7">
        <f>$B2 * IFERROR(VLOOKUP("LULUCF|NOx|Premature mortality", US_national_yearly!$D:$AM, 32, FALSE) / VLOOKUP("LULUCF|NOx|Premature mortality", US_national_yearly!$D:$AM, 10, FALSE), 1)</f>
        <v>3.1134782957642903E-5</v>
      </c>
      <c r="Y2" s="7">
        <f>$B2 * IFERROR(VLOOKUP("LULUCF|NOx|Premature mortality", US_national_yearly!$D:$AM, 33, FALSE) / VLOOKUP("LULUCF|NOx|Premature mortality", US_national_yearly!$D:$AM, 10, FALSE), 1)</f>
        <v>3.1139582223491696E-5</v>
      </c>
      <c r="Z2" s="7">
        <f>$B2 * IFERROR(VLOOKUP("LULUCF|NOx|Premature mortality", US_national_yearly!$D:$AM, 34, FALSE) / VLOOKUP("LULUCF|NOx|Premature mortality", US_national_yearly!$D:$AM, 10, FALSE), 1)</f>
        <v>3.1144381489340482E-5</v>
      </c>
      <c r="AA2" s="7">
        <f>$B2 * IFERROR(VLOOKUP("LULUCF|NOx|Premature mortality", US_national_yearly!$D:$AM, 35, FALSE) / VLOOKUP("LULUCF|NOx|Premature mortality", US_national_yearly!$D:$AM, 10, FALSE), 1)</f>
        <v>3.1149180755189275E-5</v>
      </c>
      <c r="AB2" s="7">
        <f>$B2 * IFERROR(VLOOKUP("LULUCF|NOx|Premature mortality", US_national_yearly!$D:$AM, 36, FALSE) / VLOOKUP("LULUCF|NOx|Premature mortality", US_national_yearly!$D:$AM, 10, FALSE), 1)</f>
        <v>3.1153980021038061E-5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7.5074728563359544E-8</v>
      </c>
      <c r="C3" s="7">
        <f>$B3 * IFERROR(VLOOKUP("LULUCF|NOx|Infant mortality", US_national_yearly!$D:$AM, 11, FALSE) / VLOOKUP("LULUCF|NOx|Infant mortality", US_national_yearly!$D:$AM, 10, FALSE), 1)</f>
        <v>7.4359450471185293E-8</v>
      </c>
      <c r="D3" s="7">
        <f>$B3 * IFERROR(VLOOKUP("LULUCF|NOx|Infant mortality", US_national_yearly!$D:$AM, 12, FALSE) / VLOOKUP("LULUCF|NOx|Infant mortality", US_national_yearly!$D:$AM, 10, FALSE), 1)</f>
        <v>7.3644172379011043E-8</v>
      </c>
      <c r="E3" s="7">
        <f>$B3 * IFERROR(VLOOKUP("LULUCF|NOx|Infant mortality", US_national_yearly!$D:$AM, 13, FALSE) / VLOOKUP("LULUCF|NOx|Infant mortality", US_national_yearly!$D:$AM, 10, FALSE), 1)</f>
        <v>7.2928894286836792E-8</v>
      </c>
      <c r="F3" s="7">
        <f>$B3 * IFERROR(VLOOKUP("LULUCF|NOx|Infant mortality", US_national_yearly!$D:$AM, 14, FALSE) / VLOOKUP("LULUCF|NOx|Infant mortality", US_national_yearly!$D:$AM, 10, FALSE), 1)</f>
        <v>7.2213616194662542E-8</v>
      </c>
      <c r="G3" s="7">
        <f>$B3 * IFERROR(VLOOKUP("LULUCF|NOx|Infant mortality", US_national_yearly!$D:$AM, 15, FALSE) / VLOOKUP("LULUCF|NOx|Infant mortality", US_national_yearly!$D:$AM, 10, FALSE), 1)</f>
        <v>4.7938964409344969E-8</v>
      </c>
      <c r="H3" s="7">
        <f>$B3 * IFERROR(VLOOKUP("LULUCF|NOx|Infant mortality", US_national_yearly!$D:$AM, 16, FALSE) / VLOOKUP("LULUCF|NOx|Infant mortality", US_national_yearly!$D:$AM, 10, FALSE), 1)</f>
        <v>2.3664312624027396E-8</v>
      </c>
      <c r="I3" s="7">
        <f>$B3 * IFERROR(VLOOKUP("LULUCF|NOx|Infant mortality", US_national_yearly!$D:$AM, 17, FALSE) / VLOOKUP("LULUCF|NOx|Infant mortality", US_national_yearly!$D:$AM, 10, FALSE), 1)</f>
        <v>2.3496983338997756E-8</v>
      </c>
      <c r="J3" s="7">
        <f>$B3 * IFERROR(VLOOKUP("LULUCF|NOx|Infant mortality", US_national_yearly!$D:$AM, 18, FALSE) / VLOOKUP("LULUCF|NOx|Infant mortality", US_national_yearly!$D:$AM, 10, FALSE), 1)</f>
        <v>2.3329654053968112E-8</v>
      </c>
      <c r="K3" s="7">
        <f>$B3 * IFERROR(VLOOKUP("LULUCF|NOx|Infant mortality", US_national_yearly!$D:$AM, 19, FALSE) / VLOOKUP("LULUCF|NOx|Infant mortality", US_national_yearly!$D:$AM, 10, FALSE), 1)</f>
        <v>2.3162324768938472E-8</v>
      </c>
      <c r="L3" s="7">
        <f>$B3 * IFERROR(VLOOKUP("LULUCF|NOx|Infant mortality", US_national_yearly!$D:$AM, 20, FALSE) / VLOOKUP("LULUCF|NOx|Infant mortality", US_national_yearly!$D:$AM, 10, FALSE), 1)</f>
        <v>2.2994995483908834E-8</v>
      </c>
      <c r="M3" s="7">
        <f>$B3 * IFERROR(VLOOKUP("LULUCF|NOx|Infant mortality", US_national_yearly!$D:$AM, 21, FALSE) / VLOOKUP("LULUCF|NOx|Infant mortality", US_national_yearly!$D:$AM, 10, FALSE), 1)</f>
        <v>2.2827666198879191E-8</v>
      </c>
      <c r="N3" s="7">
        <f>$B3 * IFERROR(VLOOKUP("LULUCF|NOx|Infant mortality", US_national_yearly!$D:$AM, 22, FALSE) / VLOOKUP("LULUCF|NOx|Infant mortality", US_national_yearly!$D:$AM, 10, FALSE), 1)</f>
        <v>2.2716600015929671E-8</v>
      </c>
      <c r="O3" s="7">
        <f>$B3 * IFERROR(VLOOKUP("LULUCF|NOx|Infant mortality", US_national_yearly!$D:$AM, 23, FALSE) / VLOOKUP("LULUCF|NOx|Infant mortality", US_national_yearly!$D:$AM, 10, FALSE), 1)</f>
        <v>2.2605533832980152E-8</v>
      </c>
      <c r="P3" s="7">
        <f>$B3 * IFERROR(VLOOKUP("LULUCF|NOx|Infant mortality", US_national_yearly!$D:$AM, 24, FALSE) / VLOOKUP("LULUCF|NOx|Infant mortality", US_national_yearly!$D:$AM, 10, FALSE), 1)</f>
        <v>2.2494467650030636E-8</v>
      </c>
      <c r="Q3" s="7">
        <f>$B3 * IFERROR(VLOOKUP("LULUCF|NOx|Infant mortality", US_national_yearly!$D:$AM, 25, FALSE) / VLOOKUP("LULUCF|NOx|Infant mortality", US_national_yearly!$D:$AM, 10, FALSE), 1)</f>
        <v>2.2383401467081117E-8</v>
      </c>
      <c r="R3" s="7">
        <f>$B3 * IFERROR(VLOOKUP("LULUCF|NOx|Infant mortality", US_national_yearly!$D:$AM, 26, FALSE) / VLOOKUP("LULUCF|NOx|Infant mortality", US_national_yearly!$D:$AM, 10, FALSE), 1)</f>
        <v>2.2272335284131597E-8</v>
      </c>
      <c r="S3" s="7">
        <f>$B3 * IFERROR(VLOOKUP("LULUCF|NOx|Infant mortality", US_national_yearly!$D:$AM, 27, FALSE) / VLOOKUP("LULUCF|NOx|Infant mortality", US_national_yearly!$D:$AM, 10, FALSE), 1)</f>
        <v>2.2138816070056955E-8</v>
      </c>
      <c r="T3" s="7">
        <f>$B3 * IFERROR(VLOOKUP("LULUCF|NOx|Infant mortality", US_national_yearly!$D:$AM, 28, FALSE) / VLOOKUP("LULUCF|NOx|Infant mortality", US_national_yearly!$D:$AM, 10, FALSE), 1)</f>
        <v>2.2005296855982309E-8</v>
      </c>
      <c r="U3" s="7">
        <f>$B3 * IFERROR(VLOOKUP("LULUCF|NOx|Infant mortality", US_national_yearly!$D:$AM, 29, FALSE) / VLOOKUP("LULUCF|NOx|Infant mortality", US_national_yearly!$D:$AM, 10, FALSE), 1)</f>
        <v>2.1871777641907664E-8</v>
      </c>
      <c r="V3" s="7">
        <f>$B3 * IFERROR(VLOOKUP("LULUCF|NOx|Infant mortality", US_national_yearly!$D:$AM, 30, FALSE) / VLOOKUP("LULUCF|NOx|Infant mortality", US_national_yearly!$D:$AM, 10, FALSE), 1)</f>
        <v>2.1738258427833022E-8</v>
      </c>
      <c r="W3" s="7">
        <f>$B3 * IFERROR(VLOOKUP("LULUCF|NOx|Infant mortality", US_national_yearly!$D:$AM, 31, FALSE) / VLOOKUP("LULUCF|NOx|Infant mortality", US_national_yearly!$D:$AM, 10, FALSE), 1)</f>
        <v>2.1604739213758376E-8</v>
      </c>
      <c r="X3" s="7">
        <f>$B3 * IFERROR(VLOOKUP("LULUCF|NOx|Infant mortality", US_national_yearly!$D:$AM, 32, FALSE) / VLOOKUP("LULUCF|NOx|Infant mortality", US_national_yearly!$D:$AM, 10, FALSE), 1)</f>
        <v>2.1463335909327664E-8</v>
      </c>
      <c r="Y3" s="7">
        <f>$B3 * IFERROR(VLOOKUP("LULUCF|NOx|Infant mortality", US_national_yearly!$D:$AM, 33, FALSE) / VLOOKUP("LULUCF|NOx|Infant mortality", US_national_yearly!$D:$AM, 10, FALSE), 1)</f>
        <v>2.1321932604896948E-8</v>
      </c>
      <c r="Z3" s="7">
        <f>$B3 * IFERROR(VLOOKUP("LULUCF|NOx|Infant mortality", US_national_yearly!$D:$AM, 34, FALSE) / VLOOKUP("LULUCF|NOx|Infant mortality", US_national_yearly!$D:$AM, 10, FALSE), 1)</f>
        <v>2.1180529300466232E-8</v>
      </c>
      <c r="AA3" s="7">
        <f>$B3 * IFERROR(VLOOKUP("LULUCF|NOx|Infant mortality", US_national_yearly!$D:$AM, 35, FALSE) / VLOOKUP("LULUCF|NOx|Infant mortality", US_national_yearly!$D:$AM, 10, FALSE), 1)</f>
        <v>2.1039125996035516E-8</v>
      </c>
      <c r="AB3" s="7">
        <f>$B3 * IFERROR(VLOOKUP("LULUCF|NOx|Infant mortality", US_national_yearly!$D:$AM, 36, FALSE) / VLOOKUP("LULUCF|NOx|Infant mortality", US_national_yearly!$D:$AM, 10, FALSE), 1)</f>
        <v>2.0897722691604801E-8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5.847011849330298E-5</v>
      </c>
      <c r="C6" s="7">
        <f>$B6 * IFERROR(VLOOKUP("LULUCF|NOx|Asthma symptoms cough", US_national_yearly!$D:$AM, 11, FALSE) / VLOOKUP("LULUCF|NOx|Asthma symptoms cough", US_national_yearly!$D:$AM, 10, FALSE), 1)</f>
        <v>5.9269500607966083E-5</v>
      </c>
      <c r="D6" s="7">
        <f>$B6 * IFERROR(VLOOKUP("LULUCF|NOx|Asthma symptoms cough", US_national_yearly!$D:$AM, 12, FALSE) / VLOOKUP("LULUCF|NOx|Asthma symptoms cough", US_national_yearly!$D:$AM, 10, FALSE), 1)</f>
        <v>6.0068882722629179E-5</v>
      </c>
      <c r="E6" s="7">
        <f>$B6 * IFERROR(VLOOKUP("LULUCF|NOx|Asthma symptoms cough", US_national_yearly!$D:$AM, 13, FALSE) / VLOOKUP("LULUCF|NOx|Asthma symptoms cough", US_national_yearly!$D:$AM, 10, FALSE), 1)</f>
        <v>6.0868264837292281E-5</v>
      </c>
      <c r="F6" s="7">
        <f>$B6 * IFERROR(VLOOKUP("LULUCF|NOx|Asthma symptoms cough", US_national_yearly!$D:$AM, 14, FALSE) / VLOOKUP("LULUCF|NOx|Asthma symptoms cough", US_national_yearly!$D:$AM, 10, FALSE), 1)</f>
        <v>6.1667646951955377E-5</v>
      </c>
      <c r="G6" s="7">
        <f>$B6 * IFERROR(VLOOKUP("LULUCF|NOx|Asthma symptoms cough", US_national_yearly!$D:$AM, 15, FALSE) / VLOOKUP("LULUCF|NOx|Asthma symptoms cough", US_national_yearly!$D:$AM, 10, FALSE), 1)</f>
        <v>6.2305841864410155E-5</v>
      </c>
      <c r="H6" s="7">
        <f>$B6 * IFERROR(VLOOKUP("LULUCF|NOx|Asthma symptoms cough", US_national_yearly!$D:$AM, 16, FALSE) / VLOOKUP("LULUCF|NOx|Asthma symptoms cough", US_national_yearly!$D:$AM, 10, FALSE), 1)</f>
        <v>6.2944036776864946E-5</v>
      </c>
      <c r="I6" s="7">
        <f>$B6 * IFERROR(VLOOKUP("LULUCF|NOx|Asthma symptoms cough", US_national_yearly!$D:$AM, 17, FALSE) / VLOOKUP("LULUCF|NOx|Asthma symptoms cough", US_national_yearly!$D:$AM, 10, FALSE), 1)</f>
        <v>6.3163694342256127E-5</v>
      </c>
      <c r="J6" s="7">
        <f>$B6 * IFERROR(VLOOKUP("LULUCF|NOx|Asthma symptoms cough", US_national_yearly!$D:$AM, 18, FALSE) / VLOOKUP("LULUCF|NOx|Asthma symptoms cough", US_national_yearly!$D:$AM, 10, FALSE), 1)</f>
        <v>6.3383351907647323E-5</v>
      </c>
      <c r="K6" s="7">
        <f>$B6 * IFERROR(VLOOKUP("LULUCF|NOx|Asthma symptoms cough", US_national_yearly!$D:$AM, 19, FALSE) / VLOOKUP("LULUCF|NOx|Asthma symptoms cough", US_national_yearly!$D:$AM, 10, FALSE), 1)</f>
        <v>6.3603009473038491E-5</v>
      </c>
      <c r="L6" s="7">
        <f>$B6 * IFERROR(VLOOKUP("LULUCF|NOx|Asthma symptoms cough", US_national_yearly!$D:$AM, 20, FALSE) / VLOOKUP("LULUCF|NOx|Asthma symptoms cough", US_national_yearly!$D:$AM, 10, FALSE), 1)</f>
        <v>6.3822667038429672E-5</v>
      </c>
      <c r="M6" s="7">
        <f>$B6 * IFERROR(VLOOKUP("LULUCF|NOx|Asthma symptoms cough", US_national_yearly!$D:$AM, 21, FALSE) / VLOOKUP("LULUCF|NOx|Asthma symptoms cough", US_national_yearly!$D:$AM, 10, FALSE), 1)</f>
        <v>6.4042324603820868E-5</v>
      </c>
      <c r="N6" s="7">
        <f>$B6 * IFERROR(VLOOKUP("LULUCF|NOx|Asthma symptoms cough", US_national_yearly!$D:$AM, 22, FALSE) / VLOOKUP("LULUCF|NOx|Asthma symptoms cough", US_national_yearly!$D:$AM, 10, FALSE), 1)</f>
        <v>6.4297033908191086E-5</v>
      </c>
      <c r="O6" s="7">
        <f>$B6 * IFERROR(VLOOKUP("LULUCF|NOx|Asthma symptoms cough", US_national_yearly!$D:$AM, 23, FALSE) / VLOOKUP("LULUCF|NOx|Asthma symptoms cough", US_national_yearly!$D:$AM, 10, FALSE), 1)</f>
        <v>6.4551743212561304E-5</v>
      </c>
      <c r="P6" s="7">
        <f>$B6 * IFERROR(VLOOKUP("LULUCF|NOx|Asthma symptoms cough", US_national_yearly!$D:$AM, 24, FALSE) / VLOOKUP("LULUCF|NOx|Asthma symptoms cough", US_national_yearly!$D:$AM, 10, FALSE), 1)</f>
        <v>6.4806452516931522E-5</v>
      </c>
      <c r="Q6" s="7">
        <f>$B6 * IFERROR(VLOOKUP("LULUCF|NOx|Asthma symptoms cough", US_national_yearly!$D:$AM, 25, FALSE) / VLOOKUP("LULUCF|NOx|Asthma symptoms cough", US_national_yearly!$D:$AM, 10, FALSE), 1)</f>
        <v>6.5061161821301767E-5</v>
      </c>
      <c r="R6" s="7">
        <f>$B6 * IFERROR(VLOOKUP("LULUCF|NOx|Asthma symptoms cough", US_national_yearly!$D:$AM, 26, FALSE) / VLOOKUP("LULUCF|NOx|Asthma symptoms cough", US_national_yearly!$D:$AM, 10, FALSE), 1)</f>
        <v>6.5315871125671984E-5</v>
      </c>
      <c r="S6" s="7">
        <f>$B6 * IFERROR(VLOOKUP("LULUCF|NOx|Asthma symptoms cough", US_national_yearly!$D:$AM, 27, FALSE) / VLOOKUP("LULUCF|NOx|Asthma symptoms cough", US_national_yearly!$D:$AM, 10, FALSE), 1)</f>
        <v>6.564860260149181E-5</v>
      </c>
      <c r="T6" s="7">
        <f>$B6 * IFERROR(VLOOKUP("LULUCF|NOx|Asthma symptoms cough", US_national_yearly!$D:$AM, 28, FALSE) / VLOOKUP("LULUCF|NOx|Asthma symptoms cough", US_national_yearly!$D:$AM, 10, FALSE), 1)</f>
        <v>6.5981334077311622E-5</v>
      </c>
      <c r="U6" s="7">
        <f>$B6 * IFERROR(VLOOKUP("LULUCF|NOx|Asthma symptoms cough", US_national_yearly!$D:$AM, 29, FALSE) / VLOOKUP("LULUCF|NOx|Asthma symptoms cough", US_national_yearly!$D:$AM, 10, FALSE), 1)</f>
        <v>6.631406555313142E-5</v>
      </c>
      <c r="V6" s="7">
        <f>$B6 * IFERROR(VLOOKUP("LULUCF|NOx|Asthma symptoms cough", US_national_yearly!$D:$AM, 30, FALSE) / VLOOKUP("LULUCF|NOx|Asthma symptoms cough", US_national_yearly!$D:$AM, 10, FALSE), 1)</f>
        <v>6.6646797028951246E-5</v>
      </c>
      <c r="W6" s="7">
        <f>$B6 * IFERROR(VLOOKUP("LULUCF|NOx|Asthma symptoms cough", US_national_yearly!$D:$AM, 31, FALSE) / VLOOKUP("LULUCF|NOx|Asthma symptoms cough", US_national_yearly!$D:$AM, 10, FALSE), 1)</f>
        <v>6.6979528504771058E-5</v>
      </c>
      <c r="X6" s="7">
        <f>$B6 * IFERROR(VLOOKUP("LULUCF|NOx|Asthma symptoms cough", US_national_yearly!$D:$AM, 32, FALSE) / VLOOKUP("LULUCF|NOx|Asthma symptoms cough", US_national_yearly!$D:$AM, 10, FALSE), 1)</f>
        <v>6.728868385451201E-5</v>
      </c>
      <c r="Y6" s="7">
        <f>$B6 * IFERROR(VLOOKUP("LULUCF|NOx|Asthma symptoms cough", US_national_yearly!$D:$AM, 33, FALSE) / VLOOKUP("LULUCF|NOx|Asthma symptoms cough", US_national_yearly!$D:$AM, 10, FALSE), 1)</f>
        <v>6.7597839204252961E-5</v>
      </c>
      <c r="Z6" s="7">
        <f>$B6 * IFERROR(VLOOKUP("LULUCF|NOx|Asthma symptoms cough", US_national_yearly!$D:$AM, 34, FALSE) / VLOOKUP("LULUCF|NOx|Asthma symptoms cough", US_national_yearly!$D:$AM, 10, FALSE), 1)</f>
        <v>6.7906994553993899E-5</v>
      </c>
      <c r="AA6" s="7">
        <f>$B6 * IFERROR(VLOOKUP("LULUCF|NOx|Asthma symptoms cough", US_national_yearly!$D:$AM, 35, FALSE) / VLOOKUP("LULUCF|NOx|Asthma symptoms cough", US_national_yearly!$D:$AM, 10, FALSE), 1)</f>
        <v>6.821614990373485E-5</v>
      </c>
      <c r="AB6" s="7">
        <f>$B6 * IFERROR(VLOOKUP("LULUCF|NOx|Asthma symptoms cough", US_national_yearly!$D:$AM, 36, FALSE) / VLOOKUP("LULUCF|NOx|Asthma symptoms cough", US_national_yearly!$D:$AM, 10, FALSE), 1)</f>
        <v>6.8525305253475802E-5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7.8738416040402803E-5</v>
      </c>
      <c r="C7" s="7">
        <f>$B7 * IFERROR(VLOOKUP("LULUCF|NOx|Asthma symptoms shortness of breath", US_national_yearly!$D:$AM, 11, FALSE) / VLOOKUP("LULUCF|NOx|Asthma symptoms shortness of breath", US_national_yearly!$D:$AM, 10, FALSE), 1)</f>
        <v>7.9814898919047372E-5</v>
      </c>
      <c r="D7" s="7">
        <f>$B7 * IFERROR(VLOOKUP("LULUCF|NOx|Asthma symptoms shortness of breath", US_national_yearly!$D:$AM, 12, FALSE) / VLOOKUP("LULUCF|NOx|Asthma symptoms shortness of breath", US_national_yearly!$D:$AM, 10, FALSE), 1)</f>
        <v>8.0891381797691927E-5</v>
      </c>
      <c r="E7" s="7">
        <f>$B7 * IFERROR(VLOOKUP("LULUCF|NOx|Asthma symptoms shortness of breath", US_national_yearly!$D:$AM, 13, FALSE) / VLOOKUP("LULUCF|NOx|Asthma symptoms shortness of breath", US_national_yearly!$D:$AM, 10, FALSE), 1)</f>
        <v>8.1967864676336496E-5</v>
      </c>
      <c r="F7" s="7">
        <f>$B7 * IFERROR(VLOOKUP("LULUCF|NOx|Asthma symptoms shortness of breath", US_national_yearly!$D:$AM, 14, FALSE) / VLOOKUP("LULUCF|NOx|Asthma symptoms shortness of breath", US_national_yearly!$D:$AM, 10, FALSE), 1)</f>
        <v>8.3044347554981065E-5</v>
      </c>
      <c r="G7" s="7">
        <f>$B7 * IFERROR(VLOOKUP("LULUCF|NOx|Asthma symptoms shortness of breath", US_national_yearly!$D:$AM, 15, FALSE) / VLOOKUP("LULUCF|NOx|Asthma symptoms shortness of breath", US_national_yearly!$D:$AM, 10, FALSE), 1)</f>
        <v>8.3903768704512709E-5</v>
      </c>
      <c r="H7" s="7">
        <f>$B7 * IFERROR(VLOOKUP("LULUCF|NOx|Asthma symptoms shortness of breath", US_national_yearly!$D:$AM, 16, FALSE) / VLOOKUP("LULUCF|NOx|Asthma symptoms shortness of breath", US_national_yearly!$D:$AM, 10, FALSE), 1)</f>
        <v>8.4763189854044339E-5</v>
      </c>
      <c r="I7" s="7">
        <f>$B7 * IFERROR(VLOOKUP("LULUCF|NOx|Asthma symptoms shortness of breath", US_national_yearly!$D:$AM, 17, FALSE) / VLOOKUP("LULUCF|NOx|Asthma symptoms shortness of breath", US_national_yearly!$D:$AM, 10, FALSE), 1)</f>
        <v>8.5058990326169348E-5</v>
      </c>
      <c r="J7" s="7">
        <f>$B7 * IFERROR(VLOOKUP("LULUCF|NOx|Asthma symptoms shortness of breath", US_national_yearly!$D:$AM, 18, FALSE) / VLOOKUP("LULUCF|NOx|Asthma symptoms shortness of breath", US_national_yearly!$D:$AM, 10, FALSE), 1)</f>
        <v>8.5354790798294371E-5</v>
      </c>
      <c r="K7" s="7">
        <f>$B7 * IFERROR(VLOOKUP("LULUCF|NOx|Asthma symptoms shortness of breath", US_national_yearly!$D:$AM, 19, FALSE) / VLOOKUP("LULUCF|NOx|Asthma symptoms shortness of breath", US_national_yearly!$D:$AM, 10, FALSE), 1)</f>
        <v>8.5650591270419393E-5</v>
      </c>
      <c r="L7" s="7">
        <f>$B7 * IFERROR(VLOOKUP("LULUCF|NOx|Asthma symptoms shortness of breath", US_national_yearly!$D:$AM, 20, FALSE) / VLOOKUP("LULUCF|NOx|Asthma symptoms shortness of breath", US_national_yearly!$D:$AM, 10, FALSE), 1)</f>
        <v>8.5946391742544403E-5</v>
      </c>
      <c r="M7" s="7">
        <f>$B7 * IFERROR(VLOOKUP("LULUCF|NOx|Asthma symptoms shortness of breath", US_national_yearly!$D:$AM, 21, FALSE) / VLOOKUP("LULUCF|NOx|Asthma symptoms shortness of breath", US_national_yearly!$D:$AM, 10, FALSE), 1)</f>
        <v>8.6242192214669425E-5</v>
      </c>
      <c r="N7" s="7">
        <f>$B7 * IFERROR(VLOOKUP("LULUCF|NOx|Asthma symptoms shortness of breath", US_national_yearly!$D:$AM, 22, FALSE) / VLOOKUP("LULUCF|NOx|Asthma symptoms shortness of breath", US_national_yearly!$D:$AM, 10, FALSE), 1)</f>
        <v>8.6585194890713009E-5</v>
      </c>
      <c r="O7" s="7">
        <f>$B7 * IFERROR(VLOOKUP("LULUCF|NOx|Asthma symptoms shortness of breath", US_national_yearly!$D:$AM, 23, FALSE) / VLOOKUP("LULUCF|NOx|Asthma symptoms shortness of breath", US_national_yearly!$D:$AM, 10, FALSE), 1)</f>
        <v>8.692819756675658E-5</v>
      </c>
      <c r="P7" s="7">
        <f>$B7 * IFERROR(VLOOKUP("LULUCF|NOx|Asthma symptoms shortness of breath", US_national_yearly!$D:$AM, 24, FALSE) / VLOOKUP("LULUCF|NOx|Asthma symptoms shortness of breath", US_national_yearly!$D:$AM, 10, FALSE), 1)</f>
        <v>8.727120024280015E-5</v>
      </c>
      <c r="Q7" s="7">
        <f>$B7 * IFERROR(VLOOKUP("LULUCF|NOx|Asthma symptoms shortness of breath", US_national_yearly!$D:$AM, 25, FALSE) / VLOOKUP("LULUCF|NOx|Asthma symptoms shortness of breath", US_national_yearly!$D:$AM, 10, FALSE), 1)</f>
        <v>8.761420291884372E-5</v>
      </c>
      <c r="R7" s="7">
        <f>$B7 * IFERROR(VLOOKUP("LULUCF|NOx|Asthma symptoms shortness of breath", US_national_yearly!$D:$AM, 26, FALSE) / VLOOKUP("LULUCF|NOx|Asthma symptoms shortness of breath", US_national_yearly!$D:$AM, 10, FALSE), 1)</f>
        <v>8.7957205594887304E-5</v>
      </c>
      <c r="S7" s="7">
        <f>$B7 * IFERROR(VLOOKUP("LULUCF|NOx|Asthma symptoms shortness of breath", US_national_yearly!$D:$AM, 27, FALSE) / VLOOKUP("LULUCF|NOx|Asthma symptoms shortness of breath", US_national_yearly!$D:$AM, 10, FALSE), 1)</f>
        <v>8.8405276336598696E-5</v>
      </c>
      <c r="T7" s="7">
        <f>$B7 * IFERROR(VLOOKUP("LULUCF|NOx|Asthma symptoms shortness of breath", US_national_yearly!$D:$AM, 28, FALSE) / VLOOKUP("LULUCF|NOx|Asthma symptoms shortness of breath", US_national_yearly!$D:$AM, 10, FALSE), 1)</f>
        <v>8.8853347078310101E-5</v>
      </c>
      <c r="U7" s="7">
        <f>$B7 * IFERROR(VLOOKUP("LULUCF|NOx|Asthma symptoms shortness of breath", US_national_yearly!$D:$AM, 29, FALSE) / VLOOKUP("LULUCF|NOx|Asthma symptoms shortness of breath", US_national_yearly!$D:$AM, 10, FALSE), 1)</f>
        <v>8.9301417820021492E-5</v>
      </c>
      <c r="V7" s="7">
        <f>$B7 * IFERROR(VLOOKUP("LULUCF|NOx|Asthma symptoms shortness of breath", US_national_yearly!$D:$AM, 30, FALSE) / VLOOKUP("LULUCF|NOx|Asthma symptoms shortness of breath", US_national_yearly!$D:$AM, 10, FALSE), 1)</f>
        <v>8.974948856173287E-5</v>
      </c>
      <c r="W7" s="7">
        <f>$B7 * IFERROR(VLOOKUP("LULUCF|NOx|Asthma symptoms shortness of breath", US_national_yearly!$D:$AM, 31, FALSE) / VLOOKUP("LULUCF|NOx|Asthma symptoms shortness of breath", US_national_yearly!$D:$AM, 10, FALSE), 1)</f>
        <v>9.0197559303444261E-5</v>
      </c>
      <c r="X7" s="7">
        <f>$B7 * IFERROR(VLOOKUP("LULUCF|NOx|Asthma symptoms shortness of breath", US_national_yearly!$D:$AM, 32, FALSE) / VLOOKUP("LULUCF|NOx|Asthma symptoms shortness of breath", US_national_yearly!$D:$AM, 10, FALSE), 1)</f>
        <v>9.0613881403509757E-5</v>
      </c>
      <c r="Y7" s="7">
        <f>$B7 * IFERROR(VLOOKUP("LULUCF|NOx|Asthma symptoms shortness of breath", US_national_yearly!$D:$AM, 33, FALSE) / VLOOKUP("LULUCF|NOx|Asthma symptoms shortness of breath", US_national_yearly!$D:$AM, 10, FALSE), 1)</f>
        <v>9.1030203503575252E-5</v>
      </c>
      <c r="Z7" s="7">
        <f>$B7 * IFERROR(VLOOKUP("LULUCF|NOx|Asthma symptoms shortness of breath", US_national_yearly!$D:$AM, 34, FALSE) / VLOOKUP("LULUCF|NOx|Asthma symptoms shortness of breath", US_national_yearly!$D:$AM, 10, FALSE), 1)</f>
        <v>9.1446525603640762E-5</v>
      </c>
      <c r="AA7" s="7">
        <f>$B7 * IFERROR(VLOOKUP("LULUCF|NOx|Asthma symptoms shortness of breath", US_national_yearly!$D:$AM, 35, FALSE) / VLOOKUP("LULUCF|NOx|Asthma symptoms shortness of breath", US_national_yearly!$D:$AM, 10, FALSE), 1)</f>
        <v>9.1862847703706258E-5</v>
      </c>
      <c r="AB7" s="7">
        <f>$B7 * IFERROR(VLOOKUP("LULUCF|NOx|Asthma symptoms shortness of breath", US_national_yearly!$D:$AM, 36, FALSE) / VLOOKUP("LULUCF|NOx|Asthma symptoms shortness of breath", US_national_yearly!$D:$AM, 10, FALSE), 1)</f>
        <v>9.2279169803771753E-5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1.2029925079049014E-4</v>
      </c>
      <c r="C8" s="7">
        <f>$B8 * IFERROR(VLOOKUP("LULUCF|NOx|Asthma symptoms wheeze", US_national_yearly!$D:$AM, 11, FALSE) / VLOOKUP("LULUCF|NOx|Asthma symptoms wheeze", US_national_yearly!$D:$AM, 10, FALSE), 1)</f>
        <v>1.2194393823255355E-4</v>
      </c>
      <c r="D8" s="7">
        <f>$B8 * IFERROR(VLOOKUP("LULUCF|NOx|Asthma symptoms wheeze", US_national_yearly!$D:$AM, 12, FALSE) / VLOOKUP("LULUCF|NOx|Asthma symptoms wheeze", US_national_yearly!$D:$AM, 10, FALSE), 1)</f>
        <v>1.2358862567461701E-4</v>
      </c>
      <c r="E8" s="7">
        <f>$B8 * IFERROR(VLOOKUP("LULUCF|NOx|Asthma symptoms wheeze", US_national_yearly!$D:$AM, 13, FALSE) / VLOOKUP("LULUCF|NOx|Asthma symptoms wheeze", US_national_yearly!$D:$AM, 10, FALSE), 1)</f>
        <v>1.2523331311668044E-4</v>
      </c>
      <c r="F8" s="7">
        <f>$B8 * IFERROR(VLOOKUP("LULUCF|NOx|Asthma symptoms wheeze", US_national_yearly!$D:$AM, 14, FALSE) / VLOOKUP("LULUCF|NOx|Asthma symptoms wheeze", US_national_yearly!$D:$AM, 10, FALSE), 1)</f>
        <v>1.2687800055874386E-4</v>
      </c>
      <c r="G8" s="7">
        <f>$B8 * IFERROR(VLOOKUP("LULUCF|NOx|Asthma symptoms wheeze", US_national_yearly!$D:$AM, 15, FALSE) / VLOOKUP("LULUCF|NOx|Asthma symptoms wheeze", US_national_yearly!$D:$AM, 10, FALSE), 1)</f>
        <v>1.2819105365266686E-4</v>
      </c>
      <c r="H8" s="7">
        <f>$B8 * IFERROR(VLOOKUP("LULUCF|NOx|Asthma symptoms wheeze", US_national_yearly!$D:$AM, 16, FALSE) / VLOOKUP("LULUCF|NOx|Asthma symptoms wheeze", US_national_yearly!$D:$AM, 10, FALSE), 1)</f>
        <v>1.2950410674658985E-4</v>
      </c>
      <c r="I8" s="7">
        <f>$B8 * IFERROR(VLOOKUP("LULUCF|NOx|Asthma symptoms wheeze", US_national_yearly!$D:$AM, 17, FALSE) / VLOOKUP("LULUCF|NOx|Asthma symptoms wheeze", US_national_yearly!$D:$AM, 10, FALSE), 1)</f>
        <v>1.299560408521068E-4</v>
      </c>
      <c r="J8" s="7">
        <f>$B8 * IFERROR(VLOOKUP("LULUCF|NOx|Asthma symptoms wheeze", US_national_yearly!$D:$AM, 18, FALSE) / VLOOKUP("LULUCF|NOx|Asthma symptoms wheeze", US_national_yearly!$D:$AM, 10, FALSE), 1)</f>
        <v>1.3040797495762375E-4</v>
      </c>
      <c r="K8" s="7">
        <f>$B8 * IFERROR(VLOOKUP("LULUCF|NOx|Asthma symptoms wheeze", US_national_yearly!$D:$AM, 19, FALSE) / VLOOKUP("LULUCF|NOx|Asthma symptoms wheeze", US_national_yearly!$D:$AM, 10, FALSE), 1)</f>
        <v>1.3085990906314067E-4</v>
      </c>
      <c r="L8" s="7">
        <f>$B8 * IFERROR(VLOOKUP("LULUCF|NOx|Asthma symptoms wheeze", US_national_yearly!$D:$AM, 20, FALSE) / VLOOKUP("LULUCF|NOx|Asthma symptoms wheeze", US_national_yearly!$D:$AM, 10, FALSE), 1)</f>
        <v>1.3131184316865762E-4</v>
      </c>
      <c r="M8" s="7">
        <f>$B8 * IFERROR(VLOOKUP("LULUCF|NOx|Asthma symptoms wheeze", US_national_yearly!$D:$AM, 21, FALSE) / VLOOKUP("LULUCF|NOx|Asthma symptoms wheeze", US_national_yearly!$D:$AM, 10, FALSE), 1)</f>
        <v>1.3176377727417454E-4</v>
      </c>
      <c r="N8" s="7">
        <f>$B8 * IFERROR(VLOOKUP("LULUCF|NOx|Asthma symptoms wheeze", US_national_yearly!$D:$AM, 22, FALSE) / VLOOKUP("LULUCF|NOx|Asthma symptoms wheeze", US_national_yearly!$D:$AM, 10, FALSE), 1)</f>
        <v>1.3228782852402942E-4</v>
      </c>
      <c r="O8" s="7">
        <f>$B8 * IFERROR(VLOOKUP("LULUCF|NOx|Asthma symptoms wheeze", US_national_yearly!$D:$AM, 23, FALSE) / VLOOKUP("LULUCF|NOx|Asthma symptoms wheeze", US_national_yearly!$D:$AM, 10, FALSE), 1)</f>
        <v>1.3281187977388429E-4</v>
      </c>
      <c r="P8" s="7">
        <f>$B8 * IFERROR(VLOOKUP("LULUCF|NOx|Asthma symptoms wheeze", US_national_yearly!$D:$AM, 24, FALSE) / VLOOKUP("LULUCF|NOx|Asthma symptoms wheeze", US_national_yearly!$D:$AM, 10, FALSE), 1)</f>
        <v>1.3333593102373917E-4</v>
      </c>
      <c r="Q8" s="7">
        <f>$B8 * IFERROR(VLOOKUP("LULUCF|NOx|Asthma symptoms wheeze", US_national_yearly!$D:$AM, 25, FALSE) / VLOOKUP("LULUCF|NOx|Asthma symptoms wheeze", US_national_yearly!$D:$AM, 10, FALSE), 1)</f>
        <v>1.3385998227359404E-4</v>
      </c>
      <c r="R8" s="7">
        <f>$B8 * IFERROR(VLOOKUP("LULUCF|NOx|Asthma symptoms wheeze", US_national_yearly!$D:$AM, 26, FALSE) / VLOOKUP("LULUCF|NOx|Asthma symptoms wheeze", US_national_yearly!$D:$AM, 10, FALSE), 1)</f>
        <v>1.3438403352344892E-4</v>
      </c>
      <c r="S8" s="7">
        <f>$B8 * IFERROR(VLOOKUP("LULUCF|NOx|Asthma symptoms wheeze", US_national_yearly!$D:$AM, 27, FALSE) / VLOOKUP("LULUCF|NOx|Asthma symptoms wheeze", US_national_yearly!$D:$AM, 10, FALSE), 1)</f>
        <v>1.3506861136444013E-4</v>
      </c>
      <c r="T8" s="7">
        <f>$B8 * IFERROR(VLOOKUP("LULUCF|NOx|Asthma symptoms wheeze", US_national_yearly!$D:$AM, 28, FALSE) / VLOOKUP("LULUCF|NOx|Asthma symptoms wheeze", US_national_yearly!$D:$AM, 10, FALSE), 1)</f>
        <v>1.3575318920543134E-4</v>
      </c>
      <c r="U8" s="7">
        <f>$B8 * IFERROR(VLOOKUP("LULUCF|NOx|Asthma symptoms wheeze", US_national_yearly!$D:$AM, 29, FALSE) / VLOOKUP("LULUCF|NOx|Asthma symptoms wheeze", US_national_yearly!$D:$AM, 10, FALSE), 1)</f>
        <v>1.3643776704642258E-4</v>
      </c>
      <c r="V8" s="7">
        <f>$B8 * IFERROR(VLOOKUP("LULUCF|NOx|Asthma symptoms wheeze", US_national_yearly!$D:$AM, 30, FALSE) / VLOOKUP("LULUCF|NOx|Asthma symptoms wheeze", US_national_yearly!$D:$AM, 10, FALSE), 1)</f>
        <v>1.3712234488741381E-4</v>
      </c>
      <c r="W8" s="7">
        <f>$B8 * IFERROR(VLOOKUP("LULUCF|NOx|Asthma symptoms wheeze", US_national_yearly!$D:$AM, 31, FALSE) / VLOOKUP("LULUCF|NOx|Asthma symptoms wheeze", US_national_yearly!$D:$AM, 10, FALSE), 1)</f>
        <v>1.37806922728405E-4</v>
      </c>
      <c r="X8" s="7">
        <f>$B8 * IFERROR(VLOOKUP("LULUCF|NOx|Asthma symptoms wheeze", US_national_yearly!$D:$AM, 32, FALSE) / VLOOKUP("LULUCF|NOx|Asthma symptoms wheeze", US_national_yearly!$D:$AM, 10, FALSE), 1)</f>
        <v>1.3844299390641175E-4</v>
      </c>
      <c r="Y8" s="7">
        <f>$B8 * IFERROR(VLOOKUP("LULUCF|NOx|Asthma symptoms wheeze", US_national_yearly!$D:$AM, 33, FALSE) / VLOOKUP("LULUCF|NOx|Asthma symptoms wheeze", US_national_yearly!$D:$AM, 10, FALSE), 1)</f>
        <v>1.3907906508441847E-4</v>
      </c>
      <c r="Z8" s="7">
        <f>$B8 * IFERROR(VLOOKUP("LULUCF|NOx|Asthma symptoms wheeze", US_national_yearly!$D:$AM, 34, FALSE) / VLOOKUP("LULUCF|NOx|Asthma symptoms wheeze", US_national_yearly!$D:$AM, 10, FALSE), 1)</f>
        <v>1.3971513626242523E-4</v>
      </c>
      <c r="AA8" s="7">
        <f>$B8 * IFERROR(VLOOKUP("LULUCF|NOx|Asthma symptoms wheeze", US_national_yearly!$D:$AM, 35, FALSE) / VLOOKUP("LULUCF|NOx|Asthma symptoms wheeze", US_national_yearly!$D:$AM, 10, FALSE), 1)</f>
        <v>1.4035120744043195E-4</v>
      </c>
      <c r="AB8" s="7">
        <f>$B8 * IFERROR(VLOOKUP("LULUCF|NOx|Asthma symptoms wheeze", US_national_yearly!$D:$AM, 36, FALSE) / VLOOKUP("LULUCF|NOx|Asthma symptoms wheeze", US_national_yearly!$D:$AM, 10, FALSE), 1)</f>
        <v>1.409872786184387E-4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1.6741164609447316E-6</v>
      </c>
      <c r="C12" s="7">
        <f>$B12 * IFERROR(VLOOKUP("LULUCF|NOx|Respiratory hospital admissions", US_national_yearly!$D:$AM, 11, FALSE) / VLOOKUP("LULUCF|NOx|Respiratory hospital admissions", US_national_yearly!$D:$AM, 10, FALSE), 1)</f>
        <v>1.7158767347360886E-6</v>
      </c>
      <c r="D12" s="7">
        <f>$B12 * IFERROR(VLOOKUP("LULUCF|NOx|Respiratory hospital admissions", US_national_yearly!$D:$AM, 12, FALSE) / VLOOKUP("LULUCF|NOx|Respiratory hospital admissions", US_national_yearly!$D:$AM, 10, FALSE), 1)</f>
        <v>1.7576370085274458E-6</v>
      </c>
      <c r="E12" s="7">
        <f>$B12 * IFERROR(VLOOKUP("LULUCF|NOx|Respiratory hospital admissions", US_national_yearly!$D:$AM, 13, FALSE) / VLOOKUP("LULUCF|NOx|Respiratory hospital admissions", US_national_yearly!$D:$AM, 10, FALSE), 1)</f>
        <v>1.7993972823188031E-6</v>
      </c>
      <c r="F12" s="7">
        <f>$B12 * IFERROR(VLOOKUP("LULUCF|NOx|Respiratory hospital admissions", US_national_yearly!$D:$AM, 14, FALSE) / VLOOKUP("LULUCF|NOx|Respiratory hospital admissions", US_national_yearly!$D:$AM, 10, FALSE), 1)</f>
        <v>1.8411575561101605E-6</v>
      </c>
      <c r="G12" s="7">
        <f>$B12 * IFERROR(VLOOKUP("LULUCF|NOx|Respiratory hospital admissions", US_national_yearly!$D:$AM, 15, FALSE) / VLOOKUP("LULUCF|NOx|Respiratory hospital admissions", US_national_yearly!$D:$AM, 10, FALSE), 1)</f>
        <v>1.8810817992052268E-6</v>
      </c>
      <c r="H12" s="7">
        <f>$B12 * IFERROR(VLOOKUP("LULUCF|NOx|Respiratory hospital admissions", US_national_yearly!$D:$AM, 16, FALSE) / VLOOKUP("LULUCF|NOx|Respiratory hospital admissions", US_national_yearly!$D:$AM, 10, FALSE), 1)</f>
        <v>1.9210060423002931E-6</v>
      </c>
      <c r="I12" s="7">
        <f>$B12 * IFERROR(VLOOKUP("LULUCF|NOx|Respiratory hospital admissions", US_national_yearly!$D:$AM, 17, FALSE) / VLOOKUP("LULUCF|NOx|Respiratory hospital admissions", US_national_yearly!$D:$AM, 10, FALSE), 1)</f>
        <v>1.9549025454473811E-6</v>
      </c>
      <c r="J12" s="7">
        <f>$B12 * IFERROR(VLOOKUP("LULUCF|NOx|Respiratory hospital admissions", US_national_yearly!$D:$AM, 18, FALSE) / VLOOKUP("LULUCF|NOx|Respiratory hospital admissions", US_national_yearly!$D:$AM, 10, FALSE), 1)</f>
        <v>1.9887990485944687E-6</v>
      </c>
      <c r="K12" s="7">
        <f>$B12 * IFERROR(VLOOKUP("LULUCF|NOx|Respiratory hospital admissions", US_national_yearly!$D:$AM, 19, FALSE) / VLOOKUP("LULUCF|NOx|Respiratory hospital admissions", US_national_yearly!$D:$AM, 10, FALSE), 1)</f>
        <v>2.0226955517415568E-6</v>
      </c>
      <c r="L12" s="7">
        <f>$B12 * IFERROR(VLOOKUP("LULUCF|NOx|Respiratory hospital admissions", US_national_yearly!$D:$AM, 20, FALSE) / VLOOKUP("LULUCF|NOx|Respiratory hospital admissions", US_national_yearly!$D:$AM, 10, FALSE), 1)</f>
        <v>2.0565920548886444E-6</v>
      </c>
      <c r="M12" s="7">
        <f>$B12 * IFERROR(VLOOKUP("LULUCF|NOx|Respiratory hospital admissions", US_national_yearly!$D:$AM, 21, FALSE) / VLOOKUP("LULUCF|NOx|Respiratory hospital admissions", US_national_yearly!$D:$AM, 10, FALSE), 1)</f>
        <v>2.0904885580357324E-6</v>
      </c>
      <c r="N12" s="7">
        <f>$B12 * IFERROR(VLOOKUP("LULUCF|NOx|Respiratory hospital admissions", US_national_yearly!$D:$AM, 22, FALSE) / VLOOKUP("LULUCF|NOx|Respiratory hospital admissions", US_national_yearly!$D:$AM, 10, FALSE), 1)</f>
        <v>2.1131489806811635E-6</v>
      </c>
      <c r="O12" s="7">
        <f>$B12 * IFERROR(VLOOKUP("LULUCF|NOx|Respiratory hospital admissions", US_national_yearly!$D:$AM, 23, FALSE) / VLOOKUP("LULUCF|NOx|Respiratory hospital admissions", US_national_yearly!$D:$AM, 10, FALSE), 1)</f>
        <v>2.135809403326595E-6</v>
      </c>
      <c r="P12" s="7">
        <f>$B12 * IFERROR(VLOOKUP("LULUCF|NOx|Respiratory hospital admissions", US_national_yearly!$D:$AM, 24, FALSE) / VLOOKUP("LULUCF|NOx|Respiratory hospital admissions", US_national_yearly!$D:$AM, 10, FALSE), 1)</f>
        <v>2.1584698259720261E-6</v>
      </c>
      <c r="Q12" s="7">
        <f>$B12 * IFERROR(VLOOKUP("LULUCF|NOx|Respiratory hospital admissions", US_national_yearly!$D:$AM, 25, FALSE) / VLOOKUP("LULUCF|NOx|Respiratory hospital admissions", US_national_yearly!$D:$AM, 10, FALSE), 1)</f>
        <v>2.181130248617458E-6</v>
      </c>
      <c r="R12" s="7">
        <f>$B12 * IFERROR(VLOOKUP("LULUCF|NOx|Respiratory hospital admissions", US_national_yearly!$D:$AM, 26, FALSE) / VLOOKUP("LULUCF|NOx|Respiratory hospital admissions", US_national_yearly!$D:$AM, 10, FALSE), 1)</f>
        <v>2.2037906712628891E-6</v>
      </c>
      <c r="S12" s="7">
        <f>$B12 * IFERROR(VLOOKUP("LULUCF|NOx|Respiratory hospital admissions", US_national_yearly!$D:$AM, 27, FALSE) / VLOOKUP("LULUCF|NOx|Respiratory hospital admissions", US_national_yearly!$D:$AM, 10, FALSE), 1)</f>
        <v>2.2159315116899823E-6</v>
      </c>
      <c r="T12" s="7">
        <f>$B12 * IFERROR(VLOOKUP("LULUCF|NOx|Respiratory hospital admissions", US_national_yearly!$D:$AM, 28, FALSE) / VLOOKUP("LULUCF|NOx|Respiratory hospital admissions", US_national_yearly!$D:$AM, 10, FALSE), 1)</f>
        <v>2.2280723521170752E-6</v>
      </c>
      <c r="U12" s="7">
        <f>$B12 * IFERROR(VLOOKUP("LULUCF|NOx|Respiratory hospital admissions", US_national_yearly!$D:$AM, 29, FALSE) / VLOOKUP("LULUCF|NOx|Respiratory hospital admissions", US_national_yearly!$D:$AM, 10, FALSE), 1)</f>
        <v>2.2402131925441684E-6</v>
      </c>
      <c r="V12" s="7">
        <f>$B12 * IFERROR(VLOOKUP("LULUCF|NOx|Respiratory hospital admissions", US_national_yearly!$D:$AM, 30, FALSE) / VLOOKUP("LULUCF|NOx|Respiratory hospital admissions", US_national_yearly!$D:$AM, 10, FALSE), 1)</f>
        <v>2.2523540329712608E-6</v>
      </c>
      <c r="W12" s="7">
        <f>$B12 * IFERROR(VLOOKUP("LULUCF|NOx|Respiratory hospital admissions", US_national_yearly!$D:$AM, 31, FALSE) / VLOOKUP("LULUCF|NOx|Respiratory hospital admissions", US_national_yearly!$D:$AM, 10, FALSE), 1)</f>
        <v>2.2644948733983545E-6</v>
      </c>
      <c r="X12" s="7">
        <f>$B12 * IFERROR(VLOOKUP("LULUCF|NOx|Respiratory hospital admissions", US_national_yearly!$D:$AM, 32, FALSE) / VLOOKUP("LULUCF|NOx|Respiratory hospital admissions", US_national_yearly!$D:$AM, 10, FALSE), 1)</f>
        <v>2.2727915605349597E-6</v>
      </c>
      <c r="Y12" s="7">
        <f>$B12 * IFERROR(VLOOKUP("LULUCF|NOx|Respiratory hospital admissions", US_national_yearly!$D:$AM, 33, FALSE) / VLOOKUP("LULUCF|NOx|Respiratory hospital admissions", US_national_yearly!$D:$AM, 10, FALSE), 1)</f>
        <v>2.2810882476715653E-6</v>
      </c>
      <c r="Z12" s="7">
        <f>$B12 * IFERROR(VLOOKUP("LULUCF|NOx|Respiratory hospital admissions", US_national_yearly!$D:$AM, 34, FALSE) / VLOOKUP("LULUCF|NOx|Respiratory hospital admissions", US_national_yearly!$D:$AM, 10, FALSE), 1)</f>
        <v>2.2893849348081705E-6</v>
      </c>
      <c r="AA12" s="7">
        <f>$B12 * IFERROR(VLOOKUP("LULUCF|NOx|Respiratory hospital admissions", US_national_yearly!$D:$AM, 35, FALSE) / VLOOKUP("LULUCF|NOx|Respiratory hospital admissions", US_national_yearly!$D:$AM, 10, FALSE), 1)</f>
        <v>2.2976816219447761E-6</v>
      </c>
      <c r="AB12" s="7">
        <f>$B12 * IFERROR(VLOOKUP("LULUCF|NOx|Respiratory hospital admissions", US_national_yearly!$D:$AM, 36, FALSE) / VLOOKUP("LULUCF|NOx|Respiratory hospital admissions", US_national_yearly!$D:$AM, 10, FALSE), 1)</f>
        <v>2.3059783090813812E-6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9.1985977920406533E-6</v>
      </c>
      <c r="C13" s="7">
        <f>$B13 * IFERROR(VLOOKUP("LULUCF|NOx|Non-fatal heart attacks", US_national_yearly!$D:$AM, 11, FALSE) / VLOOKUP("LULUCF|NOx|Non-fatal heart attacks", US_national_yearly!$D:$AM, 10, FALSE), 1)</f>
        <v>9.4615775984333561E-6</v>
      </c>
      <c r="D13" s="7">
        <f>$B13 * IFERROR(VLOOKUP("LULUCF|NOx|Non-fatal heart attacks", US_national_yearly!$D:$AM, 12, FALSE) / VLOOKUP("LULUCF|NOx|Non-fatal heart attacks", US_national_yearly!$D:$AM, 10, FALSE), 1)</f>
        <v>9.7245574048260588E-6</v>
      </c>
      <c r="E13" s="7">
        <f>$B13 * IFERROR(VLOOKUP("LULUCF|NOx|Non-fatal heart attacks", US_national_yearly!$D:$AM, 13, FALSE) / VLOOKUP("LULUCF|NOx|Non-fatal heart attacks", US_national_yearly!$D:$AM, 10, FALSE), 1)</f>
        <v>9.9875372112187599E-6</v>
      </c>
      <c r="F13" s="7">
        <f>$B13 * IFERROR(VLOOKUP("LULUCF|NOx|Non-fatal heart attacks", US_national_yearly!$D:$AM, 14, FALSE) / VLOOKUP("LULUCF|NOx|Non-fatal heart attacks", US_national_yearly!$D:$AM, 10, FALSE), 1)</f>
        <v>1.0250517017611463E-5</v>
      </c>
      <c r="G13" s="7">
        <f>$B13 * IFERROR(VLOOKUP("LULUCF|NOx|Non-fatal heart attacks", US_national_yearly!$D:$AM, 15, FALSE) / VLOOKUP("LULUCF|NOx|Non-fatal heart attacks", US_national_yearly!$D:$AM, 10, FALSE), 1)</f>
        <v>1.0496271100122121E-5</v>
      </c>
      <c r="H13" s="7">
        <f>$B13 * IFERROR(VLOOKUP("LULUCF|NOx|Non-fatal heart attacks", US_national_yearly!$D:$AM, 16, FALSE) / VLOOKUP("LULUCF|NOx|Non-fatal heart attacks", US_national_yearly!$D:$AM, 10, FALSE), 1)</f>
        <v>1.0742025182632778E-5</v>
      </c>
      <c r="I13" s="7">
        <f>$B13 * IFERROR(VLOOKUP("LULUCF|NOx|Non-fatal heart attacks", US_national_yearly!$D:$AM, 17, FALSE) / VLOOKUP("LULUCF|NOx|Non-fatal heart attacks", US_national_yearly!$D:$AM, 10, FALSE), 1)</f>
        <v>1.0935774184318505E-5</v>
      </c>
      <c r="J13" s="7">
        <f>$B13 * IFERROR(VLOOKUP("LULUCF|NOx|Non-fatal heart attacks", US_national_yearly!$D:$AM, 18, FALSE) / VLOOKUP("LULUCF|NOx|Non-fatal heart attacks", US_national_yearly!$D:$AM, 10, FALSE), 1)</f>
        <v>1.1129523186004233E-5</v>
      </c>
      <c r="K13" s="7">
        <f>$B13 * IFERROR(VLOOKUP("LULUCF|NOx|Non-fatal heart attacks", US_national_yearly!$D:$AM, 19, FALSE) / VLOOKUP("LULUCF|NOx|Non-fatal heart attacks", US_national_yearly!$D:$AM, 10, FALSE), 1)</f>
        <v>1.1323272187689952E-5</v>
      </c>
      <c r="L13" s="7">
        <f>$B13 * IFERROR(VLOOKUP("LULUCF|NOx|Non-fatal heart attacks", US_national_yearly!$D:$AM, 20, FALSE) / VLOOKUP("LULUCF|NOx|Non-fatal heart attacks", US_national_yearly!$D:$AM, 10, FALSE), 1)</f>
        <v>1.1517021189375685E-5</v>
      </c>
      <c r="M13" s="7">
        <f>$B13 * IFERROR(VLOOKUP("LULUCF|NOx|Non-fatal heart attacks", US_national_yearly!$D:$AM, 21, FALSE) / VLOOKUP("LULUCF|NOx|Non-fatal heart attacks", US_national_yearly!$D:$AM, 10, FALSE), 1)</f>
        <v>1.1710770191061408E-5</v>
      </c>
      <c r="N13" s="7">
        <f>$B13 * IFERROR(VLOOKUP("LULUCF|NOx|Non-fatal heart attacks", US_national_yearly!$D:$AM, 22, FALSE) / VLOOKUP("LULUCF|NOx|Non-fatal heart attacks", US_national_yearly!$D:$AM, 10, FALSE), 1)</f>
        <v>1.1827335466219702E-5</v>
      </c>
      <c r="O13" s="7">
        <f>$B13 * IFERROR(VLOOKUP("LULUCF|NOx|Non-fatal heart attacks", US_national_yearly!$D:$AM, 23, FALSE) / VLOOKUP("LULUCF|NOx|Non-fatal heart attacks", US_national_yearly!$D:$AM, 10, FALSE), 1)</f>
        <v>1.1943900741377997E-5</v>
      </c>
      <c r="P13" s="7">
        <f>$B13 * IFERROR(VLOOKUP("LULUCF|NOx|Non-fatal heart attacks", US_national_yearly!$D:$AM, 24, FALSE) / VLOOKUP("LULUCF|NOx|Non-fatal heart attacks", US_national_yearly!$D:$AM, 10, FALSE), 1)</f>
        <v>1.2060466016536288E-5</v>
      </c>
      <c r="Q13" s="7">
        <f>$B13 * IFERROR(VLOOKUP("LULUCF|NOx|Non-fatal heart attacks", US_national_yearly!$D:$AM, 25, FALSE) / VLOOKUP("LULUCF|NOx|Non-fatal heart attacks", US_national_yearly!$D:$AM, 10, FALSE), 1)</f>
        <v>1.2177031291694585E-5</v>
      </c>
      <c r="R13" s="7">
        <f>$B13 * IFERROR(VLOOKUP("LULUCF|NOx|Non-fatal heart attacks", US_national_yearly!$D:$AM, 26, FALSE) / VLOOKUP("LULUCF|NOx|Non-fatal heart attacks", US_national_yearly!$D:$AM, 10, FALSE), 1)</f>
        <v>1.2293596566852877E-5</v>
      </c>
      <c r="S13" s="7">
        <f>$B13 * IFERROR(VLOOKUP("LULUCF|NOx|Non-fatal heart attacks", US_national_yearly!$D:$AM, 27, FALSE) / VLOOKUP("LULUCF|NOx|Non-fatal heart attacks", US_national_yearly!$D:$AM, 10, FALSE), 1)</f>
        <v>1.2346471381873486E-5</v>
      </c>
      <c r="T13" s="7">
        <f>$B13 * IFERROR(VLOOKUP("LULUCF|NOx|Non-fatal heart attacks", US_national_yearly!$D:$AM, 28, FALSE) / VLOOKUP("LULUCF|NOx|Non-fatal heart attacks", US_national_yearly!$D:$AM, 10, FALSE), 1)</f>
        <v>1.2399346196894095E-5</v>
      </c>
      <c r="U13" s="7">
        <f>$B13 * IFERROR(VLOOKUP("LULUCF|NOx|Non-fatal heart attacks", US_national_yearly!$D:$AM, 29, FALSE) / VLOOKUP("LULUCF|NOx|Non-fatal heart attacks", US_national_yearly!$D:$AM, 10, FALSE), 1)</f>
        <v>1.2452221011914704E-5</v>
      </c>
      <c r="V13" s="7">
        <f>$B13 * IFERROR(VLOOKUP("LULUCF|NOx|Non-fatal heart attacks", US_national_yearly!$D:$AM, 30, FALSE) / VLOOKUP("LULUCF|NOx|Non-fatal heart attacks", US_national_yearly!$D:$AM, 10, FALSE), 1)</f>
        <v>1.2505095826935313E-5</v>
      </c>
      <c r="W13" s="7">
        <f>$B13 * IFERROR(VLOOKUP("LULUCF|NOx|Non-fatal heart attacks", US_national_yearly!$D:$AM, 31, FALSE) / VLOOKUP("LULUCF|NOx|Non-fatal heart attacks", US_national_yearly!$D:$AM, 10, FALSE), 1)</f>
        <v>1.2557970641955922E-5</v>
      </c>
      <c r="X13" s="7">
        <f>$B13 * IFERROR(VLOOKUP("LULUCF|NOx|Non-fatal heart attacks", US_national_yearly!$D:$AM, 32, FALSE) / VLOOKUP("LULUCF|NOx|Non-fatal heart attacks", US_national_yearly!$D:$AM, 10, FALSE), 1)</f>
        <v>1.259330437553084E-5</v>
      </c>
      <c r="Y13" s="7">
        <f>$B13 * IFERROR(VLOOKUP("LULUCF|NOx|Non-fatal heart attacks", US_national_yearly!$D:$AM, 33, FALSE) / VLOOKUP("LULUCF|NOx|Non-fatal heart attacks", US_national_yearly!$D:$AM, 10, FALSE), 1)</f>
        <v>1.262863810910576E-5</v>
      </c>
      <c r="Z13" s="7">
        <f>$B13 * IFERROR(VLOOKUP("LULUCF|NOx|Non-fatal heart attacks", US_national_yearly!$D:$AM, 34, FALSE) / VLOOKUP("LULUCF|NOx|Non-fatal heart attacks", US_national_yearly!$D:$AM, 10, FALSE), 1)</f>
        <v>1.2663971842680675E-5</v>
      </c>
      <c r="AA13" s="7">
        <f>$B13 * IFERROR(VLOOKUP("LULUCF|NOx|Non-fatal heart attacks", US_national_yearly!$D:$AM, 35, FALSE) / VLOOKUP("LULUCF|NOx|Non-fatal heart attacks", US_national_yearly!$D:$AM, 10, FALSE), 1)</f>
        <v>1.2699305576255593E-5</v>
      </c>
      <c r="AB13" s="7">
        <f>$B13 * IFERROR(VLOOKUP("LULUCF|NOx|Non-fatal heart attacks", US_national_yearly!$D:$AM, 36, FALSE) / VLOOKUP("LULUCF|NOx|Non-fatal heart attacks", US_national_yearly!$D:$AM, 10, FALSE), 1)</f>
        <v>1.2734639309830513E-5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6.4631261469611798E-3</v>
      </c>
      <c r="C14" s="7">
        <f>$B14 * IFERROR(VLOOKUP("LULUCF|NOx|Minor restricted activity days", US_national_yearly!$D:$AM, 11, FALSE) / VLOOKUP("LULUCF|NOx|Minor restricted activity days", US_national_yearly!$D:$AM, 10, FALSE), 1)</f>
        <v>6.4730352039773969E-3</v>
      </c>
      <c r="D14" s="7">
        <f>$B14 * IFERROR(VLOOKUP("LULUCF|NOx|Minor restricted activity days", US_national_yearly!$D:$AM, 12, FALSE) / VLOOKUP("LULUCF|NOx|Minor restricted activity days", US_national_yearly!$D:$AM, 10, FALSE), 1)</f>
        <v>6.4829442609936165E-3</v>
      </c>
      <c r="E14" s="7">
        <f>$B14 * IFERROR(VLOOKUP("LULUCF|NOx|Minor restricted activity days", US_national_yearly!$D:$AM, 13, FALSE) / VLOOKUP("LULUCF|NOx|Minor restricted activity days", US_national_yearly!$D:$AM, 10, FALSE), 1)</f>
        <v>6.4928533180098353E-3</v>
      </c>
      <c r="F14" s="7">
        <f>$B14 * IFERROR(VLOOKUP("LULUCF|NOx|Minor restricted activity days", US_national_yearly!$D:$AM, 14, FALSE) / VLOOKUP("LULUCF|NOx|Minor restricted activity days", US_national_yearly!$D:$AM, 10, FALSE), 1)</f>
        <v>6.5027623750260524E-3</v>
      </c>
      <c r="G14" s="7">
        <f>$B14 * IFERROR(VLOOKUP("LULUCF|NOx|Minor restricted activity days", US_national_yearly!$D:$AM, 15, FALSE) / VLOOKUP("LULUCF|NOx|Minor restricted activity days", US_national_yearly!$D:$AM, 10, FALSE), 1)</f>
        <v>6.5206557734391046E-3</v>
      </c>
      <c r="H14" s="7">
        <f>$B14 * IFERROR(VLOOKUP("LULUCF|NOx|Minor restricted activity days", US_national_yearly!$D:$AM, 16, FALSE) / VLOOKUP("LULUCF|NOx|Minor restricted activity days", US_national_yearly!$D:$AM, 10, FALSE), 1)</f>
        <v>6.5385491718521552E-3</v>
      </c>
      <c r="I14" s="7">
        <f>$B14 * IFERROR(VLOOKUP("LULUCF|NOx|Minor restricted activity days", US_national_yearly!$D:$AM, 17, FALSE) / VLOOKUP("LULUCF|NOx|Minor restricted activity days", US_national_yearly!$D:$AM, 10, FALSE), 1)</f>
        <v>6.5735479515698948E-3</v>
      </c>
      <c r="J14" s="7">
        <f>$B14 * IFERROR(VLOOKUP("LULUCF|NOx|Minor restricted activity days", US_national_yearly!$D:$AM, 18, FALSE) / VLOOKUP("LULUCF|NOx|Minor restricted activity days", US_national_yearly!$D:$AM, 10, FALSE), 1)</f>
        <v>6.6085467312876327E-3</v>
      </c>
      <c r="K14" s="7">
        <f>$B14 * IFERROR(VLOOKUP("LULUCF|NOx|Minor restricted activity days", US_national_yearly!$D:$AM, 19, FALSE) / VLOOKUP("LULUCF|NOx|Minor restricted activity days", US_national_yearly!$D:$AM, 10, FALSE), 1)</f>
        <v>6.6435455110053724E-3</v>
      </c>
      <c r="L14" s="7">
        <f>$B14 * IFERROR(VLOOKUP("LULUCF|NOx|Minor restricted activity days", US_national_yearly!$D:$AM, 20, FALSE) / VLOOKUP("LULUCF|NOx|Minor restricted activity days", US_national_yearly!$D:$AM, 10, FALSE), 1)</f>
        <v>6.6785442907231112E-3</v>
      </c>
      <c r="M14" s="7">
        <f>$B14 * IFERROR(VLOOKUP("LULUCF|NOx|Minor restricted activity days", US_national_yearly!$D:$AM, 21, FALSE) / VLOOKUP("LULUCF|NOx|Minor restricted activity days", US_national_yearly!$D:$AM, 10, FALSE), 1)</f>
        <v>6.71354307044085E-3</v>
      </c>
      <c r="N14" s="7">
        <f>$B14 * IFERROR(VLOOKUP("LULUCF|NOx|Minor restricted activity days", US_national_yearly!$D:$AM, 22, FALSE) / VLOOKUP("LULUCF|NOx|Minor restricted activity days", US_national_yearly!$D:$AM, 10, FALSE), 1)</f>
        <v>6.7636533871952365E-3</v>
      </c>
      <c r="O14" s="7">
        <f>$B14 * IFERROR(VLOOKUP("LULUCF|NOx|Minor restricted activity days", US_national_yearly!$D:$AM, 23, FALSE) / VLOOKUP("LULUCF|NOx|Minor restricted activity days", US_national_yearly!$D:$AM, 10, FALSE), 1)</f>
        <v>6.813763703949623E-3</v>
      </c>
      <c r="P14" s="7">
        <f>$B14 * IFERROR(VLOOKUP("LULUCF|NOx|Minor restricted activity days", US_national_yearly!$D:$AM, 24, FALSE) / VLOOKUP("LULUCF|NOx|Minor restricted activity days", US_national_yearly!$D:$AM, 10, FALSE), 1)</f>
        <v>6.8638740207040095E-3</v>
      </c>
      <c r="Q14" s="7">
        <f>$B14 * IFERROR(VLOOKUP("LULUCF|NOx|Minor restricted activity days", US_national_yearly!$D:$AM, 25, FALSE) / VLOOKUP("LULUCF|NOx|Minor restricted activity days", US_national_yearly!$D:$AM, 10, FALSE), 1)</f>
        <v>6.9139843374583969E-3</v>
      </c>
      <c r="R14" s="7">
        <f>$B14 * IFERROR(VLOOKUP("LULUCF|NOx|Minor restricted activity days", US_national_yearly!$D:$AM, 26, FALSE) / VLOOKUP("LULUCF|NOx|Minor restricted activity days", US_national_yearly!$D:$AM, 10, FALSE), 1)</f>
        <v>6.9640946542127834E-3</v>
      </c>
      <c r="S14" s="7">
        <f>$B14 * IFERROR(VLOOKUP("LULUCF|NOx|Minor restricted activity days", US_national_yearly!$D:$AM, 27, FALSE) / VLOOKUP("LULUCF|NOx|Minor restricted activity days", US_national_yearly!$D:$AM, 10, FALSE), 1)</f>
        <v>7.0141944353803252E-3</v>
      </c>
      <c r="T14" s="7">
        <f>$B14 * IFERROR(VLOOKUP("LULUCF|NOx|Minor restricted activity days", US_national_yearly!$D:$AM, 28, FALSE) / VLOOKUP("LULUCF|NOx|Minor restricted activity days", US_national_yearly!$D:$AM, 10, FALSE), 1)</f>
        <v>7.0642942165478661E-3</v>
      </c>
      <c r="U14" s="7">
        <f>$B14 * IFERROR(VLOOKUP("LULUCF|NOx|Minor restricted activity days", US_national_yearly!$D:$AM, 29, FALSE) / VLOOKUP("LULUCF|NOx|Minor restricted activity days", US_national_yearly!$D:$AM, 10, FALSE), 1)</f>
        <v>7.1143939977154087E-3</v>
      </c>
      <c r="V14" s="7">
        <f>$B14 * IFERROR(VLOOKUP("LULUCF|NOx|Minor restricted activity days", US_national_yearly!$D:$AM, 30, FALSE) / VLOOKUP("LULUCF|NOx|Minor restricted activity days", US_national_yearly!$D:$AM, 10, FALSE), 1)</f>
        <v>7.1644937788829504E-3</v>
      </c>
      <c r="W14" s="7">
        <f>$B14 * IFERROR(VLOOKUP("LULUCF|NOx|Minor restricted activity days", US_national_yearly!$D:$AM, 31, FALSE) / VLOOKUP("LULUCF|NOx|Minor restricted activity days", US_national_yearly!$D:$AM, 10, FALSE), 1)</f>
        <v>7.2145935600504913E-3</v>
      </c>
      <c r="X14" s="7">
        <f>$B14 * IFERROR(VLOOKUP("LULUCF|NOx|Minor restricted activity days", US_national_yearly!$D:$AM, 32, FALSE) / VLOOKUP("LULUCF|NOx|Minor restricted activity days", US_national_yearly!$D:$AM, 10, FALSE), 1)</f>
        <v>7.2569510164349083E-3</v>
      </c>
      <c r="Y14" s="7">
        <f>$B14 * IFERROR(VLOOKUP("LULUCF|NOx|Minor restricted activity days", US_national_yearly!$D:$AM, 33, FALSE) / VLOOKUP("LULUCF|NOx|Minor restricted activity days", US_national_yearly!$D:$AM, 10, FALSE), 1)</f>
        <v>7.2993084728193254E-3</v>
      </c>
      <c r="Z14" s="7">
        <f>$B14 * IFERROR(VLOOKUP("LULUCF|NOx|Minor restricted activity days", US_national_yearly!$D:$AM, 34, FALSE) / VLOOKUP("LULUCF|NOx|Minor restricted activity days", US_national_yearly!$D:$AM, 10, FALSE), 1)</f>
        <v>7.3416659292037424E-3</v>
      </c>
      <c r="AA14" s="7">
        <f>$B14 * IFERROR(VLOOKUP("LULUCF|NOx|Minor restricted activity days", US_national_yearly!$D:$AM, 35, FALSE) / VLOOKUP("LULUCF|NOx|Minor restricted activity days", US_national_yearly!$D:$AM, 10, FALSE), 1)</f>
        <v>7.3840233855881586E-3</v>
      </c>
      <c r="AB14" s="7">
        <f>$B14 * IFERROR(VLOOKUP("LULUCF|NOx|Minor restricted activity days", US_national_yearly!$D:$AM, 36, FALSE) / VLOOKUP("LULUCF|NOx|Minor restricted activity days", US_national_yearly!$D:$AM, 10, FALSE), 1)</f>
        <v>7.4263808419725756E-3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1.0950743029372709E-3</v>
      </c>
      <c r="C15" s="7">
        <f>$B15 * IFERROR(VLOOKUP("LULUCF|NOx|Work loss days", US_national_yearly!$D:$AM, 11, FALSE) / VLOOKUP("LULUCF|NOx|Work loss days", US_national_yearly!$D:$AM, 10, FALSE), 1)</f>
        <v>1.0975102368128787E-3</v>
      </c>
      <c r="D15" s="7">
        <f>$B15 * IFERROR(VLOOKUP("LULUCF|NOx|Work loss days", US_national_yearly!$D:$AM, 12, FALSE) / VLOOKUP("LULUCF|NOx|Work loss days", US_national_yearly!$D:$AM, 10, FALSE), 1)</f>
        <v>1.0999461706884866E-3</v>
      </c>
      <c r="E15" s="7">
        <f>$B15 * IFERROR(VLOOKUP("LULUCF|NOx|Work loss days", US_national_yearly!$D:$AM, 13, FALSE) / VLOOKUP("LULUCF|NOx|Work loss days", US_national_yearly!$D:$AM, 10, FALSE), 1)</f>
        <v>1.1023821045640944E-3</v>
      </c>
      <c r="F15" s="7">
        <f>$B15 * IFERROR(VLOOKUP("LULUCF|NOx|Work loss days", US_national_yearly!$D:$AM, 14, FALSE) / VLOOKUP("LULUCF|NOx|Work loss days", US_national_yearly!$D:$AM, 10, FALSE), 1)</f>
        <v>1.1048180384397024E-3</v>
      </c>
      <c r="G15" s="7">
        <f>$B15 * IFERROR(VLOOKUP("LULUCF|NOx|Work loss days", US_national_yearly!$D:$AM, 15, FALSE) / VLOOKUP("LULUCF|NOx|Work loss days", US_national_yearly!$D:$AM, 10, FALSE), 1)</f>
        <v>1.1083745226776875E-3</v>
      </c>
      <c r="H15" s="7">
        <f>$B15 * IFERROR(VLOOKUP("LULUCF|NOx|Work loss days", US_national_yearly!$D:$AM, 16, FALSE) / VLOOKUP("LULUCF|NOx|Work loss days", US_national_yearly!$D:$AM, 10, FALSE), 1)</f>
        <v>1.1119310069156727E-3</v>
      </c>
      <c r="I15" s="7">
        <f>$B15 * IFERROR(VLOOKUP("LULUCF|NOx|Work loss days", US_national_yearly!$D:$AM, 17, FALSE) / VLOOKUP("LULUCF|NOx|Work loss days", US_national_yearly!$D:$AM, 10, FALSE), 1)</f>
        <v>1.1176923186332179E-3</v>
      </c>
      <c r="J15" s="7">
        <f>$B15 * IFERROR(VLOOKUP("LULUCF|NOx|Work loss days", US_national_yearly!$D:$AM, 18, FALSE) / VLOOKUP("LULUCF|NOx|Work loss days", US_national_yearly!$D:$AM, 10, FALSE), 1)</f>
        <v>1.1234536303507635E-3</v>
      </c>
      <c r="K15" s="7">
        <f>$B15 * IFERROR(VLOOKUP("LULUCF|NOx|Work loss days", US_national_yearly!$D:$AM, 19, FALSE) / VLOOKUP("LULUCF|NOx|Work loss days", US_national_yearly!$D:$AM, 10, FALSE), 1)</f>
        <v>1.1292149420683089E-3</v>
      </c>
      <c r="L15" s="7">
        <f>$B15 * IFERROR(VLOOKUP("LULUCF|NOx|Work loss days", US_national_yearly!$D:$AM, 20, FALSE) / VLOOKUP("LULUCF|NOx|Work loss days", US_national_yearly!$D:$AM, 10, FALSE), 1)</f>
        <v>1.1349762537858541E-3</v>
      </c>
      <c r="M15" s="7">
        <f>$B15 * IFERROR(VLOOKUP("LULUCF|NOx|Work loss days", US_national_yearly!$D:$AM, 21, FALSE) / VLOOKUP("LULUCF|NOx|Work loss days", US_national_yearly!$D:$AM, 10, FALSE), 1)</f>
        <v>1.1407375655033997E-3</v>
      </c>
      <c r="N15" s="7">
        <f>$B15 * IFERROR(VLOOKUP("LULUCF|NOx|Work loss days", US_national_yearly!$D:$AM, 22, FALSE) / VLOOKUP("LULUCF|NOx|Work loss days", US_national_yearly!$D:$AM, 10, FALSE), 1)</f>
        <v>1.1482355591739507E-3</v>
      </c>
      <c r="O15" s="7">
        <f>$B15 * IFERROR(VLOOKUP("LULUCF|NOx|Work loss days", US_national_yearly!$D:$AM, 23, FALSE) / VLOOKUP("LULUCF|NOx|Work loss days", US_national_yearly!$D:$AM, 10, FALSE), 1)</f>
        <v>1.1557335528445014E-3</v>
      </c>
      <c r="P15" s="7">
        <f>$B15 * IFERROR(VLOOKUP("LULUCF|NOx|Work loss days", US_national_yearly!$D:$AM, 24, FALSE) / VLOOKUP("LULUCF|NOx|Work loss days", US_national_yearly!$D:$AM, 10, FALSE), 1)</f>
        <v>1.1632315465150524E-3</v>
      </c>
      <c r="Q15" s="7">
        <f>$B15 * IFERROR(VLOOKUP("LULUCF|NOx|Work loss days", US_national_yearly!$D:$AM, 25, FALSE) / VLOOKUP("LULUCF|NOx|Work loss days", US_national_yearly!$D:$AM, 10, FALSE), 1)</f>
        <v>1.1707295401856032E-3</v>
      </c>
      <c r="R15" s="7">
        <f>$B15 * IFERROR(VLOOKUP("LULUCF|NOx|Work loss days", US_national_yearly!$D:$AM, 26, FALSE) / VLOOKUP("LULUCF|NOx|Work loss days", US_national_yearly!$D:$AM, 10, FALSE), 1)</f>
        <v>1.1782275338561544E-3</v>
      </c>
      <c r="S15" s="7">
        <f>$B15 * IFERROR(VLOOKUP("LULUCF|NOx|Work loss days", US_national_yearly!$D:$AM, 27, FALSE) / VLOOKUP("LULUCF|NOx|Work loss days", US_national_yearly!$D:$AM, 10, FALSE), 1)</f>
        <v>1.1865868380903169E-3</v>
      </c>
      <c r="T15" s="7">
        <f>$B15 * IFERROR(VLOOKUP("LULUCF|NOx|Work loss days", US_national_yearly!$D:$AM, 28, FALSE) / VLOOKUP("LULUCF|NOx|Work loss days", US_national_yearly!$D:$AM, 10, FALSE), 1)</f>
        <v>1.1949461423244794E-3</v>
      </c>
      <c r="U15" s="7">
        <f>$B15 * IFERROR(VLOOKUP("LULUCF|NOx|Work loss days", US_national_yearly!$D:$AM, 29, FALSE) / VLOOKUP("LULUCF|NOx|Work loss days", US_national_yearly!$D:$AM, 10, FALSE), 1)</f>
        <v>1.2033054465586416E-3</v>
      </c>
      <c r="V15" s="7">
        <f>$B15 * IFERROR(VLOOKUP("LULUCF|NOx|Work loss days", US_national_yearly!$D:$AM, 30, FALSE) / VLOOKUP("LULUCF|NOx|Work loss days", US_national_yearly!$D:$AM, 10, FALSE), 1)</f>
        <v>1.2116647507928041E-3</v>
      </c>
      <c r="W15" s="7">
        <f>$B15 * IFERROR(VLOOKUP("LULUCF|NOx|Work loss days", US_national_yearly!$D:$AM, 31, FALSE) / VLOOKUP("LULUCF|NOx|Work loss days", US_national_yearly!$D:$AM, 10, FALSE), 1)</f>
        <v>1.2200240550269666E-3</v>
      </c>
      <c r="X15" s="7">
        <f>$B15 * IFERROR(VLOOKUP("LULUCF|NOx|Work loss days", US_national_yearly!$D:$AM, 32, FALSE) / VLOOKUP("LULUCF|NOx|Work loss days", US_national_yearly!$D:$AM, 10, FALSE), 1)</f>
        <v>1.2272794854113643E-3</v>
      </c>
      <c r="Y15" s="7">
        <f>$B15 * IFERROR(VLOOKUP("LULUCF|NOx|Work loss days", US_national_yearly!$D:$AM, 33, FALSE) / VLOOKUP("LULUCF|NOx|Work loss days", US_national_yearly!$D:$AM, 10, FALSE), 1)</f>
        <v>1.2345349157957622E-3</v>
      </c>
      <c r="Z15" s="7">
        <f>$B15 * IFERROR(VLOOKUP("LULUCF|NOx|Work loss days", US_national_yearly!$D:$AM, 34, FALSE) / VLOOKUP("LULUCF|NOx|Work loss days", US_national_yearly!$D:$AM, 10, FALSE), 1)</f>
        <v>1.2417903461801598E-3</v>
      </c>
      <c r="AA15" s="7">
        <f>$B15 * IFERROR(VLOOKUP("LULUCF|NOx|Work loss days", US_national_yearly!$D:$AM, 35, FALSE) / VLOOKUP("LULUCF|NOx|Work loss days", US_national_yearly!$D:$AM, 10, FALSE), 1)</f>
        <v>1.2490457765645577E-3</v>
      </c>
      <c r="AB15" s="7">
        <f>$B15 * IFERROR(VLOOKUP("LULUCF|NOx|Work loss days", US_national_yearly!$D:$AM, 36, FALSE) / VLOOKUP("LULUCF|NOx|Work loss days", US_national_yearly!$D:$AM, 10, FALSE), 1)</f>
        <v>1.2563012069489554E-3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2.2929283643274084E-6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2.3603052198655076E-6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2.4276820754036061E-6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2.4950589309417049E-6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2.5624357864798042E-6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2.6264326568205647E-6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2.6904295271613261E-6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2.7442459580380237E-6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2.7980623889147209E-6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2.8518788197914186E-6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2.9056952506681162E-6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2.9595116815448138E-6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2.9931648789679239E-6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3.0268180763910339E-6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3.0604712738141436E-6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3.094124471237254E-6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3.1277776686603636E-6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3.1431326985115501E-6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3.1584877283627371E-6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3.1738427582139236E-6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3.1891977880651101E-6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3.204552817916297E-6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3.2130984243814532E-6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3.2216440308466095E-6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3.2301896373117657E-6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3.238735243776922E-6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3.2472808502420782E-6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2.4161149189504576E-5</v>
      </c>
      <c r="C2" s="7">
        <f>$B2 * IFERROR(VLOOKUP("LULUCF|SO2|Premature mortality", US_national_yearly!$D:$AM, 11, FALSE) / VLOOKUP("LULUCF|SO2|Premature mortality", US_national_yearly!$D:$AM, 10, FALSE), 1)</f>
        <v>2.4467137071251215E-5</v>
      </c>
      <c r="D2" s="7">
        <f>$B2 * IFERROR(VLOOKUP("LULUCF|SO2|Premature mortality", US_national_yearly!$D:$AM, 12, FALSE) / VLOOKUP("LULUCF|SO2|Premature mortality", US_national_yearly!$D:$AM, 10, FALSE), 1)</f>
        <v>2.4773124952997861E-5</v>
      </c>
      <c r="E2" s="7">
        <f>$B2 * IFERROR(VLOOKUP("LULUCF|SO2|Premature mortality", US_national_yearly!$D:$AM, 13, FALSE) / VLOOKUP("LULUCF|SO2|Premature mortality", US_national_yearly!$D:$AM, 10, FALSE), 1)</f>
        <v>2.50791128347445E-5</v>
      </c>
      <c r="F2" s="7">
        <f>$B2 * IFERROR(VLOOKUP("LULUCF|SO2|Premature mortality", US_national_yearly!$D:$AM, 14, FALSE) / VLOOKUP("LULUCF|SO2|Premature mortality", US_national_yearly!$D:$AM, 10, FALSE), 1)</f>
        <v>2.5385100716491138E-5</v>
      </c>
      <c r="G2" s="7">
        <f>$B2 * IFERROR(VLOOKUP("LULUCF|SO2|Premature mortality", US_national_yearly!$D:$AM, 15, FALSE) / VLOOKUP("LULUCF|SO2|Premature mortality", US_national_yearly!$D:$AM, 10, FALSE), 1)</f>
        <v>2.5974722023105071E-5</v>
      </c>
      <c r="H2" s="7">
        <f>$B2 * IFERROR(VLOOKUP("LULUCF|SO2|Premature mortality", US_national_yearly!$D:$AM, 16, FALSE) / VLOOKUP("LULUCF|SO2|Premature mortality", US_national_yearly!$D:$AM, 10, FALSE), 1)</f>
        <v>2.6564343329718993E-5</v>
      </c>
      <c r="I2" s="7">
        <f>$B2 * IFERROR(VLOOKUP("LULUCF|SO2|Premature mortality", US_national_yearly!$D:$AM, 17, FALSE) / VLOOKUP("LULUCF|SO2|Premature mortality", US_national_yearly!$D:$AM, 10, FALSE), 1)</f>
        <v>2.6954001217596871E-5</v>
      </c>
      <c r="J2" s="7">
        <f>$B2 * IFERROR(VLOOKUP("LULUCF|SO2|Premature mortality", US_national_yearly!$D:$AM, 18, FALSE) / VLOOKUP("LULUCF|SO2|Premature mortality", US_national_yearly!$D:$AM, 10, FALSE), 1)</f>
        <v>2.7343659105474753E-5</v>
      </c>
      <c r="K2" s="7">
        <f>$B2 * IFERROR(VLOOKUP("LULUCF|SO2|Premature mortality", US_national_yearly!$D:$AM, 19, FALSE) / VLOOKUP("LULUCF|SO2|Premature mortality", US_national_yearly!$D:$AM, 10, FALSE), 1)</f>
        <v>2.7733316993352625E-5</v>
      </c>
      <c r="L2" s="7">
        <f>$B2 * IFERROR(VLOOKUP("LULUCF|SO2|Premature mortality", US_national_yearly!$D:$AM, 20, FALSE) / VLOOKUP("LULUCF|SO2|Premature mortality", US_national_yearly!$D:$AM, 10, FALSE), 1)</f>
        <v>2.8122974881230507E-5</v>
      </c>
      <c r="M2" s="7">
        <f>$B2 * IFERROR(VLOOKUP("LULUCF|SO2|Premature mortality", US_national_yearly!$D:$AM, 21, FALSE) / VLOOKUP("LULUCF|SO2|Premature mortality", US_national_yearly!$D:$AM, 10, FALSE), 1)</f>
        <v>2.8512632769108386E-5</v>
      </c>
      <c r="N2" s="7">
        <f>$B2 * IFERROR(VLOOKUP("LULUCF|SO2|Premature mortality", US_national_yearly!$D:$AM, 22, FALSE) / VLOOKUP("LULUCF|SO2|Premature mortality", US_national_yearly!$D:$AM, 10, FALSE), 1)</f>
        <v>2.8817090306589831E-5</v>
      </c>
      <c r="O2" s="7">
        <f>$B2 * IFERROR(VLOOKUP("LULUCF|SO2|Premature mortality", US_national_yearly!$D:$AM, 23, FALSE) / VLOOKUP("LULUCF|SO2|Premature mortality", US_national_yearly!$D:$AM, 10, FALSE), 1)</f>
        <v>2.912154784407128E-5</v>
      </c>
      <c r="P2" s="7">
        <f>$B2 * IFERROR(VLOOKUP("LULUCF|SO2|Premature mortality", US_national_yearly!$D:$AM, 24, FALSE) / VLOOKUP("LULUCF|SO2|Premature mortality", US_national_yearly!$D:$AM, 10, FALSE), 1)</f>
        <v>2.9426005381552726E-5</v>
      </c>
      <c r="Q2" s="7">
        <f>$B2 * IFERROR(VLOOKUP("LULUCF|SO2|Premature mortality", US_national_yearly!$D:$AM, 25, FALSE) / VLOOKUP("LULUCF|SO2|Premature mortality", US_national_yearly!$D:$AM, 10, FALSE), 1)</f>
        <v>2.9730462919034172E-5</v>
      </c>
      <c r="R2" s="7">
        <f>$B2 * IFERROR(VLOOKUP("LULUCF|SO2|Premature mortality", US_national_yearly!$D:$AM, 26, FALSE) / VLOOKUP("LULUCF|SO2|Premature mortality", US_national_yearly!$D:$AM, 10, FALSE), 1)</f>
        <v>3.0034920456515614E-5</v>
      </c>
      <c r="S2" s="7">
        <f>$B2 * IFERROR(VLOOKUP("LULUCF|SO2|Premature mortality", US_national_yearly!$D:$AM, 27, FALSE) / VLOOKUP("LULUCF|SO2|Premature mortality", US_national_yearly!$D:$AM, 10, FALSE), 1)</f>
        <v>3.0197961521749705E-5</v>
      </c>
      <c r="T2" s="7">
        <f>$B2 * IFERROR(VLOOKUP("LULUCF|SO2|Premature mortality", US_national_yearly!$D:$AM, 28, FALSE) / VLOOKUP("LULUCF|SO2|Premature mortality", US_national_yearly!$D:$AM, 10, FALSE), 1)</f>
        <v>3.0361002586983788E-5</v>
      </c>
      <c r="U2" s="7">
        <f>$B2 * IFERROR(VLOOKUP("LULUCF|SO2|Premature mortality", US_national_yearly!$D:$AM, 29, FALSE) / VLOOKUP("LULUCF|SO2|Premature mortality", US_national_yearly!$D:$AM, 10, FALSE), 1)</f>
        <v>3.0524043652217875E-5</v>
      </c>
      <c r="V2" s="7">
        <f>$B2 * IFERROR(VLOOKUP("LULUCF|SO2|Premature mortality", US_national_yearly!$D:$AM, 30, FALSE) / VLOOKUP("LULUCF|SO2|Premature mortality", US_national_yearly!$D:$AM, 10, FALSE), 1)</f>
        <v>3.0687084717451959E-5</v>
      </c>
      <c r="W2" s="7">
        <f>$B2 * IFERROR(VLOOKUP("LULUCF|SO2|Premature mortality", US_national_yearly!$D:$AM, 31, FALSE) / VLOOKUP("LULUCF|SO2|Premature mortality", US_national_yearly!$D:$AM, 10, FALSE), 1)</f>
        <v>3.0850125782686049E-5</v>
      </c>
      <c r="X2" s="7">
        <f>$B2 * IFERROR(VLOOKUP("LULUCF|SO2|Premature mortality", US_national_yearly!$D:$AM, 32, FALSE) / VLOOKUP("LULUCF|SO2|Premature mortality", US_national_yearly!$D:$AM, 10, FALSE), 1)</f>
        <v>3.0883248073793464E-5</v>
      </c>
      <c r="Y2" s="7">
        <f>$B2 * IFERROR(VLOOKUP("LULUCF|SO2|Premature mortality", US_national_yearly!$D:$AM, 33, FALSE) / VLOOKUP("LULUCF|SO2|Premature mortality", US_national_yearly!$D:$AM, 10, FALSE), 1)</f>
        <v>3.0916370364900885E-5</v>
      </c>
      <c r="Z2" s="7">
        <f>$B2 * IFERROR(VLOOKUP("LULUCF|SO2|Premature mortality", US_national_yearly!$D:$AM, 34, FALSE) / VLOOKUP("LULUCF|SO2|Premature mortality", US_national_yearly!$D:$AM, 10, FALSE), 1)</f>
        <v>3.0949492656008312E-5</v>
      </c>
      <c r="AA2" s="7">
        <f>$B2 * IFERROR(VLOOKUP("LULUCF|SO2|Premature mortality", US_national_yearly!$D:$AM, 35, FALSE) / VLOOKUP("LULUCF|SO2|Premature mortality", US_national_yearly!$D:$AM, 10, FALSE), 1)</f>
        <v>3.0982614947115733E-5</v>
      </c>
      <c r="AB2" s="7">
        <f>$B2 * IFERROR(VLOOKUP("LULUCF|SO2|Premature mortality", US_national_yearly!$D:$AM, 36, FALSE) / VLOOKUP("LULUCF|SO2|Premature mortality", US_national_yearly!$D:$AM, 10, FALSE), 1)</f>
        <v>3.1015737238223154E-5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7.5074728563359544E-8</v>
      </c>
      <c r="C3" s="7">
        <f>$B3 * IFERROR(VLOOKUP("LULUCF|SO2|Infant mortality", US_national_yearly!$D:$AM, 11, FALSE) / VLOOKUP("LULUCF|SO2|Infant mortality", US_national_yearly!$D:$AM, 10, FALSE), 1)</f>
        <v>7.4429822950951557E-8</v>
      </c>
      <c r="D3" s="7">
        <f>$B3 * IFERROR(VLOOKUP("LULUCF|SO2|Infant mortality", US_national_yearly!$D:$AM, 12, FALSE) / VLOOKUP("LULUCF|SO2|Infant mortality", US_national_yearly!$D:$AM, 10, FALSE), 1)</f>
        <v>7.3784917338543583E-8</v>
      </c>
      <c r="E3" s="7">
        <f>$B3 * IFERROR(VLOOKUP("LULUCF|SO2|Infant mortality", US_national_yearly!$D:$AM, 13, FALSE) / VLOOKUP("LULUCF|SO2|Infant mortality", US_national_yearly!$D:$AM, 10, FALSE), 1)</f>
        <v>7.3140011726135583E-8</v>
      </c>
      <c r="F3" s="7">
        <f>$B3 * IFERROR(VLOOKUP("LULUCF|SO2|Infant mortality", US_national_yearly!$D:$AM, 14, FALSE) / VLOOKUP("LULUCF|SO2|Infant mortality", US_national_yearly!$D:$AM, 10, FALSE), 1)</f>
        <v>7.2495106113727609E-8</v>
      </c>
      <c r="G3" s="7">
        <f>$B3 * IFERROR(VLOOKUP("LULUCF|SO2|Infant mortality", US_national_yearly!$D:$AM, 15, FALSE) / VLOOKUP("LULUCF|SO2|Infant mortality", US_national_yearly!$D:$AM, 10, FALSE), 1)</f>
        <v>4.8287579542181339E-8</v>
      </c>
      <c r="H3" s="7">
        <f>$B3 * IFERROR(VLOOKUP("LULUCF|SO2|Infant mortality", US_national_yearly!$D:$AM, 16, FALSE) / VLOOKUP("LULUCF|SO2|Infant mortality", US_national_yearly!$D:$AM, 10, FALSE), 1)</f>
        <v>2.4080052970635116E-8</v>
      </c>
      <c r="I3" s="7">
        <f>$B3 * IFERROR(VLOOKUP("LULUCF|SO2|Infant mortality", US_national_yearly!$D:$AM, 17, FALSE) / VLOOKUP("LULUCF|SO2|Infant mortality", US_national_yearly!$D:$AM, 10, FALSE), 1)</f>
        <v>2.3928991526798641E-8</v>
      </c>
      <c r="J3" s="7">
        <f>$B3 * IFERROR(VLOOKUP("LULUCF|SO2|Infant mortality", US_national_yearly!$D:$AM, 18, FALSE) / VLOOKUP("LULUCF|SO2|Infant mortality", US_national_yearly!$D:$AM, 10, FALSE), 1)</f>
        <v>2.3777930082962166E-8</v>
      </c>
      <c r="K3" s="7">
        <f>$B3 * IFERROR(VLOOKUP("LULUCF|SO2|Infant mortality", US_national_yearly!$D:$AM, 19, FALSE) / VLOOKUP("LULUCF|SO2|Infant mortality", US_national_yearly!$D:$AM, 10, FALSE), 1)</f>
        <v>2.3626868639125694E-8</v>
      </c>
      <c r="L3" s="7">
        <f>$B3 * IFERROR(VLOOKUP("LULUCF|SO2|Infant mortality", US_national_yearly!$D:$AM, 20, FALSE) / VLOOKUP("LULUCF|SO2|Infant mortality", US_national_yearly!$D:$AM, 10, FALSE), 1)</f>
        <v>2.3475807195289222E-8</v>
      </c>
      <c r="M3" s="7">
        <f>$B3 * IFERROR(VLOOKUP("LULUCF|SO2|Infant mortality", US_national_yearly!$D:$AM, 21, FALSE) / VLOOKUP("LULUCF|SO2|Infant mortality", US_national_yearly!$D:$AM, 10, FALSE), 1)</f>
        <v>2.3324745751452747E-8</v>
      </c>
      <c r="N3" s="7">
        <f>$B3 * IFERROR(VLOOKUP("LULUCF|SO2|Infant mortality", US_national_yearly!$D:$AM, 22, FALSE) / VLOOKUP("LULUCF|SO2|Infant mortality", US_national_yearly!$D:$AM, 10, FALSE), 1)</f>
        <v>2.3229925614102599E-8</v>
      </c>
      <c r="O3" s="7">
        <f>$B3 * IFERROR(VLOOKUP("LULUCF|SO2|Infant mortality", US_national_yearly!$D:$AM, 23, FALSE) / VLOOKUP("LULUCF|SO2|Infant mortality", US_national_yearly!$D:$AM, 10, FALSE), 1)</f>
        <v>2.313510547675245E-8</v>
      </c>
      <c r="P3" s="7">
        <f>$B3 * IFERROR(VLOOKUP("LULUCF|SO2|Infant mortality", US_national_yearly!$D:$AM, 24, FALSE) / VLOOKUP("LULUCF|SO2|Infant mortality", US_national_yearly!$D:$AM, 10, FALSE), 1)</f>
        <v>2.3040285339402295E-8</v>
      </c>
      <c r="Q3" s="7">
        <f>$B3 * IFERROR(VLOOKUP("LULUCF|SO2|Infant mortality", US_national_yearly!$D:$AM, 25, FALSE) / VLOOKUP("LULUCF|SO2|Infant mortality", US_national_yearly!$D:$AM, 10, FALSE), 1)</f>
        <v>2.2945465202052146E-8</v>
      </c>
      <c r="R3" s="7">
        <f>$B3 * IFERROR(VLOOKUP("LULUCF|SO2|Infant mortality", US_national_yearly!$D:$AM, 26, FALSE) / VLOOKUP("LULUCF|SO2|Infant mortality", US_national_yearly!$D:$AM, 10, FALSE), 1)</f>
        <v>2.2850645064701995E-8</v>
      </c>
      <c r="S3" s="7">
        <f>$B3 * IFERROR(VLOOKUP("LULUCF|SO2|Infant mortality", US_national_yearly!$D:$AM, 27, FALSE) / VLOOKUP("LULUCF|SO2|Infant mortality", US_national_yearly!$D:$AM, 10, FALSE), 1)</f>
        <v>2.2731592605692462E-8</v>
      </c>
      <c r="T3" s="7">
        <f>$B3 * IFERROR(VLOOKUP("LULUCF|SO2|Infant mortality", US_national_yearly!$D:$AM, 28, FALSE) / VLOOKUP("LULUCF|SO2|Infant mortality", US_national_yearly!$D:$AM, 10, FALSE), 1)</f>
        <v>2.2612540146682927E-8</v>
      </c>
      <c r="U3" s="7">
        <f>$B3 * IFERROR(VLOOKUP("LULUCF|SO2|Infant mortality", US_national_yearly!$D:$AM, 29, FALSE) / VLOOKUP("LULUCF|SO2|Infant mortality", US_national_yearly!$D:$AM, 10, FALSE), 1)</f>
        <v>2.2493487687673388E-8</v>
      </c>
      <c r="V3" s="7">
        <f>$B3 * IFERROR(VLOOKUP("LULUCF|SO2|Infant mortality", US_national_yearly!$D:$AM, 30, FALSE) / VLOOKUP("LULUCF|SO2|Infant mortality", US_national_yearly!$D:$AM, 10, FALSE), 1)</f>
        <v>2.2374435228663858E-8</v>
      </c>
      <c r="W3" s="7">
        <f>$B3 * IFERROR(VLOOKUP("LULUCF|SO2|Infant mortality", US_national_yearly!$D:$AM, 31, FALSE) / VLOOKUP("LULUCF|SO2|Infant mortality", US_national_yearly!$D:$AM, 10, FALSE), 1)</f>
        <v>2.2255382769654323E-8</v>
      </c>
      <c r="X3" s="7">
        <f>$B3 * IFERROR(VLOOKUP("LULUCF|SO2|Infant mortality", US_national_yearly!$D:$AM, 32, FALSE) / VLOOKUP("LULUCF|SO2|Infant mortality", US_national_yearly!$D:$AM, 10, FALSE), 1)</f>
        <v>2.2125221683787727E-8</v>
      </c>
      <c r="Y3" s="7">
        <f>$B3 * IFERROR(VLOOKUP("LULUCF|SO2|Infant mortality", US_national_yearly!$D:$AM, 33, FALSE) / VLOOKUP("LULUCF|SO2|Infant mortality", US_national_yearly!$D:$AM, 10, FALSE), 1)</f>
        <v>2.1995060597921125E-8</v>
      </c>
      <c r="Z3" s="7">
        <f>$B3 * IFERROR(VLOOKUP("LULUCF|SO2|Infant mortality", US_national_yearly!$D:$AM, 34, FALSE) / VLOOKUP("LULUCF|SO2|Infant mortality", US_national_yearly!$D:$AM, 10, FALSE), 1)</f>
        <v>2.186489951205453E-8</v>
      </c>
      <c r="AA3" s="7">
        <f>$B3 * IFERROR(VLOOKUP("LULUCF|SO2|Infant mortality", US_national_yearly!$D:$AM, 35, FALSE) / VLOOKUP("LULUCF|SO2|Infant mortality", US_national_yearly!$D:$AM, 10, FALSE), 1)</f>
        <v>2.1734738426187928E-8</v>
      </c>
      <c r="AB3" s="7">
        <f>$B3 * IFERROR(VLOOKUP("LULUCF|SO2|Infant mortality", US_national_yearly!$D:$AM, 36, FALSE) / VLOOKUP("LULUCF|SO2|Infant mortality", US_national_yearly!$D:$AM, 10, FALSE), 1)</f>
        <v>2.1604577340321336E-8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5.847011849330298E-5</v>
      </c>
      <c r="C6" s="7">
        <f>$B6 * IFERROR(VLOOKUP("LULUCF|SO2|Asthma symptoms cough", US_national_yearly!$D:$AM, 11, FALSE) / VLOOKUP("LULUCF|SO2|Asthma symptoms cough", US_national_yearly!$D:$AM, 10, FALSE), 1)</f>
        <v>5.847011849330298E-5</v>
      </c>
      <c r="D6" s="7">
        <f>$B6 * IFERROR(VLOOKUP("LULUCF|SO2|Asthma symptoms cough", US_national_yearly!$D:$AM, 12, FALSE) / VLOOKUP("LULUCF|SO2|Asthma symptoms cough", US_national_yearly!$D:$AM, 10, FALSE), 1)</f>
        <v>5.847011849330298E-5</v>
      </c>
      <c r="E6" s="7">
        <f>$B6 * IFERROR(VLOOKUP("LULUCF|SO2|Asthma symptoms cough", US_national_yearly!$D:$AM, 13, FALSE) / VLOOKUP("LULUCF|SO2|Asthma symptoms cough", US_national_yearly!$D:$AM, 10, FALSE), 1)</f>
        <v>5.847011849330298E-5</v>
      </c>
      <c r="F6" s="7">
        <f>$B6 * IFERROR(VLOOKUP("LULUCF|SO2|Asthma symptoms cough", US_national_yearly!$D:$AM, 14, FALSE) / VLOOKUP("LULUCF|SO2|Asthma symptoms cough", US_national_yearly!$D:$AM, 10, FALSE), 1)</f>
        <v>5.847011849330298E-5</v>
      </c>
      <c r="G6" s="7">
        <f>$B6 * IFERROR(VLOOKUP("LULUCF|SO2|Asthma symptoms cough", US_national_yearly!$D:$AM, 15, FALSE) / VLOOKUP("LULUCF|SO2|Asthma symptoms cough", US_national_yearly!$D:$AM, 10, FALSE), 1)</f>
        <v>5.847011849330298E-5</v>
      </c>
      <c r="H6" s="7">
        <f>$B6 * IFERROR(VLOOKUP("LULUCF|SO2|Asthma symptoms cough", US_national_yearly!$D:$AM, 16, FALSE) / VLOOKUP("LULUCF|SO2|Asthma symptoms cough", US_national_yearly!$D:$AM, 10, FALSE), 1)</f>
        <v>5.847011849330298E-5</v>
      </c>
      <c r="I6" s="7">
        <f>$B6 * IFERROR(VLOOKUP("LULUCF|SO2|Asthma symptoms cough", US_national_yearly!$D:$AM, 17, FALSE) / VLOOKUP("LULUCF|SO2|Asthma symptoms cough", US_national_yearly!$D:$AM, 10, FALSE), 1)</f>
        <v>5.847011849330298E-5</v>
      </c>
      <c r="J6" s="7">
        <f>$B6 * IFERROR(VLOOKUP("LULUCF|SO2|Asthma symptoms cough", US_national_yearly!$D:$AM, 18, FALSE) / VLOOKUP("LULUCF|SO2|Asthma symptoms cough", US_national_yearly!$D:$AM, 10, FALSE), 1)</f>
        <v>5.847011849330298E-5</v>
      </c>
      <c r="K6" s="7">
        <f>$B6 * IFERROR(VLOOKUP("LULUCF|SO2|Asthma symptoms cough", US_national_yearly!$D:$AM, 19, FALSE) / VLOOKUP("LULUCF|SO2|Asthma symptoms cough", US_national_yearly!$D:$AM, 10, FALSE), 1)</f>
        <v>5.847011849330298E-5</v>
      </c>
      <c r="L6" s="7">
        <f>$B6 * IFERROR(VLOOKUP("LULUCF|SO2|Asthma symptoms cough", US_national_yearly!$D:$AM, 20, FALSE) / VLOOKUP("LULUCF|SO2|Asthma symptoms cough", US_national_yearly!$D:$AM, 10, FALSE), 1)</f>
        <v>5.847011849330298E-5</v>
      </c>
      <c r="M6" s="7">
        <f>$B6 * IFERROR(VLOOKUP("LULUCF|SO2|Asthma symptoms cough", US_national_yearly!$D:$AM, 21, FALSE) / VLOOKUP("LULUCF|SO2|Asthma symptoms cough", US_national_yearly!$D:$AM, 10, FALSE), 1)</f>
        <v>5.847011849330298E-5</v>
      </c>
      <c r="N6" s="7">
        <f>$B6 * IFERROR(VLOOKUP("LULUCF|SO2|Asthma symptoms cough", US_national_yearly!$D:$AM, 22, FALSE) / VLOOKUP("LULUCF|SO2|Asthma symptoms cough", US_national_yearly!$D:$AM, 10, FALSE), 1)</f>
        <v>5.847011849330298E-5</v>
      </c>
      <c r="O6" s="7">
        <f>$B6 * IFERROR(VLOOKUP("LULUCF|SO2|Asthma symptoms cough", US_national_yearly!$D:$AM, 23, FALSE) / VLOOKUP("LULUCF|SO2|Asthma symptoms cough", US_national_yearly!$D:$AM, 10, FALSE), 1)</f>
        <v>5.847011849330298E-5</v>
      </c>
      <c r="P6" s="7">
        <f>$B6 * IFERROR(VLOOKUP("LULUCF|SO2|Asthma symptoms cough", US_national_yearly!$D:$AM, 24, FALSE) / VLOOKUP("LULUCF|SO2|Asthma symptoms cough", US_national_yearly!$D:$AM, 10, FALSE), 1)</f>
        <v>5.847011849330298E-5</v>
      </c>
      <c r="Q6" s="7">
        <f>$B6 * IFERROR(VLOOKUP("LULUCF|SO2|Asthma symptoms cough", US_national_yearly!$D:$AM, 25, FALSE) / VLOOKUP("LULUCF|SO2|Asthma symptoms cough", US_national_yearly!$D:$AM, 10, FALSE), 1)</f>
        <v>5.847011849330298E-5</v>
      </c>
      <c r="R6" s="7">
        <f>$B6 * IFERROR(VLOOKUP("LULUCF|SO2|Asthma symptoms cough", US_national_yearly!$D:$AM, 26, FALSE) / VLOOKUP("LULUCF|SO2|Asthma symptoms cough", US_national_yearly!$D:$AM, 10, FALSE), 1)</f>
        <v>5.847011849330298E-5</v>
      </c>
      <c r="S6" s="7">
        <f>$B6 * IFERROR(VLOOKUP("LULUCF|SO2|Asthma symptoms cough", US_national_yearly!$D:$AM, 27, FALSE) / VLOOKUP("LULUCF|SO2|Asthma symptoms cough", US_national_yearly!$D:$AM, 10, FALSE), 1)</f>
        <v>5.847011849330298E-5</v>
      </c>
      <c r="T6" s="7">
        <f>$B6 * IFERROR(VLOOKUP("LULUCF|SO2|Asthma symptoms cough", US_national_yearly!$D:$AM, 28, FALSE) / VLOOKUP("LULUCF|SO2|Asthma symptoms cough", US_national_yearly!$D:$AM, 10, FALSE), 1)</f>
        <v>5.847011849330298E-5</v>
      </c>
      <c r="U6" s="7">
        <f>$B6 * IFERROR(VLOOKUP("LULUCF|SO2|Asthma symptoms cough", US_national_yearly!$D:$AM, 29, FALSE) / VLOOKUP("LULUCF|SO2|Asthma symptoms cough", US_national_yearly!$D:$AM, 10, FALSE), 1)</f>
        <v>5.847011849330298E-5</v>
      </c>
      <c r="V6" s="7">
        <f>$B6 * IFERROR(VLOOKUP("LULUCF|SO2|Asthma symptoms cough", US_national_yearly!$D:$AM, 30, FALSE) / VLOOKUP("LULUCF|SO2|Asthma symptoms cough", US_national_yearly!$D:$AM, 10, FALSE), 1)</f>
        <v>5.847011849330298E-5</v>
      </c>
      <c r="W6" s="7">
        <f>$B6 * IFERROR(VLOOKUP("LULUCF|SO2|Asthma symptoms cough", US_national_yearly!$D:$AM, 31, FALSE) / VLOOKUP("LULUCF|SO2|Asthma symptoms cough", US_national_yearly!$D:$AM, 10, FALSE), 1)</f>
        <v>5.847011849330298E-5</v>
      </c>
      <c r="X6" s="7">
        <f>$B6 * IFERROR(VLOOKUP("LULUCF|SO2|Asthma symptoms cough", US_national_yearly!$D:$AM, 32, FALSE) / VLOOKUP("LULUCF|SO2|Asthma symptoms cough", US_national_yearly!$D:$AM, 10, FALSE), 1)</f>
        <v>5.847011849330298E-5</v>
      </c>
      <c r="Y6" s="7">
        <f>$B6 * IFERROR(VLOOKUP("LULUCF|SO2|Asthma symptoms cough", US_national_yearly!$D:$AM, 33, FALSE) / VLOOKUP("LULUCF|SO2|Asthma symptoms cough", US_national_yearly!$D:$AM, 10, FALSE), 1)</f>
        <v>5.847011849330298E-5</v>
      </c>
      <c r="Z6" s="7">
        <f>$B6 * IFERROR(VLOOKUP("LULUCF|SO2|Asthma symptoms cough", US_national_yearly!$D:$AM, 34, FALSE) / VLOOKUP("LULUCF|SO2|Asthma symptoms cough", US_national_yearly!$D:$AM, 10, FALSE), 1)</f>
        <v>5.847011849330298E-5</v>
      </c>
      <c r="AA6" s="7">
        <f>$B6 * IFERROR(VLOOKUP("LULUCF|SO2|Asthma symptoms cough", US_national_yearly!$D:$AM, 35, FALSE) / VLOOKUP("LULUCF|SO2|Asthma symptoms cough", US_national_yearly!$D:$AM, 10, FALSE), 1)</f>
        <v>5.847011849330298E-5</v>
      </c>
      <c r="AB6" s="7">
        <f>$B6 * IFERROR(VLOOKUP("LULUCF|SO2|Asthma symptoms cough", US_national_yearly!$D:$AM, 36, FALSE) / VLOOKUP("LULUCF|SO2|Asthma symptoms cough", US_national_yearly!$D:$AM, 10, FALSE), 1)</f>
        <v>5.847011849330298E-5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7.8738416040402803E-5</v>
      </c>
      <c r="C7" s="7">
        <f>$B7 * IFERROR(VLOOKUP("LULUCF|SO2|Asthma symptoms shortness of breath", US_national_yearly!$D:$AM, 11, FALSE) / VLOOKUP("LULUCF|SO2|Asthma symptoms shortness of breath", US_national_yearly!$D:$AM, 10, FALSE), 1)</f>
        <v>7.8738416040402803E-5</v>
      </c>
      <c r="D7" s="7">
        <f>$B7 * IFERROR(VLOOKUP("LULUCF|SO2|Asthma symptoms shortness of breath", US_national_yearly!$D:$AM, 12, FALSE) / VLOOKUP("LULUCF|SO2|Asthma symptoms shortness of breath", US_national_yearly!$D:$AM, 10, FALSE), 1)</f>
        <v>7.8738416040402803E-5</v>
      </c>
      <c r="E7" s="7">
        <f>$B7 * IFERROR(VLOOKUP("LULUCF|SO2|Asthma symptoms shortness of breath", US_national_yearly!$D:$AM, 13, FALSE) / VLOOKUP("LULUCF|SO2|Asthma symptoms shortness of breath", US_national_yearly!$D:$AM, 10, FALSE), 1)</f>
        <v>7.8738416040402803E-5</v>
      </c>
      <c r="F7" s="7">
        <f>$B7 * IFERROR(VLOOKUP("LULUCF|SO2|Asthma symptoms shortness of breath", US_national_yearly!$D:$AM, 14, FALSE) / VLOOKUP("LULUCF|SO2|Asthma symptoms shortness of breath", US_national_yearly!$D:$AM, 10, FALSE), 1)</f>
        <v>7.8738416040402803E-5</v>
      </c>
      <c r="G7" s="7">
        <f>$B7 * IFERROR(VLOOKUP("LULUCF|SO2|Asthma symptoms shortness of breath", US_national_yearly!$D:$AM, 15, FALSE) / VLOOKUP("LULUCF|SO2|Asthma symptoms shortness of breath", US_national_yearly!$D:$AM, 10, FALSE), 1)</f>
        <v>7.8738416040402803E-5</v>
      </c>
      <c r="H7" s="7">
        <f>$B7 * IFERROR(VLOOKUP("LULUCF|SO2|Asthma symptoms shortness of breath", US_national_yearly!$D:$AM, 16, FALSE) / VLOOKUP("LULUCF|SO2|Asthma symptoms shortness of breath", US_national_yearly!$D:$AM, 10, FALSE), 1)</f>
        <v>7.8738416040402803E-5</v>
      </c>
      <c r="I7" s="7">
        <f>$B7 * IFERROR(VLOOKUP("LULUCF|SO2|Asthma symptoms shortness of breath", US_national_yearly!$D:$AM, 17, FALSE) / VLOOKUP("LULUCF|SO2|Asthma symptoms shortness of breath", US_national_yearly!$D:$AM, 10, FALSE), 1)</f>
        <v>7.8738416040402803E-5</v>
      </c>
      <c r="J7" s="7">
        <f>$B7 * IFERROR(VLOOKUP("LULUCF|SO2|Asthma symptoms shortness of breath", US_national_yearly!$D:$AM, 18, FALSE) / VLOOKUP("LULUCF|SO2|Asthma symptoms shortness of breath", US_national_yearly!$D:$AM, 10, FALSE), 1)</f>
        <v>7.8738416040402803E-5</v>
      </c>
      <c r="K7" s="7">
        <f>$B7 * IFERROR(VLOOKUP("LULUCF|SO2|Asthma symptoms shortness of breath", US_national_yearly!$D:$AM, 19, FALSE) / VLOOKUP("LULUCF|SO2|Asthma symptoms shortness of breath", US_national_yearly!$D:$AM, 10, FALSE), 1)</f>
        <v>7.8738416040402803E-5</v>
      </c>
      <c r="L7" s="7">
        <f>$B7 * IFERROR(VLOOKUP("LULUCF|SO2|Asthma symptoms shortness of breath", US_national_yearly!$D:$AM, 20, FALSE) / VLOOKUP("LULUCF|SO2|Asthma symptoms shortness of breath", US_national_yearly!$D:$AM, 10, FALSE), 1)</f>
        <v>7.8738416040402803E-5</v>
      </c>
      <c r="M7" s="7">
        <f>$B7 * IFERROR(VLOOKUP("LULUCF|SO2|Asthma symptoms shortness of breath", US_national_yearly!$D:$AM, 21, FALSE) / VLOOKUP("LULUCF|SO2|Asthma symptoms shortness of breath", US_national_yearly!$D:$AM, 10, FALSE), 1)</f>
        <v>7.8738416040402803E-5</v>
      </c>
      <c r="N7" s="7">
        <f>$B7 * IFERROR(VLOOKUP("LULUCF|SO2|Asthma symptoms shortness of breath", US_national_yearly!$D:$AM, 22, FALSE) / VLOOKUP("LULUCF|SO2|Asthma symptoms shortness of breath", US_national_yearly!$D:$AM, 10, FALSE), 1)</f>
        <v>7.8738416040402803E-5</v>
      </c>
      <c r="O7" s="7">
        <f>$B7 * IFERROR(VLOOKUP("LULUCF|SO2|Asthma symptoms shortness of breath", US_national_yearly!$D:$AM, 23, FALSE) / VLOOKUP("LULUCF|SO2|Asthma symptoms shortness of breath", US_national_yearly!$D:$AM, 10, FALSE), 1)</f>
        <v>7.8738416040402803E-5</v>
      </c>
      <c r="P7" s="7">
        <f>$B7 * IFERROR(VLOOKUP("LULUCF|SO2|Asthma symptoms shortness of breath", US_national_yearly!$D:$AM, 24, FALSE) / VLOOKUP("LULUCF|SO2|Asthma symptoms shortness of breath", US_national_yearly!$D:$AM, 10, FALSE), 1)</f>
        <v>7.8738416040402803E-5</v>
      </c>
      <c r="Q7" s="7">
        <f>$B7 * IFERROR(VLOOKUP("LULUCF|SO2|Asthma symptoms shortness of breath", US_national_yearly!$D:$AM, 25, FALSE) / VLOOKUP("LULUCF|SO2|Asthma symptoms shortness of breath", US_national_yearly!$D:$AM, 10, FALSE), 1)</f>
        <v>7.8738416040402803E-5</v>
      </c>
      <c r="R7" s="7">
        <f>$B7 * IFERROR(VLOOKUP("LULUCF|SO2|Asthma symptoms shortness of breath", US_national_yearly!$D:$AM, 26, FALSE) / VLOOKUP("LULUCF|SO2|Asthma symptoms shortness of breath", US_national_yearly!$D:$AM, 10, FALSE), 1)</f>
        <v>7.8738416040402803E-5</v>
      </c>
      <c r="S7" s="7">
        <f>$B7 * IFERROR(VLOOKUP("LULUCF|SO2|Asthma symptoms shortness of breath", US_national_yearly!$D:$AM, 27, FALSE) / VLOOKUP("LULUCF|SO2|Asthma symptoms shortness of breath", US_national_yearly!$D:$AM, 10, FALSE), 1)</f>
        <v>7.8738416040402803E-5</v>
      </c>
      <c r="T7" s="7">
        <f>$B7 * IFERROR(VLOOKUP("LULUCF|SO2|Asthma symptoms shortness of breath", US_national_yearly!$D:$AM, 28, FALSE) / VLOOKUP("LULUCF|SO2|Asthma symptoms shortness of breath", US_national_yearly!$D:$AM, 10, FALSE), 1)</f>
        <v>7.8738416040402803E-5</v>
      </c>
      <c r="U7" s="7">
        <f>$B7 * IFERROR(VLOOKUP("LULUCF|SO2|Asthma symptoms shortness of breath", US_national_yearly!$D:$AM, 29, FALSE) / VLOOKUP("LULUCF|SO2|Asthma symptoms shortness of breath", US_national_yearly!$D:$AM, 10, FALSE), 1)</f>
        <v>7.8738416040402803E-5</v>
      </c>
      <c r="V7" s="7">
        <f>$B7 * IFERROR(VLOOKUP("LULUCF|SO2|Asthma symptoms shortness of breath", US_national_yearly!$D:$AM, 30, FALSE) / VLOOKUP("LULUCF|SO2|Asthma symptoms shortness of breath", US_national_yearly!$D:$AM, 10, FALSE), 1)</f>
        <v>7.8738416040402803E-5</v>
      </c>
      <c r="W7" s="7">
        <f>$B7 * IFERROR(VLOOKUP("LULUCF|SO2|Asthma symptoms shortness of breath", US_national_yearly!$D:$AM, 31, FALSE) / VLOOKUP("LULUCF|SO2|Asthma symptoms shortness of breath", US_national_yearly!$D:$AM, 10, FALSE), 1)</f>
        <v>7.8738416040402803E-5</v>
      </c>
      <c r="X7" s="7">
        <f>$B7 * IFERROR(VLOOKUP("LULUCF|SO2|Asthma symptoms shortness of breath", US_national_yearly!$D:$AM, 32, FALSE) / VLOOKUP("LULUCF|SO2|Asthma symptoms shortness of breath", US_national_yearly!$D:$AM, 10, FALSE), 1)</f>
        <v>7.8738416040402803E-5</v>
      </c>
      <c r="Y7" s="7">
        <f>$B7 * IFERROR(VLOOKUP("LULUCF|SO2|Asthma symptoms shortness of breath", US_national_yearly!$D:$AM, 33, FALSE) / VLOOKUP("LULUCF|SO2|Asthma symptoms shortness of breath", US_national_yearly!$D:$AM, 10, FALSE), 1)</f>
        <v>7.8738416040402803E-5</v>
      </c>
      <c r="Z7" s="7">
        <f>$B7 * IFERROR(VLOOKUP("LULUCF|SO2|Asthma symptoms shortness of breath", US_national_yearly!$D:$AM, 34, FALSE) / VLOOKUP("LULUCF|SO2|Asthma symptoms shortness of breath", US_national_yearly!$D:$AM, 10, FALSE), 1)</f>
        <v>7.8738416040402803E-5</v>
      </c>
      <c r="AA7" s="7">
        <f>$B7 * IFERROR(VLOOKUP("LULUCF|SO2|Asthma symptoms shortness of breath", US_national_yearly!$D:$AM, 35, FALSE) / VLOOKUP("LULUCF|SO2|Asthma symptoms shortness of breath", US_national_yearly!$D:$AM, 10, FALSE), 1)</f>
        <v>7.8738416040402803E-5</v>
      </c>
      <c r="AB7" s="7">
        <f>$B7 * IFERROR(VLOOKUP("LULUCF|SO2|Asthma symptoms shortness of breath", US_national_yearly!$D:$AM, 36, FALSE) / VLOOKUP("LULUCF|SO2|Asthma symptoms shortness of breath", US_national_yearly!$D:$AM, 10, FALSE), 1)</f>
        <v>7.8738416040402803E-5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1.2029925079049014E-4</v>
      </c>
      <c r="C8" s="7">
        <f>$B8 * IFERROR(VLOOKUP("LULUCF|SO2|Asthma symptoms wheeze", US_national_yearly!$D:$AM, 11, FALSE) / VLOOKUP("LULUCF|SO2|Asthma symptoms wheeze", US_national_yearly!$D:$AM, 10, FALSE), 1)</f>
        <v>1.2029925079049014E-4</v>
      </c>
      <c r="D8" s="7">
        <f>$B8 * IFERROR(VLOOKUP("LULUCF|SO2|Asthma symptoms wheeze", US_national_yearly!$D:$AM, 12, FALSE) / VLOOKUP("LULUCF|SO2|Asthma symptoms wheeze", US_national_yearly!$D:$AM, 10, FALSE), 1)</f>
        <v>1.2029925079049014E-4</v>
      </c>
      <c r="E8" s="7">
        <f>$B8 * IFERROR(VLOOKUP("LULUCF|SO2|Asthma symptoms wheeze", US_national_yearly!$D:$AM, 13, FALSE) / VLOOKUP("LULUCF|SO2|Asthma symptoms wheeze", US_national_yearly!$D:$AM, 10, FALSE), 1)</f>
        <v>1.2029925079049014E-4</v>
      </c>
      <c r="F8" s="7">
        <f>$B8 * IFERROR(VLOOKUP("LULUCF|SO2|Asthma symptoms wheeze", US_national_yearly!$D:$AM, 14, FALSE) / VLOOKUP("LULUCF|SO2|Asthma symptoms wheeze", US_national_yearly!$D:$AM, 10, FALSE), 1)</f>
        <v>1.2029925079049014E-4</v>
      </c>
      <c r="G8" s="7">
        <f>$B8 * IFERROR(VLOOKUP("LULUCF|SO2|Asthma symptoms wheeze", US_national_yearly!$D:$AM, 15, FALSE) / VLOOKUP("LULUCF|SO2|Asthma symptoms wheeze", US_national_yearly!$D:$AM, 10, FALSE), 1)</f>
        <v>1.2029925079049014E-4</v>
      </c>
      <c r="H8" s="7">
        <f>$B8 * IFERROR(VLOOKUP("LULUCF|SO2|Asthma symptoms wheeze", US_national_yearly!$D:$AM, 16, FALSE) / VLOOKUP("LULUCF|SO2|Asthma symptoms wheeze", US_national_yearly!$D:$AM, 10, FALSE), 1)</f>
        <v>1.2029925079049014E-4</v>
      </c>
      <c r="I8" s="7">
        <f>$B8 * IFERROR(VLOOKUP("LULUCF|SO2|Asthma symptoms wheeze", US_national_yearly!$D:$AM, 17, FALSE) / VLOOKUP("LULUCF|SO2|Asthma symptoms wheeze", US_national_yearly!$D:$AM, 10, FALSE), 1)</f>
        <v>1.2029925079049014E-4</v>
      </c>
      <c r="J8" s="7">
        <f>$B8 * IFERROR(VLOOKUP("LULUCF|SO2|Asthma symptoms wheeze", US_national_yearly!$D:$AM, 18, FALSE) / VLOOKUP("LULUCF|SO2|Asthma symptoms wheeze", US_national_yearly!$D:$AM, 10, FALSE), 1)</f>
        <v>1.2029925079049014E-4</v>
      </c>
      <c r="K8" s="7">
        <f>$B8 * IFERROR(VLOOKUP("LULUCF|SO2|Asthma symptoms wheeze", US_national_yearly!$D:$AM, 19, FALSE) / VLOOKUP("LULUCF|SO2|Asthma symptoms wheeze", US_national_yearly!$D:$AM, 10, FALSE), 1)</f>
        <v>1.2029925079049014E-4</v>
      </c>
      <c r="L8" s="7">
        <f>$B8 * IFERROR(VLOOKUP("LULUCF|SO2|Asthma symptoms wheeze", US_national_yearly!$D:$AM, 20, FALSE) / VLOOKUP("LULUCF|SO2|Asthma symptoms wheeze", US_national_yearly!$D:$AM, 10, FALSE), 1)</f>
        <v>1.2029925079049014E-4</v>
      </c>
      <c r="M8" s="7">
        <f>$B8 * IFERROR(VLOOKUP("LULUCF|SO2|Asthma symptoms wheeze", US_national_yearly!$D:$AM, 21, FALSE) / VLOOKUP("LULUCF|SO2|Asthma symptoms wheeze", US_national_yearly!$D:$AM, 10, FALSE), 1)</f>
        <v>1.2029925079049014E-4</v>
      </c>
      <c r="N8" s="7">
        <f>$B8 * IFERROR(VLOOKUP("LULUCF|SO2|Asthma symptoms wheeze", US_national_yearly!$D:$AM, 22, FALSE) / VLOOKUP("LULUCF|SO2|Asthma symptoms wheeze", US_national_yearly!$D:$AM, 10, FALSE), 1)</f>
        <v>1.2029925079049014E-4</v>
      </c>
      <c r="O8" s="7">
        <f>$B8 * IFERROR(VLOOKUP("LULUCF|SO2|Asthma symptoms wheeze", US_national_yearly!$D:$AM, 23, FALSE) / VLOOKUP("LULUCF|SO2|Asthma symptoms wheeze", US_national_yearly!$D:$AM, 10, FALSE), 1)</f>
        <v>1.2029925079049014E-4</v>
      </c>
      <c r="P8" s="7">
        <f>$B8 * IFERROR(VLOOKUP("LULUCF|SO2|Asthma symptoms wheeze", US_national_yearly!$D:$AM, 24, FALSE) / VLOOKUP("LULUCF|SO2|Asthma symptoms wheeze", US_national_yearly!$D:$AM, 10, FALSE), 1)</f>
        <v>1.2029925079049014E-4</v>
      </c>
      <c r="Q8" s="7">
        <f>$B8 * IFERROR(VLOOKUP("LULUCF|SO2|Asthma symptoms wheeze", US_national_yearly!$D:$AM, 25, FALSE) / VLOOKUP("LULUCF|SO2|Asthma symptoms wheeze", US_national_yearly!$D:$AM, 10, FALSE), 1)</f>
        <v>1.2029925079049014E-4</v>
      </c>
      <c r="R8" s="7">
        <f>$B8 * IFERROR(VLOOKUP("LULUCF|SO2|Asthma symptoms wheeze", US_national_yearly!$D:$AM, 26, FALSE) / VLOOKUP("LULUCF|SO2|Asthma symptoms wheeze", US_national_yearly!$D:$AM, 10, FALSE), 1)</f>
        <v>1.2029925079049014E-4</v>
      </c>
      <c r="S8" s="7">
        <f>$B8 * IFERROR(VLOOKUP("LULUCF|SO2|Asthma symptoms wheeze", US_national_yearly!$D:$AM, 27, FALSE) / VLOOKUP("LULUCF|SO2|Asthma symptoms wheeze", US_national_yearly!$D:$AM, 10, FALSE), 1)</f>
        <v>1.2029925079049014E-4</v>
      </c>
      <c r="T8" s="7">
        <f>$B8 * IFERROR(VLOOKUP("LULUCF|SO2|Asthma symptoms wheeze", US_national_yearly!$D:$AM, 28, FALSE) / VLOOKUP("LULUCF|SO2|Asthma symptoms wheeze", US_national_yearly!$D:$AM, 10, FALSE), 1)</f>
        <v>1.2029925079049014E-4</v>
      </c>
      <c r="U8" s="7">
        <f>$B8 * IFERROR(VLOOKUP("LULUCF|SO2|Asthma symptoms wheeze", US_national_yearly!$D:$AM, 29, FALSE) / VLOOKUP("LULUCF|SO2|Asthma symptoms wheeze", US_national_yearly!$D:$AM, 10, FALSE), 1)</f>
        <v>1.2029925079049014E-4</v>
      </c>
      <c r="V8" s="7">
        <f>$B8 * IFERROR(VLOOKUP("LULUCF|SO2|Asthma symptoms wheeze", US_national_yearly!$D:$AM, 30, FALSE) / VLOOKUP("LULUCF|SO2|Asthma symptoms wheeze", US_national_yearly!$D:$AM, 10, FALSE), 1)</f>
        <v>1.2029925079049014E-4</v>
      </c>
      <c r="W8" s="7">
        <f>$B8 * IFERROR(VLOOKUP("LULUCF|SO2|Asthma symptoms wheeze", US_national_yearly!$D:$AM, 31, FALSE) / VLOOKUP("LULUCF|SO2|Asthma symptoms wheeze", US_national_yearly!$D:$AM, 10, FALSE), 1)</f>
        <v>1.2029925079049014E-4</v>
      </c>
      <c r="X8" s="7">
        <f>$B8 * IFERROR(VLOOKUP("LULUCF|SO2|Asthma symptoms wheeze", US_national_yearly!$D:$AM, 32, FALSE) / VLOOKUP("LULUCF|SO2|Asthma symptoms wheeze", US_national_yearly!$D:$AM, 10, FALSE), 1)</f>
        <v>1.2029925079049014E-4</v>
      </c>
      <c r="Y8" s="7">
        <f>$B8 * IFERROR(VLOOKUP("LULUCF|SO2|Asthma symptoms wheeze", US_national_yearly!$D:$AM, 33, FALSE) / VLOOKUP("LULUCF|SO2|Asthma symptoms wheeze", US_national_yearly!$D:$AM, 10, FALSE), 1)</f>
        <v>1.2029925079049014E-4</v>
      </c>
      <c r="Z8" s="7">
        <f>$B8 * IFERROR(VLOOKUP("LULUCF|SO2|Asthma symptoms wheeze", US_national_yearly!$D:$AM, 34, FALSE) / VLOOKUP("LULUCF|SO2|Asthma symptoms wheeze", US_national_yearly!$D:$AM, 10, FALSE), 1)</f>
        <v>1.2029925079049014E-4</v>
      </c>
      <c r="AA8" s="7">
        <f>$B8 * IFERROR(VLOOKUP("LULUCF|SO2|Asthma symptoms wheeze", US_national_yearly!$D:$AM, 35, FALSE) / VLOOKUP("LULUCF|SO2|Asthma symptoms wheeze", US_national_yearly!$D:$AM, 10, FALSE), 1)</f>
        <v>1.2029925079049014E-4</v>
      </c>
      <c r="AB8" s="7">
        <f>$B8 * IFERROR(VLOOKUP("LULUCF|SO2|Asthma symptoms wheeze", US_national_yearly!$D:$AM, 36, FALSE) / VLOOKUP("LULUCF|SO2|Asthma symptoms wheeze", US_national_yearly!$D:$AM, 10, FALSE), 1)</f>
        <v>1.2029925079049014E-4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1.6741164609447316E-6</v>
      </c>
      <c r="C12" s="7">
        <f>$B12 * IFERROR(VLOOKUP("LULUCF|SO2|Respiratory hospital admissions", US_national_yearly!$D:$AM, 11, FALSE) / VLOOKUP("LULUCF|SO2|Respiratory hospital admissions", US_national_yearly!$D:$AM, 10, FALSE), 1)</f>
        <v>1.6839904830264329E-6</v>
      </c>
      <c r="D12" s="7">
        <f>$B12 * IFERROR(VLOOKUP("LULUCF|SO2|Respiratory hospital admissions", US_national_yearly!$D:$AM, 12, FALSE) / VLOOKUP("LULUCF|SO2|Respiratory hospital admissions", US_national_yearly!$D:$AM, 10, FALSE), 1)</f>
        <v>1.6938645051081342E-6</v>
      </c>
      <c r="E12" s="7">
        <f>$B12 * IFERROR(VLOOKUP("LULUCF|SO2|Respiratory hospital admissions", US_national_yearly!$D:$AM, 13, FALSE) / VLOOKUP("LULUCF|SO2|Respiratory hospital admissions", US_national_yearly!$D:$AM, 10, FALSE), 1)</f>
        <v>1.7037385271898355E-6</v>
      </c>
      <c r="F12" s="7">
        <f>$B12 * IFERROR(VLOOKUP("LULUCF|SO2|Respiratory hospital admissions", US_national_yearly!$D:$AM, 14, FALSE) / VLOOKUP("LULUCF|SO2|Respiratory hospital admissions", US_national_yearly!$D:$AM, 10, FALSE), 1)</f>
        <v>1.7136125492715368E-6</v>
      </c>
      <c r="G12" s="7">
        <f>$B12 * IFERROR(VLOOKUP("LULUCF|SO2|Respiratory hospital admissions", US_national_yearly!$D:$AM, 15, FALSE) / VLOOKUP("LULUCF|SO2|Respiratory hospital admissions", US_national_yearly!$D:$AM, 10, FALSE), 1)</f>
        <v>1.7243768988017175E-6</v>
      </c>
      <c r="H12" s="7">
        <f>$B12 * IFERROR(VLOOKUP("LULUCF|SO2|Respiratory hospital admissions", US_national_yearly!$D:$AM, 16, FALSE) / VLOOKUP("LULUCF|SO2|Respiratory hospital admissions", US_national_yearly!$D:$AM, 10, FALSE), 1)</f>
        <v>1.7351412483318985E-6</v>
      </c>
      <c r="I12" s="7">
        <f>$B12 * IFERROR(VLOOKUP("LULUCF|SO2|Respiratory hospital admissions", US_national_yearly!$D:$AM, 17, FALSE) / VLOOKUP("LULUCF|SO2|Respiratory hospital admissions", US_national_yearly!$D:$AM, 10, FALSE), 1)</f>
        <v>1.7457561786165739E-6</v>
      </c>
      <c r="J12" s="7">
        <f>$B12 * IFERROR(VLOOKUP("LULUCF|SO2|Respiratory hospital admissions", US_national_yearly!$D:$AM, 18, FALSE) / VLOOKUP("LULUCF|SO2|Respiratory hospital admissions", US_national_yearly!$D:$AM, 10, FALSE), 1)</f>
        <v>1.7563711089012497E-6</v>
      </c>
      <c r="K12" s="7">
        <f>$B12 * IFERROR(VLOOKUP("LULUCF|SO2|Respiratory hospital admissions", US_national_yearly!$D:$AM, 19, FALSE) / VLOOKUP("LULUCF|SO2|Respiratory hospital admissions", US_national_yearly!$D:$AM, 10, FALSE), 1)</f>
        <v>1.7669860391859248E-6</v>
      </c>
      <c r="L12" s="7">
        <f>$B12 * IFERROR(VLOOKUP("LULUCF|SO2|Respiratory hospital admissions", US_national_yearly!$D:$AM, 20, FALSE) / VLOOKUP("LULUCF|SO2|Respiratory hospital admissions", US_national_yearly!$D:$AM, 10, FALSE), 1)</f>
        <v>1.7776009694706007E-6</v>
      </c>
      <c r="M12" s="7">
        <f>$B12 * IFERROR(VLOOKUP("LULUCF|SO2|Respiratory hospital admissions", US_national_yearly!$D:$AM, 21, FALSE) / VLOOKUP("LULUCF|SO2|Respiratory hospital admissions", US_national_yearly!$D:$AM, 10, FALSE), 1)</f>
        <v>1.7882158997552756E-6</v>
      </c>
      <c r="N12" s="7">
        <f>$B12 * IFERROR(VLOOKUP("LULUCF|SO2|Respiratory hospital admissions", US_national_yearly!$D:$AM, 22, FALSE) / VLOOKUP("LULUCF|SO2|Respiratory hospital admissions", US_national_yearly!$D:$AM, 10, FALSE), 1)</f>
        <v>1.7959644711950768E-6</v>
      </c>
      <c r="O12" s="7">
        <f>$B12 * IFERROR(VLOOKUP("LULUCF|SO2|Respiratory hospital admissions", US_national_yearly!$D:$AM, 23, FALSE) / VLOOKUP("LULUCF|SO2|Respiratory hospital admissions", US_national_yearly!$D:$AM, 10, FALSE), 1)</f>
        <v>1.8037130426348773E-6</v>
      </c>
      <c r="P12" s="7">
        <f>$B12 * IFERROR(VLOOKUP("LULUCF|SO2|Respiratory hospital admissions", US_national_yearly!$D:$AM, 24, FALSE) / VLOOKUP("LULUCF|SO2|Respiratory hospital admissions", US_national_yearly!$D:$AM, 10, FALSE), 1)</f>
        <v>1.8114616140746781E-6</v>
      </c>
      <c r="Q12" s="7">
        <f>$B12 * IFERROR(VLOOKUP("LULUCF|SO2|Respiratory hospital admissions", US_national_yearly!$D:$AM, 25, FALSE) / VLOOKUP("LULUCF|SO2|Respiratory hospital admissions", US_national_yearly!$D:$AM, 10, FALSE), 1)</f>
        <v>1.819210185514479E-6</v>
      </c>
      <c r="R12" s="7">
        <f>$B12 * IFERROR(VLOOKUP("LULUCF|SO2|Respiratory hospital admissions", US_national_yearly!$D:$AM, 26, FALSE) / VLOOKUP("LULUCF|SO2|Respiratory hospital admissions", US_national_yearly!$D:$AM, 10, FALSE), 1)</f>
        <v>1.8269587569542795E-6</v>
      </c>
      <c r="S12" s="7">
        <f>$B12 * IFERROR(VLOOKUP("LULUCF|SO2|Respiratory hospital admissions", US_national_yearly!$D:$AM, 27, FALSE) / VLOOKUP("LULUCF|SO2|Respiratory hospital admissions", US_national_yearly!$D:$AM, 10, FALSE), 1)</f>
        <v>1.8343503028751653E-6</v>
      </c>
      <c r="T12" s="7">
        <f>$B12 * IFERROR(VLOOKUP("LULUCF|SO2|Respiratory hospital admissions", US_national_yearly!$D:$AM, 28, FALSE) / VLOOKUP("LULUCF|SO2|Respiratory hospital admissions", US_national_yearly!$D:$AM, 10, FALSE), 1)</f>
        <v>1.8417418487960509E-6</v>
      </c>
      <c r="U12" s="7">
        <f>$B12 * IFERROR(VLOOKUP("LULUCF|SO2|Respiratory hospital admissions", US_national_yearly!$D:$AM, 29, FALSE) / VLOOKUP("LULUCF|SO2|Respiratory hospital admissions", US_national_yearly!$D:$AM, 10, FALSE), 1)</f>
        <v>1.8491333947169368E-6</v>
      </c>
      <c r="V12" s="7">
        <f>$B12 * IFERROR(VLOOKUP("LULUCF|SO2|Respiratory hospital admissions", US_national_yearly!$D:$AM, 30, FALSE) / VLOOKUP("LULUCF|SO2|Respiratory hospital admissions", US_national_yearly!$D:$AM, 10, FALSE), 1)</f>
        <v>1.8565249406378226E-6</v>
      </c>
      <c r="W12" s="7">
        <f>$B12 * IFERROR(VLOOKUP("LULUCF|SO2|Respiratory hospital admissions", US_national_yearly!$D:$AM, 31, FALSE) / VLOOKUP("LULUCF|SO2|Respiratory hospital admissions", US_national_yearly!$D:$AM, 10, FALSE), 1)</f>
        <v>1.8639164865587084E-6</v>
      </c>
      <c r="X12" s="7">
        <f>$B12 * IFERROR(VLOOKUP("LULUCF|SO2|Respiratory hospital admissions", US_national_yearly!$D:$AM, 32, FALSE) / VLOOKUP("LULUCF|SO2|Respiratory hospital admissions", US_national_yearly!$D:$AM, 10, FALSE), 1)</f>
        <v>1.8709298500900062E-6</v>
      </c>
      <c r="Y12" s="7">
        <f>$B12 * IFERROR(VLOOKUP("LULUCF|SO2|Respiratory hospital admissions", US_national_yearly!$D:$AM, 33, FALSE) / VLOOKUP("LULUCF|SO2|Respiratory hospital admissions", US_national_yearly!$D:$AM, 10, FALSE), 1)</f>
        <v>1.8779432136213038E-6</v>
      </c>
      <c r="Z12" s="7">
        <f>$B12 * IFERROR(VLOOKUP("LULUCF|SO2|Respiratory hospital admissions", US_national_yearly!$D:$AM, 34, FALSE) / VLOOKUP("LULUCF|SO2|Respiratory hospital admissions", US_national_yearly!$D:$AM, 10, FALSE), 1)</f>
        <v>1.8849565771526015E-6</v>
      </c>
      <c r="AA12" s="7">
        <f>$B12 * IFERROR(VLOOKUP("LULUCF|SO2|Respiratory hospital admissions", US_national_yearly!$D:$AM, 35, FALSE) / VLOOKUP("LULUCF|SO2|Respiratory hospital admissions", US_national_yearly!$D:$AM, 10, FALSE), 1)</f>
        <v>1.8919699406838993E-6</v>
      </c>
      <c r="AB12" s="7">
        <f>$B12 * IFERROR(VLOOKUP("LULUCF|SO2|Respiratory hospital admissions", US_national_yearly!$D:$AM, 36, FALSE) / VLOOKUP("LULUCF|SO2|Respiratory hospital admissions", US_national_yearly!$D:$AM, 10, FALSE), 1)</f>
        <v>1.8989833042151976E-6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9.1985977920406533E-6</v>
      </c>
      <c r="C13" s="7">
        <f>$B13 * IFERROR(VLOOKUP("LULUCF|SO2|Non-fatal heart attacks", US_national_yearly!$D:$AM, 11, FALSE) / VLOOKUP("LULUCF|SO2|Non-fatal heart attacks", US_national_yearly!$D:$AM, 10, FALSE), 1)</f>
        <v>9.4686352120758269E-6</v>
      </c>
      <c r="D13" s="7">
        <f>$B13 * IFERROR(VLOOKUP("LULUCF|SO2|Non-fatal heart attacks", US_national_yearly!$D:$AM, 12, FALSE) / VLOOKUP("LULUCF|SO2|Non-fatal heart attacks", US_national_yearly!$D:$AM, 10, FALSE), 1)</f>
        <v>9.7386726321110023E-6</v>
      </c>
      <c r="E13" s="7">
        <f>$B13 * IFERROR(VLOOKUP("LULUCF|SO2|Non-fatal heart attacks", US_national_yearly!$D:$AM, 13, FALSE) / VLOOKUP("LULUCF|SO2|Non-fatal heart attacks", US_national_yearly!$D:$AM, 10, FALSE), 1)</f>
        <v>1.0008710052146176E-5</v>
      </c>
      <c r="F13" s="7">
        <f>$B13 * IFERROR(VLOOKUP("LULUCF|SO2|Non-fatal heart attacks", US_national_yearly!$D:$AM, 14, FALSE) / VLOOKUP("LULUCF|SO2|Non-fatal heart attacks", US_national_yearly!$D:$AM, 10, FALSE), 1)</f>
        <v>1.027874747218135E-5</v>
      </c>
      <c r="G13" s="7">
        <f>$B13 * IFERROR(VLOOKUP("LULUCF|SO2|Non-fatal heart attacks", US_national_yearly!$D:$AM, 15, FALSE) / VLOOKUP("LULUCF|SO2|Non-fatal heart attacks", US_national_yearly!$D:$AM, 10, FALSE), 1)</f>
        <v>1.0533417806775375E-5</v>
      </c>
      <c r="H13" s="7">
        <f>$B13 * IFERROR(VLOOKUP("LULUCF|SO2|Non-fatal heart attacks", US_national_yearly!$D:$AM, 16, FALSE) / VLOOKUP("LULUCF|SO2|Non-fatal heart attacks", US_national_yearly!$D:$AM, 10, FALSE), 1)</f>
        <v>1.0788088141369401E-5</v>
      </c>
      <c r="I13" s="7">
        <f>$B13 * IFERROR(VLOOKUP("LULUCF|SO2|Non-fatal heart attacks", US_national_yearly!$D:$AM, 17, FALSE) / VLOOKUP("LULUCF|SO2|Non-fatal heart attacks", US_national_yearly!$D:$AM, 10, FALSE), 1)</f>
        <v>1.0993017925260009E-5</v>
      </c>
      <c r="J13" s="7">
        <f>$B13 * IFERROR(VLOOKUP("LULUCF|SO2|Non-fatal heart attacks", US_national_yearly!$D:$AM, 18, FALSE) / VLOOKUP("LULUCF|SO2|Non-fatal heart attacks", US_national_yearly!$D:$AM, 10, FALSE), 1)</f>
        <v>1.1197947709150619E-5</v>
      </c>
      <c r="K13" s="7">
        <f>$B13 * IFERROR(VLOOKUP("LULUCF|SO2|Non-fatal heart attacks", US_national_yearly!$D:$AM, 19, FALSE) / VLOOKUP("LULUCF|SO2|Non-fatal heart attacks", US_national_yearly!$D:$AM, 10, FALSE), 1)</f>
        <v>1.1402877493041229E-5</v>
      </c>
      <c r="L13" s="7">
        <f>$B13 * IFERROR(VLOOKUP("LULUCF|SO2|Non-fatal heart attacks", US_national_yearly!$D:$AM, 20, FALSE) / VLOOKUP("LULUCF|SO2|Non-fatal heart attacks", US_national_yearly!$D:$AM, 10, FALSE), 1)</f>
        <v>1.160780727693184E-5</v>
      </c>
      <c r="M13" s="7">
        <f>$B13 * IFERROR(VLOOKUP("LULUCF|SO2|Non-fatal heart attacks", US_national_yearly!$D:$AM, 21, FALSE) / VLOOKUP("LULUCF|SO2|Non-fatal heart attacks", US_national_yearly!$D:$AM, 10, FALSE), 1)</f>
        <v>1.1812737060822452E-5</v>
      </c>
      <c r="N13" s="7">
        <f>$B13 * IFERROR(VLOOKUP("LULUCF|SO2|Non-fatal heart attacks", US_national_yearly!$D:$AM, 22, FALSE) / VLOOKUP("LULUCF|SO2|Non-fatal heart attacks", US_national_yearly!$D:$AM, 10, FALSE), 1)</f>
        <v>1.1945800445382899E-5</v>
      </c>
      <c r="O13" s="7">
        <f>$B13 * IFERROR(VLOOKUP("LULUCF|SO2|Non-fatal heart attacks", US_national_yearly!$D:$AM, 23, FALSE) / VLOOKUP("LULUCF|SO2|Non-fatal heart attacks", US_national_yearly!$D:$AM, 10, FALSE), 1)</f>
        <v>1.207886382994335E-5</v>
      </c>
      <c r="P13" s="7">
        <f>$B13 * IFERROR(VLOOKUP("LULUCF|SO2|Non-fatal heart attacks", US_national_yearly!$D:$AM, 24, FALSE) / VLOOKUP("LULUCF|SO2|Non-fatal heart attacks", US_national_yearly!$D:$AM, 10, FALSE), 1)</f>
        <v>1.2211927214503802E-5</v>
      </c>
      <c r="Q13" s="7">
        <f>$B13 * IFERROR(VLOOKUP("LULUCF|SO2|Non-fatal heart attacks", US_national_yearly!$D:$AM, 25, FALSE) / VLOOKUP("LULUCF|SO2|Non-fatal heart attacks", US_national_yearly!$D:$AM, 10, FALSE), 1)</f>
        <v>1.2344990599064252E-5</v>
      </c>
      <c r="R13" s="7">
        <f>$B13 * IFERROR(VLOOKUP("LULUCF|SO2|Non-fatal heart attacks", US_national_yearly!$D:$AM, 26, FALSE) / VLOOKUP("LULUCF|SO2|Non-fatal heart attacks", US_national_yearly!$D:$AM, 10, FALSE), 1)</f>
        <v>1.2478053983624703E-5</v>
      </c>
      <c r="S13" s="7">
        <f>$B13 * IFERROR(VLOOKUP("LULUCF|SO2|Non-fatal heart attacks", US_national_yearly!$D:$AM, 27, FALSE) / VLOOKUP("LULUCF|SO2|Non-fatal heart attacks", US_national_yearly!$D:$AM, 10, FALSE), 1)</f>
        <v>1.2547525628250246E-5</v>
      </c>
      <c r="T13" s="7">
        <f>$B13 * IFERROR(VLOOKUP("LULUCF|SO2|Non-fatal heart attacks", US_national_yearly!$D:$AM, 28, FALSE) / VLOOKUP("LULUCF|SO2|Non-fatal heart attacks", US_national_yearly!$D:$AM, 10, FALSE), 1)</f>
        <v>1.261699727287579E-5</v>
      </c>
      <c r="U13" s="7">
        <f>$B13 * IFERROR(VLOOKUP("LULUCF|SO2|Non-fatal heart attacks", US_national_yearly!$D:$AM, 29, FALSE) / VLOOKUP("LULUCF|SO2|Non-fatal heart attacks", US_national_yearly!$D:$AM, 10, FALSE), 1)</f>
        <v>1.2686468917501332E-5</v>
      </c>
      <c r="V13" s="7">
        <f>$B13 * IFERROR(VLOOKUP("LULUCF|SO2|Non-fatal heart attacks", US_national_yearly!$D:$AM, 30, FALSE) / VLOOKUP("LULUCF|SO2|Non-fatal heart attacks", US_national_yearly!$D:$AM, 10, FALSE), 1)</f>
        <v>1.2755940562126873E-5</v>
      </c>
      <c r="W13" s="7">
        <f>$B13 * IFERROR(VLOOKUP("LULUCF|SO2|Non-fatal heart attacks", US_national_yearly!$D:$AM, 31, FALSE) / VLOOKUP("LULUCF|SO2|Non-fatal heart attacks", US_national_yearly!$D:$AM, 10, FALSE), 1)</f>
        <v>1.282541220675242E-5</v>
      </c>
      <c r="X13" s="7">
        <f>$B13 * IFERROR(VLOOKUP("LULUCF|SO2|Non-fatal heart attacks", US_national_yearly!$D:$AM, 32, FALSE) / VLOOKUP("LULUCF|SO2|Non-fatal heart attacks", US_national_yearly!$D:$AM, 10, FALSE), 1)</f>
        <v>1.28778572214924E-5</v>
      </c>
      <c r="Y13" s="7">
        <f>$B13 * IFERROR(VLOOKUP("LULUCF|SO2|Non-fatal heart attacks", US_national_yearly!$D:$AM, 33, FALSE) / VLOOKUP("LULUCF|SO2|Non-fatal heart attacks", US_national_yearly!$D:$AM, 10, FALSE), 1)</f>
        <v>1.2930302236232382E-5</v>
      </c>
      <c r="Z13" s="7">
        <f>$B13 * IFERROR(VLOOKUP("LULUCF|SO2|Non-fatal heart attacks", US_national_yearly!$D:$AM, 34, FALSE) / VLOOKUP("LULUCF|SO2|Non-fatal heart attacks", US_national_yearly!$D:$AM, 10, FALSE), 1)</f>
        <v>1.2982747250972363E-5</v>
      </c>
      <c r="AA13" s="7">
        <f>$B13 * IFERROR(VLOOKUP("LULUCF|SO2|Non-fatal heart attacks", US_national_yearly!$D:$AM, 35, FALSE) / VLOOKUP("LULUCF|SO2|Non-fatal heart attacks", US_national_yearly!$D:$AM, 10, FALSE), 1)</f>
        <v>1.3035192265712345E-5</v>
      </c>
      <c r="AB13" s="7">
        <f>$B13 * IFERROR(VLOOKUP("LULUCF|SO2|Non-fatal heart attacks", US_national_yearly!$D:$AM, 36, FALSE) / VLOOKUP("LULUCF|SO2|Non-fatal heart attacks", US_national_yearly!$D:$AM, 10, FALSE), 1)</f>
        <v>1.3087637280452327E-5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6.4631261469611798E-3</v>
      </c>
      <c r="C14" s="7">
        <f>$B14 * IFERROR(VLOOKUP("LULUCF|SO2|Minor restricted activity days", US_national_yearly!$D:$AM, 11, FALSE) / VLOOKUP("LULUCF|SO2|Minor restricted activity days", US_national_yearly!$D:$AM, 10, FALSE), 1)</f>
        <v>6.4794175345136576E-3</v>
      </c>
      <c r="D14" s="7">
        <f>$B14 * IFERROR(VLOOKUP("LULUCF|SO2|Minor restricted activity days", US_national_yearly!$D:$AM, 12, FALSE) / VLOOKUP("LULUCF|SO2|Minor restricted activity days", US_national_yearly!$D:$AM, 10, FALSE), 1)</f>
        <v>6.4957089220661346E-3</v>
      </c>
      <c r="E14" s="7">
        <f>$B14 * IFERROR(VLOOKUP("LULUCF|SO2|Minor restricted activity days", US_national_yearly!$D:$AM, 13, FALSE) / VLOOKUP("LULUCF|SO2|Minor restricted activity days", US_national_yearly!$D:$AM, 10, FALSE), 1)</f>
        <v>6.5120003096186133E-3</v>
      </c>
      <c r="F14" s="7">
        <f>$B14 * IFERROR(VLOOKUP("LULUCF|SO2|Minor restricted activity days", US_national_yearly!$D:$AM, 14, FALSE) / VLOOKUP("LULUCF|SO2|Minor restricted activity days", US_national_yearly!$D:$AM, 10, FALSE), 1)</f>
        <v>6.5282916971710903E-3</v>
      </c>
      <c r="G14" s="7">
        <f>$B14 * IFERROR(VLOOKUP("LULUCF|SO2|Minor restricted activity days", US_national_yearly!$D:$AM, 15, FALSE) / VLOOKUP("LULUCF|SO2|Minor restricted activity days", US_national_yearly!$D:$AM, 10, FALSE), 1)</f>
        <v>6.5522710191734867E-3</v>
      </c>
      <c r="H14" s="7">
        <f>$B14 * IFERROR(VLOOKUP("LULUCF|SO2|Minor restricted activity days", US_national_yearly!$D:$AM, 16, FALSE) / VLOOKUP("LULUCF|SO2|Minor restricted activity days", US_national_yearly!$D:$AM, 10, FALSE), 1)</f>
        <v>6.576250341175884E-3</v>
      </c>
      <c r="I14" s="7">
        <f>$B14 * IFERROR(VLOOKUP("LULUCF|SO2|Minor restricted activity days", US_national_yearly!$D:$AM, 17, FALSE) / VLOOKUP("LULUCF|SO2|Minor restricted activity days", US_national_yearly!$D:$AM, 10, FALSE), 1)</f>
        <v>6.6171448397162854E-3</v>
      </c>
      <c r="J14" s="7">
        <f>$B14 * IFERROR(VLOOKUP("LULUCF|SO2|Minor restricted activity days", US_national_yearly!$D:$AM, 18, FALSE) / VLOOKUP("LULUCF|SO2|Minor restricted activity days", US_national_yearly!$D:$AM, 10, FALSE), 1)</f>
        <v>6.6580393382566867E-3</v>
      </c>
      <c r="K14" s="7">
        <f>$B14 * IFERROR(VLOOKUP("LULUCF|SO2|Minor restricted activity days", US_national_yearly!$D:$AM, 19, FALSE) / VLOOKUP("LULUCF|SO2|Minor restricted activity days", US_national_yearly!$D:$AM, 10, FALSE), 1)</f>
        <v>6.6989338367970898E-3</v>
      </c>
      <c r="L14" s="7">
        <f>$B14 * IFERROR(VLOOKUP("LULUCF|SO2|Minor restricted activity days", US_national_yearly!$D:$AM, 20, FALSE) / VLOOKUP("LULUCF|SO2|Minor restricted activity days", US_national_yearly!$D:$AM, 10, FALSE), 1)</f>
        <v>6.7398283353374911E-3</v>
      </c>
      <c r="M14" s="7">
        <f>$B14 * IFERROR(VLOOKUP("LULUCF|SO2|Minor restricted activity days", US_national_yearly!$D:$AM, 21, FALSE) / VLOOKUP("LULUCF|SO2|Minor restricted activity days", US_national_yearly!$D:$AM, 10, FALSE), 1)</f>
        <v>6.7807228338778924E-3</v>
      </c>
      <c r="N14" s="7">
        <f>$B14 * IFERROR(VLOOKUP("LULUCF|SO2|Minor restricted activity days", US_national_yearly!$D:$AM, 22, FALSE) / VLOOKUP("LULUCF|SO2|Minor restricted activity days", US_national_yearly!$D:$AM, 10, FALSE), 1)</f>
        <v>6.8366599459917044E-3</v>
      </c>
      <c r="O14" s="7">
        <f>$B14 * IFERROR(VLOOKUP("LULUCF|SO2|Minor restricted activity days", US_national_yearly!$D:$AM, 23, FALSE) / VLOOKUP("LULUCF|SO2|Minor restricted activity days", US_national_yearly!$D:$AM, 10, FALSE), 1)</f>
        <v>6.8925970581055155E-3</v>
      </c>
      <c r="P14" s="7">
        <f>$B14 * IFERROR(VLOOKUP("LULUCF|SO2|Minor restricted activity days", US_national_yearly!$D:$AM, 24, FALSE) / VLOOKUP("LULUCF|SO2|Minor restricted activity days", US_national_yearly!$D:$AM, 10, FALSE), 1)</f>
        <v>6.9485341702193275E-3</v>
      </c>
      <c r="Q14" s="7">
        <f>$B14 * IFERROR(VLOOKUP("LULUCF|SO2|Minor restricted activity days", US_national_yearly!$D:$AM, 25, FALSE) / VLOOKUP("LULUCF|SO2|Minor restricted activity days", US_national_yearly!$D:$AM, 10, FALSE), 1)</f>
        <v>7.0044712823331386E-3</v>
      </c>
      <c r="R14" s="7">
        <f>$B14 * IFERROR(VLOOKUP("LULUCF|SO2|Minor restricted activity days", US_national_yearly!$D:$AM, 26, FALSE) / VLOOKUP("LULUCF|SO2|Minor restricted activity days", US_national_yearly!$D:$AM, 10, FALSE), 1)</f>
        <v>7.0604083944469497E-3</v>
      </c>
      <c r="S14" s="7">
        <f>$B14 * IFERROR(VLOOKUP("LULUCF|SO2|Minor restricted activity days", US_national_yearly!$D:$AM, 27, FALSE) / VLOOKUP("LULUCF|SO2|Minor restricted activity days", US_national_yearly!$D:$AM, 10, FALSE), 1)</f>
        <v>7.1174417550316903E-3</v>
      </c>
      <c r="T14" s="7">
        <f>$B14 * IFERROR(VLOOKUP("LULUCF|SO2|Minor restricted activity days", US_national_yearly!$D:$AM, 28, FALSE) / VLOOKUP("LULUCF|SO2|Minor restricted activity days", US_national_yearly!$D:$AM, 10, FALSE), 1)</f>
        <v>7.1744751156164301E-3</v>
      </c>
      <c r="U14" s="7">
        <f>$B14 * IFERROR(VLOOKUP("LULUCF|SO2|Minor restricted activity days", US_national_yearly!$D:$AM, 29, FALSE) / VLOOKUP("LULUCF|SO2|Minor restricted activity days", US_national_yearly!$D:$AM, 10, FALSE), 1)</f>
        <v>7.2315084762011698E-3</v>
      </c>
      <c r="V14" s="7">
        <f>$B14 * IFERROR(VLOOKUP("LULUCF|SO2|Minor restricted activity days", US_national_yearly!$D:$AM, 30, FALSE) / VLOOKUP("LULUCF|SO2|Minor restricted activity days", US_national_yearly!$D:$AM, 10, FALSE), 1)</f>
        <v>7.2885418367859096E-3</v>
      </c>
      <c r="W14" s="7">
        <f>$B14 * IFERROR(VLOOKUP("LULUCF|SO2|Minor restricted activity days", US_national_yearly!$D:$AM, 31, FALSE) / VLOOKUP("LULUCF|SO2|Minor restricted activity days", US_national_yearly!$D:$AM, 10, FALSE), 1)</f>
        <v>7.3455751973706502E-3</v>
      </c>
      <c r="X14" s="7">
        <f>$B14 * IFERROR(VLOOKUP("LULUCF|SO2|Minor restricted activity days", US_national_yearly!$D:$AM, 32, FALSE) / VLOOKUP("LULUCF|SO2|Minor restricted activity days", US_national_yearly!$D:$AM, 10, FALSE), 1)</f>
        <v>7.3957314930839279E-3</v>
      </c>
      <c r="Y14" s="7">
        <f>$B14 * IFERROR(VLOOKUP("LULUCF|SO2|Minor restricted activity days", US_national_yearly!$D:$AM, 33, FALSE) / VLOOKUP("LULUCF|SO2|Minor restricted activity days", US_national_yearly!$D:$AM, 10, FALSE), 1)</f>
        <v>7.4458877887972064E-3</v>
      </c>
      <c r="Z14" s="7">
        <f>$B14 * IFERROR(VLOOKUP("LULUCF|SO2|Minor restricted activity days", US_national_yearly!$D:$AM, 34, FALSE) / VLOOKUP("LULUCF|SO2|Minor restricted activity days", US_national_yearly!$D:$AM, 10, FALSE), 1)</f>
        <v>7.4960440845104849E-3</v>
      </c>
      <c r="AA14" s="7">
        <f>$B14 * IFERROR(VLOOKUP("LULUCF|SO2|Minor restricted activity days", US_national_yearly!$D:$AM, 35, FALSE) / VLOOKUP("LULUCF|SO2|Minor restricted activity days", US_national_yearly!$D:$AM, 10, FALSE), 1)</f>
        <v>7.5462003802237625E-3</v>
      </c>
      <c r="AB14" s="7">
        <f>$B14 * IFERROR(VLOOKUP("LULUCF|SO2|Minor restricted activity days", US_national_yearly!$D:$AM, 36, FALSE) / VLOOKUP("LULUCF|SO2|Minor restricted activity days", US_national_yearly!$D:$AM, 10, FALSE), 1)</f>
        <v>7.5963566759370419E-3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1.0950743029372709E-3</v>
      </c>
      <c r="C15" s="7">
        <f>$B15 * IFERROR(VLOOKUP("LULUCF|SO2|Work loss days", US_national_yearly!$D:$AM, 11, FALSE) / VLOOKUP("LULUCF|SO2|Work loss days", US_national_yearly!$D:$AM, 10, FALSE), 1)</f>
        <v>1.0986221696321224E-3</v>
      </c>
      <c r="D15" s="7">
        <f>$B15 * IFERROR(VLOOKUP("LULUCF|SO2|Work loss days", US_national_yearly!$D:$AM, 12, FALSE) / VLOOKUP("LULUCF|SO2|Work loss days", US_national_yearly!$D:$AM, 10, FALSE), 1)</f>
        <v>1.102170036326974E-3</v>
      </c>
      <c r="E15" s="7">
        <f>$B15 * IFERROR(VLOOKUP("LULUCF|SO2|Work loss days", US_national_yearly!$D:$AM, 13, FALSE) / VLOOKUP("LULUCF|SO2|Work loss days", US_national_yearly!$D:$AM, 10, FALSE), 1)</f>
        <v>1.1057179030218255E-3</v>
      </c>
      <c r="F15" s="7">
        <f>$B15 * IFERROR(VLOOKUP("LULUCF|SO2|Work loss days", US_national_yearly!$D:$AM, 14, FALSE) / VLOOKUP("LULUCF|SO2|Work loss days", US_national_yearly!$D:$AM, 10, FALSE), 1)</f>
        <v>1.109265769716677E-3</v>
      </c>
      <c r="G15" s="7">
        <f>$B15 * IFERROR(VLOOKUP("LULUCF|SO2|Work loss days", US_national_yearly!$D:$AM, 15, FALSE) / VLOOKUP("LULUCF|SO2|Work loss days", US_national_yearly!$D:$AM, 10, FALSE), 1)</f>
        <v>1.113901491662737E-3</v>
      </c>
      <c r="H15" s="7">
        <f>$B15 * IFERROR(VLOOKUP("LULUCF|SO2|Work loss days", US_national_yearly!$D:$AM, 16, FALSE) / VLOOKUP("LULUCF|SO2|Work loss days", US_national_yearly!$D:$AM, 10, FALSE), 1)</f>
        <v>1.1185372136087968E-3</v>
      </c>
      <c r="I15" s="7">
        <f>$B15 * IFERROR(VLOOKUP("LULUCF|SO2|Work loss days", US_national_yearly!$D:$AM, 17, FALSE) / VLOOKUP("LULUCF|SO2|Work loss days", US_national_yearly!$D:$AM, 10, FALSE), 1)</f>
        <v>1.125318652515107E-3</v>
      </c>
      <c r="J15" s="7">
        <f>$B15 * IFERROR(VLOOKUP("LULUCF|SO2|Work loss days", US_national_yearly!$D:$AM, 18, FALSE) / VLOOKUP("LULUCF|SO2|Work loss days", US_national_yearly!$D:$AM, 10, FALSE), 1)</f>
        <v>1.1321000914214167E-3</v>
      </c>
      <c r="K15" s="7">
        <f>$B15 * IFERROR(VLOOKUP("LULUCF|SO2|Work loss days", US_national_yearly!$D:$AM, 19, FALSE) / VLOOKUP("LULUCF|SO2|Work loss days", US_national_yearly!$D:$AM, 10, FALSE), 1)</f>
        <v>1.1388815303277266E-3</v>
      </c>
      <c r="L15" s="7">
        <f>$B15 * IFERROR(VLOOKUP("LULUCF|SO2|Work loss days", US_national_yearly!$D:$AM, 20, FALSE) / VLOOKUP("LULUCF|SO2|Work loss days", US_national_yearly!$D:$AM, 10, FALSE), 1)</f>
        <v>1.1456629692340368E-3</v>
      </c>
      <c r="M15" s="7">
        <f>$B15 * IFERROR(VLOOKUP("LULUCF|SO2|Work loss days", US_national_yearly!$D:$AM, 21, FALSE) / VLOOKUP("LULUCF|SO2|Work loss days", US_national_yearly!$D:$AM, 10, FALSE), 1)</f>
        <v>1.1524444081403467E-3</v>
      </c>
      <c r="N15" s="7">
        <f>$B15 * IFERROR(VLOOKUP("LULUCF|SO2|Work loss days", US_national_yearly!$D:$AM, 22, FALSE) / VLOOKUP("LULUCF|SO2|Work loss days", US_national_yearly!$D:$AM, 10, FALSE), 1)</f>
        <v>1.1609472335927641E-3</v>
      </c>
      <c r="O15" s="7">
        <f>$B15 * IFERROR(VLOOKUP("LULUCF|SO2|Work loss days", US_national_yearly!$D:$AM, 23, FALSE) / VLOOKUP("LULUCF|SO2|Work loss days", US_national_yearly!$D:$AM, 10, FALSE), 1)</f>
        <v>1.1694500590451813E-3</v>
      </c>
      <c r="P15" s="7">
        <f>$B15 * IFERROR(VLOOKUP("LULUCF|SO2|Work loss days", US_national_yearly!$D:$AM, 24, FALSE) / VLOOKUP("LULUCF|SO2|Work loss days", US_national_yearly!$D:$AM, 10, FALSE), 1)</f>
        <v>1.1779528844975983E-3</v>
      </c>
      <c r="Q15" s="7">
        <f>$B15 * IFERROR(VLOOKUP("LULUCF|SO2|Work loss days", US_national_yearly!$D:$AM, 25, FALSE) / VLOOKUP("LULUCF|SO2|Work loss days", US_national_yearly!$D:$AM, 10, FALSE), 1)</f>
        <v>1.1864557099500155E-3</v>
      </c>
      <c r="R15" s="7">
        <f>$B15 * IFERROR(VLOOKUP("LULUCF|SO2|Work loss days", US_national_yearly!$D:$AM, 26, FALSE) / VLOOKUP("LULUCF|SO2|Work loss days", US_national_yearly!$D:$AM, 10, FALSE), 1)</f>
        <v>1.194958535402433E-3</v>
      </c>
      <c r="S15" s="7">
        <f>$B15 * IFERROR(VLOOKUP("LULUCF|SO2|Work loss days", US_national_yearly!$D:$AM, 27, FALSE) / VLOOKUP("LULUCF|SO2|Work loss days", US_national_yearly!$D:$AM, 10, FALSE), 1)</f>
        <v>1.2044604148120518E-3</v>
      </c>
      <c r="T15" s="7">
        <f>$B15 * IFERROR(VLOOKUP("LULUCF|SO2|Work loss days", US_national_yearly!$D:$AM, 28, FALSE) / VLOOKUP("LULUCF|SO2|Work loss days", US_national_yearly!$D:$AM, 10, FALSE), 1)</f>
        <v>1.2139622942216708E-3</v>
      </c>
      <c r="U15" s="7">
        <f>$B15 * IFERROR(VLOOKUP("LULUCF|SO2|Work loss days", US_national_yearly!$D:$AM, 29, FALSE) / VLOOKUP("LULUCF|SO2|Work loss days", US_national_yearly!$D:$AM, 10, FALSE), 1)</f>
        <v>1.2234641736312895E-3</v>
      </c>
      <c r="V15" s="7">
        <f>$B15 * IFERROR(VLOOKUP("LULUCF|SO2|Work loss days", US_national_yearly!$D:$AM, 30, FALSE) / VLOOKUP("LULUCF|SO2|Work loss days", US_national_yearly!$D:$AM, 10, FALSE), 1)</f>
        <v>1.2329660530409083E-3</v>
      </c>
      <c r="W15" s="7">
        <f>$B15 * IFERROR(VLOOKUP("LULUCF|SO2|Work loss days", US_national_yearly!$D:$AM, 31, FALSE) / VLOOKUP("LULUCF|SO2|Work loss days", US_national_yearly!$D:$AM, 10, FALSE), 1)</f>
        <v>1.2424679324505273E-3</v>
      </c>
      <c r="X15" s="7">
        <f>$B15 * IFERROR(VLOOKUP("LULUCF|SO2|Work loss days", US_national_yearly!$D:$AM, 32, FALSE) / VLOOKUP("LULUCF|SO2|Work loss days", US_national_yearly!$D:$AM, 10, FALSE), 1)</f>
        <v>1.2509993104534674E-3</v>
      </c>
      <c r="Y15" s="7">
        <f>$B15 * IFERROR(VLOOKUP("LULUCF|SO2|Work loss days", US_national_yearly!$D:$AM, 33, FALSE) / VLOOKUP("LULUCF|SO2|Work loss days", US_national_yearly!$D:$AM, 10, FALSE), 1)</f>
        <v>1.2595306884564078E-3</v>
      </c>
      <c r="Z15" s="7">
        <f>$B15 * IFERROR(VLOOKUP("LULUCF|SO2|Work loss days", US_national_yearly!$D:$AM, 34, FALSE) / VLOOKUP("LULUCF|SO2|Work loss days", US_national_yearly!$D:$AM, 10, FALSE), 1)</f>
        <v>1.2680620664593484E-3</v>
      </c>
      <c r="AA15" s="7">
        <f>$B15 * IFERROR(VLOOKUP("LULUCF|SO2|Work loss days", US_national_yearly!$D:$AM, 35, FALSE) / VLOOKUP("LULUCF|SO2|Work loss days", US_national_yearly!$D:$AM, 10, FALSE), 1)</f>
        <v>1.2765934444622887E-3</v>
      </c>
      <c r="AB15" s="7">
        <f>$B15 * IFERROR(VLOOKUP("LULUCF|SO2|Work loss days", US_national_yearly!$D:$AM, 36, FALSE) / VLOOKUP("LULUCF|SO2|Work loss days", US_national_yearly!$D:$AM, 10, FALSE), 1)</f>
        <v>1.2851248224652291E-3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2.2929283643274084E-6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2.3622752986544674E-6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2.4316222329815269E-6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2.5009691673085859E-6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2.5703161016356458E-6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2.6367438708581687E-6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2.7031716400806924E-6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2.7600872750383949E-6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2.8170029099960974E-6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2.8739185449537998E-6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2.9308341799115023E-6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2.9877498148692043E-6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3.0259841567612967E-6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3.0642184986533887E-6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3.1024528405454803E-6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3.1406871824375723E-6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3.1789215243296647E-6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3.1990300658772198E-6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3.2191386074247749E-6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3.2392471489723296E-6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3.2593556905198848E-6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3.2794642320674399E-6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3.2929637607459107E-6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3.306463289424381E-6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3.3199628181028518E-6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3.3334623467813226E-6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3.346961875459793E-6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2026-06-15T17:16:49Z</dcterms:modified>
</cp:coreProperties>
</file>