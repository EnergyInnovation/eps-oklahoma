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OK\add-outputs\NoH\"/>
    </mc:Choice>
  </mc:AlternateContent>
  <xr:revisionPtr revIDLastSave="0" documentId="8_{C068CB65-66D9-49B2-877E-371F6F8D6AB5}"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J2" i="3"/>
  <c r="D2" i="3"/>
  <c r="Z2" i="3"/>
  <c r="I2" i="3"/>
  <c r="E2" i="3"/>
  <c r="AA2" i="3"/>
  <c r="H2" i="3"/>
  <c r="B2" i="3"/>
  <c r="O2" i="3"/>
  <c r="Q2" i="3"/>
  <c r="T2" i="3"/>
  <c r="V2" i="3"/>
  <c r="F2" i="3"/>
  <c r="AB2" i="3"/>
  <c r="AD2" i="3"/>
  <c r="G2" i="3"/>
  <c r="AC2" i="3"/>
  <c r="AE2" i="3"/>
  <c r="R2" i="3"/>
  <c r="X2" i="3"/>
  <c r="W2" i="3"/>
  <c r="U2" i="3"/>
  <c r="K2" i="3"/>
  <c r="M2" i="3"/>
  <c r="N2" i="3"/>
  <c r="P2" i="3"/>
  <c r="L2" i="3"/>
  <c r="S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<sst xmlns="http://schemas.openxmlformats.org/spreadsheetml/2006/main" count="1069" uniqueCount="448">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</sst>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396</v>
      </c>
      <c r="C1" s="68">
        <v>46185</v>
      </c>
      <c r="H1" t="s">
        <v>324</v>
      </c>
      <c r="I1" t="s">
        <v>325</v>
      </c>
    </row>
    <row r="2" spans="1:9" x14ac:dyDescent="0.25">
      <c r="B2" t="str">
        <f>VLOOKUP(B1,H2:I52,2)</f>
        <v>OK</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1544200.8614338504</v>
      </c>
      <c r="C2">
        <f>SUMIFS('state calcs'!C62:C112,'state calcs'!$A$62:$A$112,About!$B$2)</f>
        <v>1566205.633530922</v>
      </c>
      <c r="D2">
        <f>SUMIFS('state calcs'!D62:D112,'state calcs'!$A$62:$A$112,About!$B$2)</f>
        <v>1578921.471911682</v>
      </c>
      <c r="E2">
        <f>SUMIFS('state calcs'!E62:E112,'state calcs'!$A$62:$A$112,About!$B$2)</f>
        <v>1591646.607772528</v>
      </c>
      <c r="F2">
        <f>SUMIFS('state calcs'!F62:F112,'state calcs'!$A$62:$A$112,About!$B$2)</f>
        <v>1604686.9704098618</v>
      </c>
      <c r="G2">
        <f>SUMIFS('state calcs'!G62:G112,'state calcs'!$A$62:$A$112,About!$B$2)</f>
        <v>1617668.2815095547</v>
      </c>
      <c r="H2">
        <f>SUMIFS('state calcs'!H62:H112,'state calcs'!$A$62:$A$112,About!$B$2)</f>
        <v>1630706.4505701624</v>
      </c>
      <c r="I2">
        <f>SUMIFS('state calcs'!I62:I112,'state calcs'!$A$62:$A$112,About!$B$2)</f>
        <v>1643831.4779271558</v>
      </c>
      <c r="J2">
        <f>SUMIFS('state calcs'!J62:J112,'state calcs'!$A$62:$A$112,About!$B$2)</f>
        <v>1656824.436160129</v>
      </c>
      <c r="K2">
        <f>SUMIFS('state calcs'!K62:K112,'state calcs'!$A$62:$A$112,About!$B$2)</f>
        <v>1669420.527511525</v>
      </c>
      <c r="L2">
        <f>SUMIFS('state calcs'!L62:L112,'state calcs'!$A$62:$A$112,About!$B$2)</f>
        <v>1680348.8277001632</v>
      </c>
      <c r="M2">
        <f>SUMIFS('state calcs'!M62:M112,'state calcs'!$A$62:$A$112,About!$B$2)</f>
        <v>1691138.0852488561</v>
      </c>
      <c r="N2">
        <f>SUMIFS('state calcs'!N62:N112,'state calcs'!$A$62:$A$112,About!$B$2)</f>
        <v>1701587.7460564366</v>
      </c>
      <c r="O2">
        <f>SUMIFS('state calcs'!O62:O112,'state calcs'!$A$62:$A$112,About!$B$2)</f>
        <v>1711575.6891645149</v>
      </c>
      <c r="P2">
        <f>SUMIFS('state calcs'!P62:P112,'state calcs'!$A$62:$A$112,About!$B$2)</f>
        <v>1721351.3392301276</v>
      </c>
      <c r="Q2">
        <f>SUMIFS('state calcs'!Q62:Q112,'state calcs'!$A$62:$A$112,About!$B$2)</f>
        <v>1731115.7327166107</v>
      </c>
      <c r="R2">
        <f>SUMIFS('state calcs'!R62:R112,'state calcs'!$A$62:$A$112,About!$B$2)</f>
        <v>1740766.4967363251</v>
      </c>
      <c r="S2">
        <f>SUMIFS('state calcs'!S62:S112,'state calcs'!$A$62:$A$112,About!$B$2)</f>
        <v>1750333.3416841414</v>
      </c>
      <c r="T2">
        <f>SUMIFS('state calcs'!T62:T112,'state calcs'!$A$62:$A$112,About!$B$2)</f>
        <v>1759777.0123495068</v>
      </c>
      <c r="U2">
        <f>SUMIFS('state calcs'!U62:U112,'state calcs'!$A$62:$A$112,About!$B$2)</f>
        <v>1769337.6546004515</v>
      </c>
      <c r="V2">
        <f>SUMIFS('state calcs'!V62:V112,'state calcs'!$A$62:$A$112,About!$B$2)</f>
        <v>1778338.8601145658</v>
      </c>
      <c r="W2">
        <f>SUMIFS('state calcs'!W62:W112,'state calcs'!$A$62:$A$112,About!$B$2)</f>
        <v>1787107.4955422024</v>
      </c>
      <c r="X2">
        <f>SUMIFS('state calcs'!X62:X112,'state calcs'!$A$62:$A$112,About!$B$2)</f>
        <v>1795741.3274963088</v>
      </c>
      <c r="Y2">
        <f>SUMIFS('state calcs'!Y62:Y112,'state calcs'!$A$62:$A$112,About!$B$2)</f>
        <v>1804250.5369850409</v>
      </c>
      <c r="Z2">
        <f>SUMIFS('state calcs'!Z62:Z112,'state calcs'!$A$62:$A$112,About!$B$2)</f>
        <v>1812648.8961097202</v>
      </c>
      <c r="AA2">
        <f>SUMIFS('state calcs'!AA62:AA112,'state calcs'!$A$62:$A$112,About!$B$2)</f>
        <v>1820891.7605810722</v>
      </c>
      <c r="AB2">
        <f>SUMIFS('state calcs'!AB62:AB112,'state calcs'!$A$62:$A$112,About!$B$2)</f>
        <v>1829056.8977293624</v>
      </c>
      <c r="AC2">
        <f>SUMIFS('state calcs'!AC62:AC112,'state calcs'!$A$62:$A$112,About!$B$2)</f>
        <v>1837059.3330952444</v>
      </c>
      <c r="AD2">
        <f>SUMIFS('state calcs'!AD62:AD112,'state calcs'!$A$62:$A$112,About!$B$2)</f>
        <v>1844887.5757543249</v>
      </c>
      <c r="AE2">
        <f>SUMIFS('state calcs'!AE62:AE112,'state calcs'!$A$62:$A$112,About!$B$2)</f>
        <v>1852579.0464624842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2026-06-12T19:29:41Z</dcterms:modified>
</cp:coreProperties>
</file>