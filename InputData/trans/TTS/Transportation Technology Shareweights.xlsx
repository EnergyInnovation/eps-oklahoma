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0A0D50DA-72EC-4138-A20D-61650A9F791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J92" i="10"/>
  <c r="I92" i="10"/>
  <c r="G92" i="10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J19" i="7" s="1"/>
  <c r="E18" i="6"/>
  <c r="I19" i="7" s="1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K39" i="7" l="1"/>
  <c r="J14" i="7"/>
  <c r="J41" i="10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J7" i="7"/>
  <c r="I45" i="7"/>
  <c r="J10" i="7"/>
  <c r="J70" i="10"/>
  <c r="B6" i="19" s="1"/>
  <c r="J46" i="7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I31" i="7"/>
  <c r="J31" i="7"/>
  <c r="K47" i="7"/>
  <c r="I8" i="7"/>
  <c r="J8" i="7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35" i="7" l="1"/>
  <c r="N35" i="7" s="1"/>
  <c r="Q35" i="7" s="1"/>
  <c r="M46" i="7"/>
  <c r="M14" i="7"/>
  <c r="N14" i="7" s="1"/>
  <c r="M29" i="7"/>
  <c r="M6" i="7"/>
  <c r="N6" i="7" s="1"/>
  <c r="Q6" i="7" s="1"/>
  <c r="M8" i="7"/>
  <c r="N8" i="7" s="1"/>
  <c r="M23" i="7"/>
  <c r="N23" i="7" s="1"/>
  <c r="C1" i="21"/>
  <c r="M37" i="7"/>
  <c r="N37" i="7" s="1"/>
  <c r="M40" i="7"/>
  <c r="N40" i="7" s="1"/>
  <c r="M21" i="7"/>
  <c r="N21" i="7" s="1"/>
  <c r="P21" i="7" s="1"/>
  <c r="M44" i="7"/>
  <c r="N44" i="7" s="1"/>
  <c r="O44" i="7" s="1"/>
  <c r="M39" i="7"/>
  <c r="N39" i="7" s="1"/>
  <c r="M43" i="7"/>
  <c r="N43" i="7" s="1"/>
  <c r="O43" i="7" s="1"/>
  <c r="M27" i="7"/>
  <c r="N27" i="7" s="1"/>
  <c r="M45" i="7"/>
  <c r="N45" i="7" s="1"/>
  <c r="M41" i="7"/>
  <c r="N41" i="7" s="1"/>
  <c r="Q41" i="7" s="1"/>
  <c r="M51" i="7"/>
  <c r="N51" i="7" s="1"/>
  <c r="M50" i="7"/>
  <c r="N50" i="7" s="1"/>
  <c r="O50" i="7" s="1"/>
  <c r="AG50" i="7" s="1"/>
  <c r="M28" i="7"/>
  <c r="N28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N10" i="7" s="1"/>
  <c r="O10" i="7" s="1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M11" i="7"/>
  <c r="N11" i="7" s="1"/>
  <c r="P11" i="7" s="1"/>
  <c r="AH11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M15" i="7"/>
  <c r="N15" i="7" s="1"/>
  <c r="P15" i="7" s="1"/>
  <c r="K39" i="10"/>
  <c r="C3" i="15" s="1"/>
  <c r="M12" i="7"/>
  <c r="N12" i="7" s="1"/>
  <c r="K76" i="10"/>
  <c r="C5" i="20" s="1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K88" i="10"/>
  <c r="K58" i="10"/>
  <c r="C8" i="17" s="1"/>
  <c r="K89" i="10"/>
  <c r="K38" i="10"/>
  <c r="C2" i="15" s="1"/>
  <c r="E52" i="10"/>
  <c r="M38" i="7"/>
  <c r="N38" i="7" s="1"/>
  <c r="M13" i="7"/>
  <c r="N13" i="7" s="1"/>
  <c r="Q48" i="7" l="1"/>
  <c r="AI48" i="7" s="1"/>
  <c r="P20" i="7"/>
  <c r="O14" i="7"/>
  <c r="AG14" i="7" s="1"/>
  <c r="P14" i="7"/>
  <c r="Q14" i="7"/>
  <c r="AI14" i="7" s="1"/>
  <c r="Q15" i="7"/>
  <c r="AI15" i="7" s="1"/>
  <c r="O15" i="7"/>
  <c r="Q36" i="7"/>
  <c r="AI36" i="7" s="1"/>
  <c r="L23" i="10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AI44" i="7" s="1"/>
  <c r="P44" i="7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AI22" i="7" s="1"/>
  <c r="P32" i="7"/>
  <c r="AH32" i="7" s="1"/>
  <c r="Q11" i="7"/>
  <c r="AI11" i="7" s="1"/>
  <c r="P31" i="7"/>
  <c r="AH31" i="7" s="1"/>
  <c r="Q50" i="7"/>
  <c r="AI50" i="7" s="1"/>
  <c r="O48" i="7"/>
  <c r="O31" i="7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AG17" i="7" s="1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P34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G10" i="7"/>
  <c r="AJ9" i="7"/>
  <c r="AJ50" i="7"/>
  <c r="Q23" i="7"/>
  <c r="P23" i="7"/>
  <c r="O23" i="7"/>
  <c r="AH20" i="7"/>
  <c r="Q28" i="7"/>
  <c r="O28" i="7"/>
  <c r="P28" i="7"/>
  <c r="AG15" i="7"/>
  <c r="R15" i="7"/>
  <c r="S15" i="7" s="1"/>
  <c r="Q51" i="7"/>
  <c r="O51" i="7"/>
  <c r="P51" i="7"/>
  <c r="P13" i="7"/>
  <c r="O13" i="7"/>
  <c r="Q13" i="7"/>
  <c r="AI6" i="7"/>
  <c r="Q7" i="7"/>
  <c r="O7" i="7"/>
  <c r="P7" i="7"/>
  <c r="AG34" i="7"/>
  <c r="AH14" i="7"/>
  <c r="AI49" i="7"/>
  <c r="AG29" i="7"/>
  <c r="AI19" i="7"/>
  <c r="AI41" i="7"/>
  <c r="AH33" i="7"/>
  <c r="AG44" i="7"/>
  <c r="Q27" i="7"/>
  <c r="P27" i="7"/>
  <c r="O27" i="7"/>
  <c r="AI26" i="7"/>
  <c r="O38" i="7"/>
  <c r="P38" i="7"/>
  <c r="Q38" i="7"/>
  <c r="R14" i="7"/>
  <c r="T14" i="7" s="1"/>
  <c r="AG20" i="7"/>
  <c r="R31" i="7" l="1"/>
  <c r="T31" i="7" s="1"/>
  <c r="R36" i="7"/>
  <c r="W36" i="7" s="1"/>
  <c r="R44" i="7"/>
  <c r="S44" i="7" s="1"/>
  <c r="R29" i="7"/>
  <c r="T29" i="7" s="1"/>
  <c r="R20" i="7"/>
  <c r="U20" i="7" s="1"/>
  <c r="R10" i="7"/>
  <c r="U10" i="7" s="1"/>
  <c r="AH50" i="7"/>
  <c r="M93" i="10"/>
  <c r="M40" i="10"/>
  <c r="E4" i="15" s="1"/>
  <c r="R34" i="7"/>
  <c r="T34" i="7" s="1"/>
  <c r="AH36" i="7"/>
  <c r="AH44" i="7"/>
  <c r="M46" i="10"/>
  <c r="E3" i="16" s="1"/>
  <c r="M50" i="10"/>
  <c r="E7" i="16" s="1"/>
  <c r="M57" i="10"/>
  <c r="E7" i="17" s="1"/>
  <c r="M61" i="10"/>
  <c r="E4" i="18" s="1"/>
  <c r="V36" i="7"/>
  <c r="M42" i="10"/>
  <c r="E6" i="15" s="1"/>
  <c r="Y36" i="7"/>
  <c r="M60" i="10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U36" i="7"/>
  <c r="M90" i="10"/>
  <c r="M67" i="10"/>
  <c r="E3" i="19" s="1"/>
  <c r="M27" i="10"/>
  <c r="E5" i="13" s="1"/>
  <c r="R53" i="7"/>
  <c r="Y53" i="7" s="1"/>
  <c r="M23" i="10"/>
  <c r="E8" i="12" s="1"/>
  <c r="X36" i="7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T36" i="7"/>
  <c r="S36" i="7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M66" i="10"/>
  <c r="E2" i="19" s="1"/>
  <c r="M36" i="10"/>
  <c r="E7" i="14" s="1"/>
  <c r="M44" i="10"/>
  <c r="E8" i="15" s="1"/>
  <c r="E1" i="22"/>
  <c r="S31" i="7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AG46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X50" i="7"/>
  <c r="AH9" i="7"/>
  <c r="AK9" i="7" s="1"/>
  <c r="R41" i="7"/>
  <c r="U41" i="7" s="1"/>
  <c r="M70" i="10"/>
  <c r="E6" i="19" s="1"/>
  <c r="M74" i="10"/>
  <c r="E3" i="20" s="1"/>
  <c r="T50" i="7"/>
  <c r="V50" i="7"/>
  <c r="W50" i="7"/>
  <c r="K52" i="10"/>
  <c r="C2" i="17" s="1"/>
  <c r="T15" i="7"/>
  <c r="R18" i="7"/>
  <c r="U18" i="7" s="1"/>
  <c r="AG18" i="7"/>
  <c r="AG47" i="7"/>
  <c r="R47" i="7"/>
  <c r="U47" i="7" s="1"/>
  <c r="AH47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S40" i="7" s="1"/>
  <c r="AG40" i="7"/>
  <c r="AJ40" i="7" s="1"/>
  <c r="L52" i="10"/>
  <c r="D2" i="17" s="1"/>
  <c r="R51" i="7"/>
  <c r="T51" i="7" s="1"/>
  <c r="AG51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V14" i="7"/>
  <c r="X14" i="7"/>
  <c r="W14" i="7"/>
  <c r="Y14" i="7"/>
  <c r="S14" i="7"/>
  <c r="AG38" i="7"/>
  <c r="R38" i="7"/>
  <c r="U38" i="7" s="1"/>
  <c r="AL50" i="7"/>
  <c r="AL9" i="7"/>
  <c r="AI7" i="7"/>
  <c r="AG28" i="7"/>
  <c r="R28" i="7"/>
  <c r="S28" i="7" s="1"/>
  <c r="AI45" i="7"/>
  <c r="AI13" i="7"/>
  <c r="Y31" i="7"/>
  <c r="X31" i="7"/>
  <c r="W31" i="7"/>
  <c r="V31" i="7"/>
  <c r="U31" i="7"/>
  <c r="AG13" i="7"/>
  <c r="R13" i="7"/>
  <c r="S13" i="7" s="1"/>
  <c r="AG37" i="7"/>
  <c r="R37" i="7"/>
  <c r="U37" i="7" s="1"/>
  <c r="AI38" i="7"/>
  <c r="AH38" i="7"/>
  <c r="AI12" i="7"/>
  <c r="AG7" i="7"/>
  <c r="R7" i="7"/>
  <c r="U7" i="7" s="1"/>
  <c r="AI51" i="7"/>
  <c r="AH45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AH23" i="7"/>
  <c r="AH27" i="7"/>
  <c r="V44" i="7"/>
  <c r="W44" i="7"/>
  <c r="Y44" i="7"/>
  <c r="X44" i="7"/>
  <c r="AH51" i="7"/>
  <c r="R45" i="7"/>
  <c r="U45" i="7" s="1"/>
  <c r="AG45" i="7"/>
  <c r="U44" i="7"/>
  <c r="AI39" i="7"/>
  <c r="AH37" i="7"/>
  <c r="T44" i="7"/>
  <c r="AI27" i="7"/>
  <c r="X10" i="7" l="1"/>
  <c r="S10" i="7"/>
  <c r="W10" i="7"/>
  <c r="S29" i="7"/>
  <c r="W29" i="7"/>
  <c r="X29" i="7"/>
  <c r="V29" i="7"/>
  <c r="Y29" i="7"/>
  <c r="Y34" i="7"/>
  <c r="V34" i="7"/>
  <c r="X34" i="7"/>
  <c r="W34" i="7"/>
  <c r="U6" i="7"/>
  <c r="S37" i="7"/>
  <c r="V10" i="7"/>
  <c r="Y10" i="7"/>
  <c r="T10" i="7"/>
  <c r="Z10" i="7" s="1"/>
  <c r="T20" i="7"/>
  <c r="U42" i="7"/>
  <c r="W20" i="7"/>
  <c r="X20" i="7"/>
  <c r="Y20" i="7"/>
  <c r="V20" i="7"/>
  <c r="S20" i="7"/>
  <c r="T47" i="7"/>
  <c r="U34" i="7"/>
  <c r="N58" i="10"/>
  <c r="F8" i="17" s="1"/>
  <c r="S34" i="7"/>
  <c r="S47" i="7"/>
  <c r="X46" i="7"/>
  <c r="N70" i="10"/>
  <c r="F6" i="19" s="1"/>
  <c r="T26" i="7"/>
  <c r="U26" i="7"/>
  <c r="N25" i="10"/>
  <c r="F3" i="13" s="1"/>
  <c r="X26" i="7"/>
  <c r="N89" i="10"/>
  <c r="Y6" i="7"/>
  <c r="W26" i="7"/>
  <c r="V26" i="7"/>
  <c r="S17" i="7"/>
  <c r="U46" i="7"/>
  <c r="AK36" i="7"/>
  <c r="Z36" i="7"/>
  <c r="T6" i="7"/>
  <c r="X6" i="7"/>
  <c r="S18" i="7"/>
  <c r="V6" i="7"/>
  <c r="T17" i="7"/>
  <c r="AB36" i="7"/>
  <c r="W17" i="7"/>
  <c r="V17" i="7"/>
  <c r="K55" i="10"/>
  <c r="C5" i="17" s="1"/>
  <c r="L55" i="10"/>
  <c r="D5" i="17" s="1"/>
  <c r="Y26" i="7"/>
  <c r="M55" i="10"/>
  <c r="E5" i="17" s="1"/>
  <c r="S53" i="7"/>
  <c r="T53" i="7"/>
  <c r="X53" i="7"/>
  <c r="V53" i="7"/>
  <c r="AA36" i="7"/>
  <c r="X17" i="7"/>
  <c r="W19" i="7"/>
  <c r="W6" i="7"/>
  <c r="Y17" i="7"/>
  <c r="S27" i="7"/>
  <c r="X19" i="7"/>
  <c r="AB50" i="7"/>
  <c r="U53" i="7"/>
  <c r="W53" i="7"/>
  <c r="S43" i="7"/>
  <c r="Y19" i="7"/>
  <c r="U30" i="7"/>
  <c r="N26" i="10"/>
  <c r="F4" i="13" s="1"/>
  <c r="N47" i="10"/>
  <c r="F4" i="16" s="1"/>
  <c r="F1" i="22"/>
  <c r="V24" i="7"/>
  <c r="U24" i="7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U11" i="7"/>
  <c r="Y11" i="7"/>
  <c r="AB31" i="7"/>
  <c r="U43" i="7"/>
  <c r="T30" i="7"/>
  <c r="V43" i="7"/>
  <c r="U52" i="7"/>
  <c r="S52" i="7"/>
  <c r="V30" i="7"/>
  <c r="X52" i="7"/>
  <c r="X43" i="7"/>
  <c r="W21" i="7"/>
  <c r="Y21" i="7"/>
  <c r="X21" i="7"/>
  <c r="Z50" i="7"/>
  <c r="S9" i="7"/>
  <c r="X9" i="7"/>
  <c r="V9" i="7"/>
  <c r="Y9" i="7"/>
  <c r="W9" i="7"/>
  <c r="T11" i="7"/>
  <c r="AJ36" i="7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Z44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Z29" i="7"/>
  <c r="AL24" i="7"/>
  <c r="Z15" i="7"/>
  <c r="S33" i="7"/>
  <c r="T42" i="7"/>
  <c r="S16" i="7"/>
  <c r="V16" i="7"/>
  <c r="Y16" i="7"/>
  <c r="X16" i="7"/>
  <c r="W16" i="7"/>
  <c r="U12" i="7"/>
  <c r="T16" i="7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J48" i="7"/>
  <c r="AJ16" i="7"/>
  <c r="AL44" i="7"/>
  <c r="T38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AA29" i="7"/>
  <c r="X12" i="7"/>
  <c r="V12" i="7"/>
  <c r="Y12" i="7"/>
  <c r="W12" i="7"/>
  <c r="AJ23" i="7"/>
  <c r="AJ45" i="7"/>
  <c r="T7" i="7"/>
  <c r="AL20" i="7"/>
  <c r="AJ8" i="7"/>
  <c r="AL52" i="7"/>
  <c r="AJ14" i="7"/>
  <c r="AJ46" i="7"/>
  <c r="AL43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L19" i="7"/>
  <c r="W13" i="7"/>
  <c r="X13" i="7"/>
  <c r="V13" i="7"/>
  <c r="Y13" i="7"/>
  <c r="AB29" i="7"/>
  <c r="U51" i="7"/>
  <c r="AB44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AA31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Y23" i="7"/>
  <c r="V23" i="7"/>
  <c r="X23" i="7"/>
  <c r="W23" i="7"/>
  <c r="S38" i="7"/>
  <c r="Z31" i="7"/>
  <c r="AA44" i="7"/>
  <c r="AJ17" i="7"/>
  <c r="S51" i="7"/>
  <c r="AA34" i="7" l="1"/>
  <c r="AB10" i="7"/>
  <c r="Z34" i="7"/>
  <c r="AB20" i="7"/>
  <c r="AB34" i="7"/>
  <c r="AA20" i="7"/>
  <c r="AA10" i="7"/>
  <c r="Z26" i="7"/>
  <c r="AA26" i="7"/>
  <c r="AB26" i="7"/>
  <c r="O26" i="10"/>
  <c r="G4" i="13" s="1"/>
  <c r="O61" i="10"/>
  <c r="G4" i="18" s="1"/>
  <c r="Z20" i="7"/>
  <c r="O71" i="10"/>
  <c r="G7" i="19" s="1"/>
  <c r="O77" i="10"/>
  <c r="G6" i="20" s="1"/>
  <c r="G1" i="16"/>
  <c r="G1" i="13"/>
  <c r="AM36" i="7"/>
  <c r="AP36" i="7" s="1"/>
  <c r="AB17" i="7"/>
  <c r="G1" i="12"/>
  <c r="O28" i="10"/>
  <c r="G6" i="13" s="1"/>
  <c r="O20" i="10"/>
  <c r="G5" i="12" s="1"/>
  <c r="AC36" i="7"/>
  <c r="AD36" i="7" s="1"/>
  <c r="AB6" i="7"/>
  <c r="Z17" i="7"/>
  <c r="O50" i="10"/>
  <c r="G7" i="16" s="1"/>
  <c r="O76" i="10"/>
  <c r="G5" i="20" s="1"/>
  <c r="O73" i="10"/>
  <c r="G2" i="20" s="1"/>
  <c r="O60" i="10"/>
  <c r="G3" i="18" s="1"/>
  <c r="P9" i="10"/>
  <c r="H1" i="22" s="1"/>
  <c r="AB7" i="7"/>
  <c r="O52" i="10"/>
  <c r="G2" i="17" s="1"/>
  <c r="O35" i="10"/>
  <c r="G6" i="14" s="1"/>
  <c r="AA46" i="7"/>
  <c r="AB24" i="7"/>
  <c r="O66" i="10"/>
  <c r="G2" i="19" s="1"/>
  <c r="G1" i="11"/>
  <c r="O54" i="10"/>
  <c r="G4" i="17" s="1"/>
  <c r="O22" i="10"/>
  <c r="G7" i="12" s="1"/>
  <c r="O92" i="10"/>
  <c r="O41" i="10"/>
  <c r="G5" i="15" s="1"/>
  <c r="AA6" i="7"/>
  <c r="O43" i="10"/>
  <c r="G7" i="15" s="1"/>
  <c r="O47" i="10"/>
  <c r="G4" i="16" s="1"/>
  <c r="Z6" i="7"/>
  <c r="AA17" i="7"/>
  <c r="O32" i="10"/>
  <c r="G3" i="14" s="1"/>
  <c r="O62" i="10"/>
  <c r="G5" i="18" s="1"/>
  <c r="AB25" i="7"/>
  <c r="O48" i="10"/>
  <c r="G5" i="16" s="1"/>
  <c r="G1" i="18"/>
  <c r="O58" i="10"/>
  <c r="G8" i="17" s="1"/>
  <c r="O68" i="10"/>
  <c r="G4" i="19" s="1"/>
  <c r="O70" i="10"/>
  <c r="G6" i="19" s="1"/>
  <c r="G1" i="14"/>
  <c r="AA53" i="7"/>
  <c r="O30" i="10"/>
  <c r="G8" i="13" s="1"/>
  <c r="G1" i="20"/>
  <c r="AB53" i="7"/>
  <c r="O93" i="10"/>
  <c r="G1" i="19"/>
  <c r="Z52" i="7"/>
  <c r="Z9" i="7"/>
  <c r="AA21" i="7"/>
  <c r="Z46" i="7"/>
  <c r="Z49" i="7"/>
  <c r="AA22" i="7"/>
  <c r="AB52" i="7"/>
  <c r="AB46" i="7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B11" i="7"/>
  <c r="G1" i="17"/>
  <c r="AA43" i="7"/>
  <c r="O57" i="10"/>
  <c r="G7" i="17" s="1"/>
  <c r="O27" i="10"/>
  <c r="G5" i="13" s="1"/>
  <c r="G1" i="22"/>
  <c r="AA11" i="7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C44" i="7"/>
  <c r="AD44" i="7" s="1"/>
  <c r="AB30" i="7"/>
  <c r="AB41" i="7"/>
  <c r="Z35" i="7"/>
  <c r="AC15" i="7"/>
  <c r="AD15" i="7" s="1"/>
  <c r="AB45" i="7"/>
  <c r="AA35" i="7"/>
  <c r="AA39" i="7"/>
  <c r="AC29" i="7"/>
  <c r="AD29" i="7" s="1"/>
  <c r="AA16" i="7"/>
  <c r="AA33" i="7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Z27" i="7"/>
  <c r="Z16" i="7"/>
  <c r="AB47" i="7"/>
  <c r="AM14" i="7"/>
  <c r="AN14" i="7" s="1"/>
  <c r="AM19" i="7"/>
  <c r="AN19" i="7" s="1"/>
  <c r="AM49" i="7"/>
  <c r="AO49" i="7" s="1"/>
  <c r="AB23" i="7"/>
  <c r="AM31" i="7"/>
  <c r="AP31" i="7" s="1"/>
  <c r="AB42" i="7"/>
  <c r="AM22" i="7"/>
  <c r="AP22" i="7" s="1"/>
  <c r="AM46" i="7"/>
  <c r="AN46" i="7" s="1"/>
  <c r="AA37" i="7"/>
  <c r="AM25" i="7"/>
  <c r="AP25" i="7" s="1"/>
  <c r="AM34" i="7"/>
  <c r="AN34" i="7" s="1"/>
  <c r="AM28" i="7"/>
  <c r="AO28" i="7" s="1"/>
  <c r="AM35" i="7"/>
  <c r="AN35" i="7" s="1"/>
  <c r="AM45" i="7"/>
  <c r="AO45" i="7" s="1"/>
  <c r="AA12" i="7"/>
  <c r="AM53" i="7"/>
  <c r="AN53" i="7"/>
  <c r="AM51" i="7"/>
  <c r="AO51" i="7" s="1"/>
  <c r="AA27" i="7"/>
  <c r="Z37" i="7"/>
  <c r="AM23" i="7"/>
  <c r="AN23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A28" i="7"/>
  <c r="AM39" i="7"/>
  <c r="AN39" i="7" s="1"/>
  <c r="AM52" i="7"/>
  <c r="AO52" i="7" s="1"/>
  <c r="Z12" i="7"/>
  <c r="Z23" i="7"/>
  <c r="AM12" i="7"/>
  <c r="AO12" i="7" s="1"/>
  <c r="AM8" i="7"/>
  <c r="AP8" i="7" s="1"/>
  <c r="AM42" i="7"/>
  <c r="AN42" i="7" s="1"/>
  <c r="AM43" i="7"/>
  <c r="AN43" i="7" s="1"/>
  <c r="Z13" i="7"/>
  <c r="Z38" i="7"/>
  <c r="AM44" i="7"/>
  <c r="AP44" i="7" s="1"/>
  <c r="AM6" i="7"/>
  <c r="AN6" i="7" s="1"/>
  <c r="Z51" i="7"/>
  <c r="AM24" i="7"/>
  <c r="AN24" i="7" s="1"/>
  <c r="AM47" i="7"/>
  <c r="AP47" i="7" s="1"/>
  <c r="AM38" i="7"/>
  <c r="AN38" i="7" s="1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C31" i="7"/>
  <c r="AD31" i="7" s="1"/>
  <c r="Z28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/>
  <c r="AC34" i="7" l="1"/>
  <c r="AD34" i="7" s="1"/>
  <c r="AC10" i="7"/>
  <c r="AD10" i="7" s="1"/>
  <c r="AO36" i="7"/>
  <c r="AC26" i="7"/>
  <c r="AD26" i="7" s="1"/>
  <c r="AC20" i="7"/>
  <c r="AD20" i="7" s="1"/>
  <c r="AN36" i="7"/>
  <c r="AN45" i="7"/>
  <c r="AN30" i="7"/>
  <c r="AQ36" i="7"/>
  <c r="AT36" i="7"/>
  <c r="AS36" i="7"/>
  <c r="AR36" i="7"/>
  <c r="AN27" i="7"/>
  <c r="AN49" i="7"/>
  <c r="AN8" i="7"/>
  <c r="H1" i="11"/>
  <c r="P19" i="10"/>
  <c r="H4" i="12" s="1"/>
  <c r="P51" i="10"/>
  <c r="H8" i="16" s="1"/>
  <c r="P37" i="10"/>
  <c r="H8" i="14" s="1"/>
  <c r="P47" i="10"/>
  <c r="H4" i="16" s="1"/>
  <c r="P92" i="10"/>
  <c r="AC11" i="7"/>
  <c r="AD11" i="7" s="1"/>
  <c r="P71" i="10"/>
  <c r="H7" i="19" s="1"/>
  <c r="P43" i="10"/>
  <c r="H7" i="15" s="1"/>
  <c r="P87" i="10"/>
  <c r="P54" i="10"/>
  <c r="H4" i="17" s="1"/>
  <c r="P55" i="10"/>
  <c r="H5" i="17" s="1"/>
  <c r="P52" i="10"/>
  <c r="H2" i="17" s="1"/>
  <c r="P78" i="10"/>
  <c r="H7" i="20" s="1"/>
  <c r="P34" i="10"/>
  <c r="H5" i="14" s="1"/>
  <c r="P46" i="10"/>
  <c r="H3" i="16" s="1"/>
  <c r="P60" i="10"/>
  <c r="H3" i="18" s="1"/>
  <c r="P23" i="10"/>
  <c r="H8" i="12" s="1"/>
  <c r="P53" i="10"/>
  <c r="H3" i="17" s="1"/>
  <c r="AQ10" i="7"/>
  <c r="P72" i="10"/>
  <c r="H8" i="19" s="1"/>
  <c r="AS10" i="7"/>
  <c r="P56" i="10"/>
  <c r="H6" i="17" s="1"/>
  <c r="P77" i="10"/>
  <c r="H6" i="20" s="1"/>
  <c r="H1" i="15"/>
  <c r="P40" i="10"/>
  <c r="H4" i="15" s="1"/>
  <c r="P33" i="10"/>
  <c r="H4" i="14" s="1"/>
  <c r="P59" i="10"/>
  <c r="H2" i="18" s="1"/>
  <c r="P90" i="10"/>
  <c r="P61" i="10"/>
  <c r="H4" i="18" s="1"/>
  <c r="P36" i="10"/>
  <c r="H7" i="14" s="1"/>
  <c r="P64" i="10"/>
  <c r="H7" i="18" s="1"/>
  <c r="P65" i="10"/>
  <c r="H8" i="18" s="1"/>
  <c r="P18" i="10"/>
  <c r="H3" i="12" s="1"/>
  <c r="P30" i="10"/>
  <c r="H8" i="13" s="1"/>
  <c r="AC53" i="7"/>
  <c r="AD53" i="7" s="1"/>
  <c r="AC33" i="7"/>
  <c r="AD33" i="7" s="1"/>
  <c r="P44" i="10"/>
  <c r="H8" i="15" s="1"/>
  <c r="P73" i="10"/>
  <c r="H2" i="20" s="1"/>
  <c r="H1" i="20"/>
  <c r="P26" i="10"/>
  <c r="H4" i="13" s="1"/>
  <c r="AT10" i="7"/>
  <c r="P79" i="10"/>
  <c r="H8" i="20" s="1"/>
  <c r="P20" i="10"/>
  <c r="H5" i="12" s="1"/>
  <c r="H1" i="18"/>
  <c r="AC9" i="7"/>
  <c r="AD9" i="7" s="1"/>
  <c r="P91" i="10"/>
  <c r="Q9" i="10"/>
  <c r="I1" i="18" s="1"/>
  <c r="P25" i="10"/>
  <c r="H3" i="13" s="1"/>
  <c r="P69" i="10"/>
  <c r="H5" i="19" s="1"/>
  <c r="P68" i="10"/>
  <c r="H4" i="19" s="1"/>
  <c r="AC17" i="7"/>
  <c r="AD17" i="7" s="1"/>
  <c r="P39" i="10"/>
  <c r="H3" i="15" s="1"/>
  <c r="P35" i="10"/>
  <c r="H6" i="14" s="1"/>
  <c r="P32" i="10"/>
  <c r="H3" i="14" s="1"/>
  <c r="P66" i="10"/>
  <c r="H2" i="19" s="1"/>
  <c r="H1" i="21"/>
  <c r="P74" i="10"/>
  <c r="H3" i="20" s="1"/>
  <c r="AR10" i="7"/>
  <c r="P75" i="10"/>
  <c r="H4" i="20" s="1"/>
  <c r="P50" i="10"/>
  <c r="H7" i="16" s="1"/>
  <c r="P57" i="10"/>
  <c r="H7" i="17" s="1"/>
  <c r="P93" i="10"/>
  <c r="P29" i="10"/>
  <c r="H7" i="13" s="1"/>
  <c r="P89" i="10"/>
  <c r="AN44" i="7"/>
  <c r="P45" i="10"/>
  <c r="H2" i="16" s="1"/>
  <c r="P67" i="10"/>
  <c r="H3" i="19" s="1"/>
  <c r="H1" i="17"/>
  <c r="AC6" i="7"/>
  <c r="AD6" i="7" s="1"/>
  <c r="AR18" i="7"/>
  <c r="AT18" i="7"/>
  <c r="P63" i="10"/>
  <c r="H6" i="18" s="1"/>
  <c r="P27" i="10"/>
  <c r="H5" i="13" s="1"/>
  <c r="P41" i="10"/>
  <c r="H5" i="15" s="1"/>
  <c r="H1" i="13"/>
  <c r="AC22" i="7"/>
  <c r="AD22" i="7" s="1"/>
  <c r="P49" i="10"/>
  <c r="H6" i="16" s="1"/>
  <c r="P76" i="10"/>
  <c r="H5" i="20" s="1"/>
  <c r="P62" i="10"/>
  <c r="H5" i="18" s="1"/>
  <c r="H1" i="19"/>
  <c r="AC21" i="7"/>
  <c r="AD21" i="7" s="1"/>
  <c r="P58" i="10"/>
  <c r="H8" i="17" s="1"/>
  <c r="P48" i="10"/>
  <c r="H5" i="16" s="1"/>
  <c r="H1" i="12"/>
  <c r="H1" i="16"/>
  <c r="P28" i="10"/>
  <c r="H6" i="13" s="1"/>
  <c r="P38" i="10"/>
  <c r="H2" i="15" s="1"/>
  <c r="P22" i="10"/>
  <c r="H7" i="12" s="1"/>
  <c r="H1" i="14"/>
  <c r="P88" i="10"/>
  <c r="P70" i="10"/>
  <c r="H6" i="19" s="1"/>
  <c r="P42" i="10"/>
  <c r="H6" i="15" s="1"/>
  <c r="AC41" i="7"/>
  <c r="AD41" i="7" s="1"/>
  <c r="AC46" i="7"/>
  <c r="AD46" i="7" s="1"/>
  <c r="AC24" i="7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U9" i="7"/>
  <c r="AO7" i="7"/>
  <c r="AW50" i="7"/>
  <c r="AN10" i="7"/>
  <c r="AN26" i="7"/>
  <c r="AR48" i="7"/>
  <c r="AN12" i="7"/>
  <c r="AP7" i="7"/>
  <c r="AC48" i="7"/>
  <c r="AD48" i="7" s="1"/>
  <c r="AC25" i="7"/>
  <c r="AD25" i="7" s="1"/>
  <c r="AP23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AN29" i="7"/>
  <c r="AP19" i="7"/>
  <c r="AP20" i="7"/>
  <c r="AV9" i="7"/>
  <c r="AN20" i="7"/>
  <c r="AR6" i="7"/>
  <c r="AQ6" i="7"/>
  <c r="AT6" i="7"/>
  <c r="AS6" i="7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AO32" i="7"/>
  <c r="AS21" i="7"/>
  <c r="AR21" i="7"/>
  <c r="AT21" i="7"/>
  <c r="AQ21" i="7"/>
  <c r="AP21" i="7"/>
  <c r="AO41" i="7"/>
  <c r="AO19" i="7"/>
  <c r="AW40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AW36" i="7" l="1"/>
  <c r="AV36" i="7"/>
  <c r="AU36" i="7"/>
  <c r="Q72" i="10"/>
  <c r="I8" i="19" s="1"/>
  <c r="Q63" i="10"/>
  <c r="I6" i="18" s="1"/>
  <c r="E16" i="10"/>
  <c r="I16" i="10" s="1"/>
  <c r="Q87" i="10"/>
  <c r="Q73" i="10"/>
  <c r="I2" i="20" s="1"/>
  <c r="I1" i="21"/>
  <c r="Q68" i="10"/>
  <c r="I4" i="19" s="1"/>
  <c r="I1" i="12"/>
  <c r="Q25" i="10"/>
  <c r="I3" i="13" s="1"/>
  <c r="Q67" i="10"/>
  <c r="I3" i="19" s="1"/>
  <c r="Q91" i="10"/>
  <c r="Q44" i="10"/>
  <c r="I8" i="15" s="1"/>
  <c r="Q47" i="10"/>
  <c r="I4" i="16" s="1"/>
  <c r="Q26" i="10"/>
  <c r="I4" i="13" s="1"/>
  <c r="AW10" i="7"/>
  <c r="I1" i="11"/>
  <c r="Q77" i="10"/>
  <c r="I6" i="20" s="1"/>
  <c r="Q50" i="10"/>
  <c r="I7" i="16" s="1"/>
  <c r="Q71" i="10"/>
  <c r="I7" i="19" s="1"/>
  <c r="Q22" i="10"/>
  <c r="I7" i="12" s="1"/>
  <c r="Q38" i="10"/>
  <c r="I2" i="15" s="1"/>
  <c r="Q34" i="10"/>
  <c r="I5" i="14" s="1"/>
  <c r="Q20" i="10"/>
  <c r="I5" i="12" s="1"/>
  <c r="Q64" i="10"/>
  <c r="I7" i="18" s="1"/>
  <c r="Q65" i="10"/>
  <c r="I8" i="18" s="1"/>
  <c r="Q53" i="10"/>
  <c r="I3" i="17" s="1"/>
  <c r="Q19" i="10"/>
  <c r="I4" i="12" s="1"/>
  <c r="E10" i="10"/>
  <c r="J10" i="10" s="1"/>
  <c r="B2" i="11" s="1"/>
  <c r="Q37" i="10"/>
  <c r="I8" i="14" s="1"/>
  <c r="I1" i="13"/>
  <c r="Q90" i="10"/>
  <c r="R9" i="10"/>
  <c r="J1" i="11" s="1"/>
  <c r="Q33" i="10"/>
  <c r="I4" i="14" s="1"/>
  <c r="Q39" i="10"/>
  <c r="I3" i="15" s="1"/>
  <c r="Q55" i="10"/>
  <c r="I5" i="17" s="1"/>
  <c r="Q58" i="10"/>
  <c r="I8" i="17" s="1"/>
  <c r="AU11" i="7"/>
  <c r="Q28" i="10"/>
  <c r="I6" i="13" s="1"/>
  <c r="Q41" i="10"/>
  <c r="I5" i="15" s="1"/>
  <c r="I1" i="20"/>
  <c r="Q52" i="10"/>
  <c r="I2" i="17" s="1"/>
  <c r="Q62" i="10"/>
  <c r="I5" i="18" s="1"/>
  <c r="Q60" i="10"/>
  <c r="I3" i="18" s="1"/>
  <c r="Q57" i="10"/>
  <c r="I7" i="17" s="1"/>
  <c r="E11" i="10"/>
  <c r="E81" i="10" s="1"/>
  <c r="Q89" i="10"/>
  <c r="Q56" i="10"/>
  <c r="I6" i="17" s="1"/>
  <c r="I1" i="14"/>
  <c r="Q93" i="10"/>
  <c r="Q78" i="10"/>
  <c r="I7" i="20" s="1"/>
  <c r="Q40" i="10"/>
  <c r="I4" i="15" s="1"/>
  <c r="I1" i="15"/>
  <c r="Q42" i="10"/>
  <c r="I6" i="15" s="1"/>
  <c r="Q36" i="10"/>
  <c r="I7" i="14" s="1"/>
  <c r="Q51" i="10"/>
  <c r="I8" i="16" s="1"/>
  <c r="Q29" i="10"/>
  <c r="I7" i="13" s="1"/>
  <c r="Q18" i="10"/>
  <c r="I3" i="12" s="1"/>
  <c r="Q46" i="10"/>
  <c r="I3" i="16" s="1"/>
  <c r="Q76" i="10"/>
  <c r="I5" i="20" s="1"/>
  <c r="I1" i="22"/>
  <c r="Q23" i="10"/>
  <c r="I8" i="12" s="1"/>
  <c r="I1" i="16"/>
  <c r="Q43" i="10"/>
  <c r="I7" i="15" s="1"/>
  <c r="Q48" i="10"/>
  <c r="I5" i="16" s="1"/>
  <c r="Q70" i="10"/>
  <c r="I6" i="19" s="1"/>
  <c r="Q92" i="10"/>
  <c r="I1" i="17"/>
  <c r="Q30" i="10"/>
  <c r="I8" i="13" s="1"/>
  <c r="I1" i="19"/>
  <c r="Q69" i="10"/>
  <c r="I5" i="19" s="1"/>
  <c r="Q49" i="10"/>
  <c r="I6" i="16" s="1"/>
  <c r="Q66" i="10"/>
  <c r="I2" i="19" s="1"/>
  <c r="Q27" i="10"/>
  <c r="I5" i="13" s="1"/>
  <c r="Q54" i="10"/>
  <c r="I4" i="17" s="1"/>
  <c r="Q75" i="10"/>
  <c r="I4" i="20" s="1"/>
  <c r="Q74" i="10"/>
  <c r="I3" i="20" s="1"/>
  <c r="Q45" i="10"/>
  <c r="I2" i="16" s="1"/>
  <c r="Q35" i="10"/>
  <c r="I6" i="14" s="1"/>
  <c r="Q32" i="10"/>
  <c r="I3" i="14" s="1"/>
  <c r="Q79" i="10"/>
  <c r="I8" i="20" s="1"/>
  <c r="Q61" i="10"/>
  <c r="I4" i="18" s="1"/>
  <c r="Q88" i="10"/>
  <c r="Q59" i="10"/>
  <c r="I2" i="18" s="1"/>
  <c r="AV10" i="7"/>
  <c r="AV8" i="7"/>
  <c r="AU10" i="7"/>
  <c r="AU18" i="7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AU37" i="7"/>
  <c r="AW45" i="7"/>
  <c r="AV35" i="7"/>
  <c r="AU23" i="7"/>
  <c r="AV47" i="7"/>
  <c r="AU35" i="7"/>
  <c r="AV37" i="7"/>
  <c r="AV21" i="7"/>
  <c r="AW41" i="7"/>
  <c r="AU45" i="7"/>
  <c r="AU43" i="7"/>
  <c r="AU47" i="7"/>
  <c r="AW13" i="7"/>
  <c r="AV7" i="7"/>
  <c r="AW19" i="7"/>
  <c r="AV45" i="7"/>
  <c r="AV38" i="7"/>
  <c r="AU39" i="7"/>
  <c r="AU21" i="7"/>
  <c r="AU7" i="7"/>
  <c r="AU22" i="7"/>
  <c r="AW26" i="7"/>
  <c r="AV24" i="7"/>
  <c r="AV27" i="7"/>
  <c r="AV6" i="7"/>
  <c r="AW30" i="7"/>
  <c r="AU29" i="7"/>
  <c r="AW22" i="7"/>
  <c r="AV22" i="7"/>
  <c r="AU25" i="7"/>
  <c r="AU20" i="7"/>
  <c r="AV15" i="7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AV11" i="7"/>
  <c r="AX36" i="7" l="1"/>
  <c r="AY36" i="7" s="1"/>
  <c r="F14" i="10"/>
  <c r="F84" i="10" s="1"/>
  <c r="R66" i="10"/>
  <c r="J2" i="19" s="1"/>
  <c r="R93" i="10"/>
  <c r="R77" i="10"/>
  <c r="J6" i="20" s="1"/>
  <c r="R50" i="10"/>
  <c r="J7" i="16" s="1"/>
  <c r="R49" i="10"/>
  <c r="J6" i="16" s="1"/>
  <c r="R54" i="10"/>
  <c r="J4" i="17" s="1"/>
  <c r="R28" i="10"/>
  <c r="J6" i="13" s="1"/>
  <c r="R33" i="10"/>
  <c r="J4" i="14" s="1"/>
  <c r="R18" i="10"/>
  <c r="J3" i="12" s="1"/>
  <c r="R23" i="10"/>
  <c r="J8" i="12" s="1"/>
  <c r="R40" i="10"/>
  <c r="J4" i="15" s="1"/>
  <c r="R35" i="10"/>
  <c r="J6" i="14" s="1"/>
  <c r="R20" i="10"/>
  <c r="J5" i="12" s="1"/>
  <c r="J1" i="18"/>
  <c r="J1" i="22"/>
  <c r="R60" i="10"/>
  <c r="J3" i="18" s="1"/>
  <c r="R55" i="10"/>
  <c r="J5" i="17" s="1"/>
  <c r="R52" i="10"/>
  <c r="J2" i="17" s="1"/>
  <c r="R65" i="10"/>
  <c r="J8" i="18" s="1"/>
  <c r="R69" i="10"/>
  <c r="J5" i="19" s="1"/>
  <c r="R73" i="10"/>
  <c r="J2" i="20" s="1"/>
  <c r="R29" i="10"/>
  <c r="J7" i="13" s="1"/>
  <c r="R56" i="10"/>
  <c r="J6" i="17" s="1"/>
  <c r="R22" i="10"/>
  <c r="J7" i="12" s="1"/>
  <c r="R45" i="10"/>
  <c r="J2" i="16" s="1"/>
  <c r="R64" i="10"/>
  <c r="J7" i="18" s="1"/>
  <c r="R26" i="10"/>
  <c r="J4" i="13" s="1"/>
  <c r="J1" i="17"/>
  <c r="R44" i="10"/>
  <c r="J8" i="15" s="1"/>
  <c r="J1" i="21"/>
  <c r="E86" i="10"/>
  <c r="F16" i="10"/>
  <c r="F86" i="10" s="1"/>
  <c r="R38" i="10"/>
  <c r="J2" i="15" s="1"/>
  <c r="R74" i="10"/>
  <c r="J3" i="20" s="1"/>
  <c r="R75" i="10"/>
  <c r="J4" i="20" s="1"/>
  <c r="J1" i="16"/>
  <c r="R67" i="10"/>
  <c r="J3" i="19" s="1"/>
  <c r="R92" i="10"/>
  <c r="R59" i="10"/>
  <c r="J2" i="18" s="1"/>
  <c r="R48" i="10"/>
  <c r="J5" i="16" s="1"/>
  <c r="R58" i="10"/>
  <c r="J8" i="17" s="1"/>
  <c r="J1" i="19"/>
  <c r="G10" i="10"/>
  <c r="R36" i="10"/>
  <c r="J7" i="14" s="1"/>
  <c r="J1" i="12"/>
  <c r="E80" i="10"/>
  <c r="J80" i="10" s="1"/>
  <c r="B2" i="21" s="1"/>
  <c r="S9" i="10"/>
  <c r="K1" i="19" s="1"/>
  <c r="J1" i="15"/>
  <c r="AX10" i="7"/>
  <c r="AY10" i="7" s="1"/>
  <c r="R43" i="10"/>
  <c r="J7" i="15" s="1"/>
  <c r="R76" i="10"/>
  <c r="J5" i="20" s="1"/>
  <c r="R71" i="10"/>
  <c r="J7" i="19" s="1"/>
  <c r="R63" i="10"/>
  <c r="J6" i="18" s="1"/>
  <c r="R34" i="10"/>
  <c r="J5" i="14" s="1"/>
  <c r="R51" i="10"/>
  <c r="J8" i="16" s="1"/>
  <c r="R42" i="10"/>
  <c r="J6" i="15" s="1"/>
  <c r="R27" i="10"/>
  <c r="J5" i="13" s="1"/>
  <c r="R39" i="10"/>
  <c r="J3" i="15" s="1"/>
  <c r="R47" i="10"/>
  <c r="J4" i="16" s="1"/>
  <c r="R79" i="10"/>
  <c r="J8" i="20" s="1"/>
  <c r="R53" i="10"/>
  <c r="J3" i="17" s="1"/>
  <c r="R68" i="10"/>
  <c r="J4" i="19" s="1"/>
  <c r="R70" i="10"/>
  <c r="J6" i="19" s="1"/>
  <c r="R25" i="10"/>
  <c r="J3" i="13" s="1"/>
  <c r="R57" i="10"/>
  <c r="J7" i="17" s="1"/>
  <c r="R91" i="10"/>
  <c r="R88" i="10"/>
  <c r="R61" i="10"/>
  <c r="J4" i="18" s="1"/>
  <c r="R41" i="10"/>
  <c r="J5" i="15" s="1"/>
  <c r="R87" i="10"/>
  <c r="R89" i="10"/>
  <c r="R30" i="10"/>
  <c r="J8" i="13" s="1"/>
  <c r="R46" i="10"/>
  <c r="J3" i="16" s="1"/>
  <c r="J1" i="13"/>
  <c r="R32" i="10"/>
  <c r="J3" i="14" s="1"/>
  <c r="R78" i="10"/>
  <c r="J7" i="20" s="1"/>
  <c r="J1" i="14"/>
  <c r="J1" i="20"/>
  <c r="I11" i="10"/>
  <c r="F11" i="10"/>
  <c r="F81" i="10" s="1"/>
  <c r="G81" i="10" s="1"/>
  <c r="R37" i="10"/>
  <c r="J8" i="14" s="1"/>
  <c r="R72" i="10"/>
  <c r="J8" i="19" s="1"/>
  <c r="R19" i="10"/>
  <c r="J4" i="12" s="1"/>
  <c r="R90" i="10"/>
  <c r="R62" i="10"/>
  <c r="J5" i="18" s="1"/>
  <c r="AX18" i="7"/>
  <c r="AY18" i="7" s="1"/>
  <c r="E84" i="10"/>
  <c r="F15" i="10"/>
  <c r="F85" i="10" s="1"/>
  <c r="G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AX20" i="7"/>
  <c r="AY20" i="7" s="1"/>
  <c r="AX24" i="7"/>
  <c r="AY24" i="7" s="1"/>
  <c r="AX22" i="7"/>
  <c r="AY22" i="7" s="1"/>
  <c r="I83" i="10"/>
  <c r="AX19" i="7"/>
  <c r="AY19" i="7" s="1"/>
  <c r="I82" i="10"/>
  <c r="AX13" i="7"/>
  <c r="AY13" i="7" s="1"/>
  <c r="I81" i="10"/>
  <c r="I85" i="10"/>
  <c r="AX29" i="7"/>
  <c r="AY29" i="7" s="1"/>
  <c r="AX37" i="7"/>
  <c r="AY37" i="7" s="1"/>
  <c r="G80" i="10" l="1"/>
  <c r="I80" i="10"/>
  <c r="G14" i="10"/>
  <c r="G84" i="10"/>
  <c r="S69" i="10"/>
  <c r="K5" i="19" s="1"/>
  <c r="S49" i="10"/>
  <c r="K6" i="16" s="1"/>
  <c r="S88" i="10"/>
  <c r="S70" i="10"/>
  <c r="K6" i="19" s="1"/>
  <c r="S34" i="10"/>
  <c r="K5" i="14" s="1"/>
  <c r="S90" i="10"/>
  <c r="S58" i="10"/>
  <c r="K8" i="17" s="1"/>
  <c r="S45" i="10"/>
  <c r="K2" i="16" s="1"/>
  <c r="S41" i="10"/>
  <c r="K5" i="15" s="1"/>
  <c r="S54" i="10"/>
  <c r="K4" i="17" s="1"/>
  <c r="S61" i="10"/>
  <c r="K4" i="18" s="1"/>
  <c r="S74" i="10"/>
  <c r="K3" i="20" s="1"/>
  <c r="T9" i="10"/>
  <c r="T64" i="10" s="1"/>
  <c r="L7" i="18" s="1"/>
  <c r="S29" i="10"/>
  <c r="K7" i="13" s="1"/>
  <c r="K1" i="21"/>
  <c r="K1" i="18"/>
  <c r="K1" i="22"/>
  <c r="G86" i="10"/>
  <c r="L86" i="10" s="1"/>
  <c r="D8" i="21" s="1"/>
  <c r="S51" i="10"/>
  <c r="K8" i="16" s="1"/>
  <c r="S72" i="10"/>
  <c r="K8" i="19" s="1"/>
  <c r="I86" i="10"/>
  <c r="S48" i="10"/>
  <c r="K5" i="16" s="1"/>
  <c r="S20" i="10"/>
  <c r="K5" i="12" s="1"/>
  <c r="G16" i="10"/>
  <c r="M16" i="10" s="1"/>
  <c r="E8" i="11" s="1"/>
  <c r="S18" i="10"/>
  <c r="K3" i="12" s="1"/>
  <c r="S37" i="10"/>
  <c r="K8" i="14" s="1"/>
  <c r="S76" i="10"/>
  <c r="K5" i="20" s="1"/>
  <c r="S92" i="10"/>
  <c r="S59" i="10"/>
  <c r="K2" i="18" s="1"/>
  <c r="S26" i="10"/>
  <c r="K4" i="13" s="1"/>
  <c r="S55" i="10"/>
  <c r="K5" i="17" s="1"/>
  <c r="S57" i="10"/>
  <c r="K7" i="17" s="1"/>
  <c r="S93" i="10"/>
  <c r="S42" i="10"/>
  <c r="K6" i="15" s="1"/>
  <c r="S67" i="10"/>
  <c r="K3" i="19" s="1"/>
  <c r="S40" i="10"/>
  <c r="K4" i="15" s="1"/>
  <c r="S65" i="10"/>
  <c r="K8" i="18" s="1"/>
  <c r="S23" i="10"/>
  <c r="K8" i="12" s="1"/>
  <c r="S39" i="10"/>
  <c r="K3" i="15" s="1"/>
  <c r="S22" i="10"/>
  <c r="K7" i="12" s="1"/>
  <c r="S63" i="10"/>
  <c r="K6" i="18" s="1"/>
  <c r="S46" i="10"/>
  <c r="K3" i="16" s="1"/>
  <c r="S87" i="10"/>
  <c r="S75" i="10"/>
  <c r="K4" i="20" s="1"/>
  <c r="S19" i="10"/>
  <c r="K4" i="12" s="1"/>
  <c r="S73" i="10"/>
  <c r="K2" i="20" s="1"/>
  <c r="S27" i="10"/>
  <c r="K5" i="13" s="1"/>
  <c r="S78" i="10"/>
  <c r="K7" i="20" s="1"/>
  <c r="S52" i="10"/>
  <c r="K2" i="17" s="1"/>
  <c r="S47" i="10"/>
  <c r="K4" i="16" s="1"/>
  <c r="S66" i="10"/>
  <c r="K2" i="19" s="1"/>
  <c r="S64" i="10"/>
  <c r="K7" i="18" s="1"/>
  <c r="K1" i="17"/>
  <c r="S79" i="10"/>
  <c r="K8" i="20" s="1"/>
  <c r="K1" i="20"/>
  <c r="S71" i="10"/>
  <c r="K7" i="19" s="1"/>
  <c r="K1" i="15"/>
  <c r="S77" i="10"/>
  <c r="K6" i="20" s="1"/>
  <c r="S53" i="10"/>
  <c r="K3" i="17" s="1"/>
  <c r="K1" i="13"/>
  <c r="S91" i="10"/>
  <c r="S35" i="10"/>
  <c r="K6" i="14" s="1"/>
  <c r="S33" i="10"/>
  <c r="K4" i="14" s="1"/>
  <c r="K1" i="14"/>
  <c r="S36" i="10"/>
  <c r="K7" i="14" s="1"/>
  <c r="S28" i="10"/>
  <c r="K6" i="13" s="1"/>
  <c r="K1" i="12"/>
  <c r="K1" i="11"/>
  <c r="S89" i="10"/>
  <c r="S38" i="10"/>
  <c r="K2" i="15" s="1"/>
  <c r="S30" i="10"/>
  <c r="K8" i="13" s="1"/>
  <c r="S43" i="10"/>
  <c r="K7" i="15" s="1"/>
  <c r="S56" i="10"/>
  <c r="K6" i="17" s="1"/>
  <c r="K1" i="16"/>
  <c r="S32" i="10"/>
  <c r="K3" i="14" s="1"/>
  <c r="S44" i="10"/>
  <c r="K8" i="15" s="1"/>
  <c r="S25" i="10"/>
  <c r="K3" i="13" s="1"/>
  <c r="S62" i="10"/>
  <c r="K5" i="18" s="1"/>
  <c r="S50" i="10"/>
  <c r="K7" i="16" s="1"/>
  <c r="S60" i="10"/>
  <c r="K3" i="18" s="1"/>
  <c r="S68" i="10"/>
  <c r="K4" i="19" s="1"/>
  <c r="G15" i="10"/>
  <c r="G11" i="10"/>
  <c r="I84" i="10"/>
  <c r="J84" i="10"/>
  <c r="B6" i="21" s="1"/>
  <c r="G13" i="10"/>
  <c r="L13" i="10" s="1"/>
  <c r="D5" i="11" s="1"/>
  <c r="G12" i="10"/>
  <c r="J12" i="10" s="1"/>
  <c r="B4" i="1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O82" i="10"/>
  <c r="G4" i="21" s="1"/>
  <c r="S82" i="10"/>
  <c r="K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T11" i="10" l="1"/>
  <c r="L3" i="11" s="1"/>
  <c r="T15" i="10"/>
  <c r="L7" i="11" s="1"/>
  <c r="T45" i="10"/>
  <c r="L2" i="16" s="1"/>
  <c r="K16" i="10"/>
  <c r="C8" i="11" s="1"/>
  <c r="N16" i="10"/>
  <c r="F8" i="11" s="1"/>
  <c r="R16" i="10"/>
  <c r="J8" i="11" s="1"/>
  <c r="T68" i="10"/>
  <c r="L4" i="19" s="1"/>
  <c r="T73" i="10"/>
  <c r="L2" i="20" s="1"/>
  <c r="T92" i="10"/>
  <c r="T74" i="10"/>
  <c r="L3" i="20" s="1"/>
  <c r="L1" i="12"/>
  <c r="M12" i="10"/>
  <c r="E4" i="11" s="1"/>
  <c r="T42" i="10"/>
  <c r="L6" i="15" s="1"/>
  <c r="L1" i="13"/>
  <c r="L1" i="18"/>
  <c r="T71" i="10"/>
  <c r="L7" i="19" s="1"/>
  <c r="T65" i="10"/>
  <c r="L8" i="18" s="1"/>
  <c r="T49" i="10"/>
  <c r="L6" i="16" s="1"/>
  <c r="L1" i="20"/>
  <c r="L1" i="19"/>
  <c r="T28" i="10"/>
  <c r="L6" i="13" s="1"/>
  <c r="T77" i="10"/>
  <c r="L6" i="20" s="1"/>
  <c r="T40" i="10"/>
  <c r="L4" i="15" s="1"/>
  <c r="O16" i="10"/>
  <c r="G8" i="11" s="1"/>
  <c r="T93" i="10"/>
  <c r="P16" i="10"/>
  <c r="H8" i="11" s="1"/>
  <c r="T91" i="10"/>
  <c r="L16" i="10"/>
  <c r="D8" i="11" s="1"/>
  <c r="T20" i="10"/>
  <c r="L5" i="12" s="1"/>
  <c r="R13" i="10"/>
  <c r="J5" i="11" s="1"/>
  <c r="S16" i="10"/>
  <c r="K8" i="11" s="1"/>
  <c r="J16" i="10"/>
  <c r="B8" i="11" s="1"/>
  <c r="N13" i="10"/>
  <c r="F5" i="11" s="1"/>
  <c r="T38" i="10"/>
  <c r="L2" i="15" s="1"/>
  <c r="T75" i="10"/>
  <c r="L4" i="20" s="1"/>
  <c r="T37" i="10"/>
  <c r="L8" i="14" s="1"/>
  <c r="T70" i="10"/>
  <c r="L6" i="19" s="1"/>
  <c r="T52" i="10"/>
  <c r="L2" i="17" s="1"/>
  <c r="T26" i="10"/>
  <c r="L4" i="13" s="1"/>
  <c r="T83" i="10"/>
  <c r="L5" i="21" s="1"/>
  <c r="T54" i="10"/>
  <c r="L4" i="17" s="1"/>
  <c r="T85" i="10"/>
  <c r="L7" i="21" s="1"/>
  <c r="T33" i="10"/>
  <c r="L4" i="14" s="1"/>
  <c r="T82" i="10"/>
  <c r="L4" i="21" s="1"/>
  <c r="T46" i="10"/>
  <c r="L3" i="16" s="1"/>
  <c r="T44" i="10"/>
  <c r="L8" i="15" s="1"/>
  <c r="T55" i="10"/>
  <c r="L5" i="17" s="1"/>
  <c r="T39" i="10"/>
  <c r="L3" i="15" s="1"/>
  <c r="T47" i="10"/>
  <c r="L4" i="16" s="1"/>
  <c r="T48" i="10"/>
  <c r="L5" i="16" s="1"/>
  <c r="T56" i="10"/>
  <c r="L6" i="17" s="1"/>
  <c r="T18" i="10"/>
  <c r="L3" i="12" s="1"/>
  <c r="T79" i="10"/>
  <c r="L8" i="20" s="1"/>
  <c r="U9" i="10"/>
  <c r="U74" i="10" s="1"/>
  <c r="M3" i="20" s="1"/>
  <c r="R86" i="10"/>
  <c r="J8" i="21" s="1"/>
  <c r="T29" i="10"/>
  <c r="L7" i="13" s="1"/>
  <c r="T87" i="10"/>
  <c r="T25" i="10"/>
  <c r="L3" i="13" s="1"/>
  <c r="P86" i="10"/>
  <c r="H8" i="21" s="1"/>
  <c r="T27" i="10"/>
  <c r="L5" i="13" s="1"/>
  <c r="L1" i="17"/>
  <c r="L1" i="21"/>
  <c r="T22" i="10"/>
  <c r="L7" i="12" s="1"/>
  <c r="T67" i="10"/>
  <c r="L3" i="19" s="1"/>
  <c r="T62" i="10"/>
  <c r="L5" i="18" s="1"/>
  <c r="P13" i="10"/>
  <c r="H5" i="11" s="1"/>
  <c r="T86" i="10"/>
  <c r="L8" i="21" s="1"/>
  <c r="T78" i="10"/>
  <c r="L7" i="20" s="1"/>
  <c r="T16" i="10"/>
  <c r="L8" i="11" s="1"/>
  <c r="J86" i="10"/>
  <c r="B8" i="21" s="1"/>
  <c r="Q86" i="10"/>
  <c r="I8" i="21" s="1"/>
  <c r="T36" i="10"/>
  <c r="L7" i="14" s="1"/>
  <c r="S86" i="10"/>
  <c r="K8" i="21" s="1"/>
  <c r="T66" i="10"/>
  <c r="L2" i="19" s="1"/>
  <c r="T41" i="10"/>
  <c r="L5" i="15" s="1"/>
  <c r="L1" i="15"/>
  <c r="M86" i="10"/>
  <c r="E8" i="21" s="1"/>
  <c r="T58" i="10"/>
  <c r="L8" i="17" s="1"/>
  <c r="T81" i="10"/>
  <c r="L3" i="21" s="1"/>
  <c r="N86" i="10"/>
  <c r="F8" i="21" s="1"/>
  <c r="T50" i="10"/>
  <c r="L7" i="16" s="1"/>
  <c r="T57" i="10"/>
  <c r="L7" i="17" s="1"/>
  <c r="L1" i="11"/>
  <c r="K86" i="10"/>
  <c r="C8" i="21" s="1"/>
  <c r="T90" i="10"/>
  <c r="L1" i="14"/>
  <c r="O86" i="10"/>
  <c r="G8" i="21" s="1"/>
  <c r="T69" i="10"/>
  <c r="L5" i="19" s="1"/>
  <c r="T34" i="10"/>
  <c r="L5" i="14" s="1"/>
  <c r="T32" i="10"/>
  <c r="L3" i="14" s="1"/>
  <c r="T63" i="10"/>
  <c r="L6" i="18" s="1"/>
  <c r="S13" i="10"/>
  <c r="K5" i="11" s="1"/>
  <c r="T30" i="10"/>
  <c r="L8" i="13" s="1"/>
  <c r="T59" i="10"/>
  <c r="L2" i="18" s="1"/>
  <c r="T53" i="10"/>
  <c r="L3" i="17" s="1"/>
  <c r="K13" i="10"/>
  <c r="C5" i="11" s="1"/>
  <c r="T89" i="10"/>
  <c r="T72" i="10"/>
  <c r="L8" i="19" s="1"/>
  <c r="L1" i="16"/>
  <c r="T43" i="10"/>
  <c r="L7" i="15" s="1"/>
  <c r="T76" i="10"/>
  <c r="L5" i="20" s="1"/>
  <c r="T23" i="10"/>
  <c r="L8" i="12" s="1"/>
  <c r="L1" i="22"/>
  <c r="T35" i="10"/>
  <c r="L6" i="14" s="1"/>
  <c r="T61" i="10"/>
  <c r="L4" i="18" s="1"/>
  <c r="T51" i="10"/>
  <c r="L8" i="16" s="1"/>
  <c r="T88" i="10"/>
  <c r="T19" i="10"/>
  <c r="L4" i="12" s="1"/>
  <c r="T60" i="10"/>
  <c r="L3" i="18" s="1"/>
  <c r="J13" i="10"/>
  <c r="B5" i="11" s="1"/>
  <c r="M13" i="10"/>
  <c r="E5" i="11" s="1"/>
  <c r="Q16" i="10"/>
  <c r="I8" i="11" s="1"/>
  <c r="N15" i="10"/>
  <c r="F7" i="11" s="1"/>
  <c r="O15" i="10"/>
  <c r="G7" i="11" s="1"/>
  <c r="K15" i="10"/>
  <c r="C7" i="11" s="1"/>
  <c r="O12" i="10"/>
  <c r="G4" i="11" s="1"/>
  <c r="P15" i="10"/>
  <c r="H7" i="11" s="1"/>
  <c r="S12" i="10"/>
  <c r="K4" i="11" s="1"/>
  <c r="K12" i="10"/>
  <c r="C4" i="11" s="1"/>
  <c r="L12" i="10"/>
  <c r="D4" i="11" s="1"/>
  <c r="N12" i="10"/>
  <c r="F4" i="11" s="1"/>
  <c r="R15" i="10"/>
  <c r="J7" i="11" s="1"/>
  <c r="S15" i="10"/>
  <c r="K7" i="11" s="1"/>
  <c r="Q15" i="10"/>
  <c r="I7" i="11" s="1"/>
  <c r="M15" i="10"/>
  <c r="E7" i="11" s="1"/>
  <c r="L15" i="10"/>
  <c r="D7" i="11" s="1"/>
  <c r="J15" i="10"/>
  <c r="B7" i="11" s="1"/>
  <c r="R11" i="10"/>
  <c r="J3" i="11" s="1"/>
  <c r="P11" i="10"/>
  <c r="H3" i="11" s="1"/>
  <c r="N11" i="10"/>
  <c r="F3" i="11" s="1"/>
  <c r="L11" i="10"/>
  <c r="D3" i="11" s="1"/>
  <c r="J11" i="10"/>
  <c r="B3" i="11" s="1"/>
  <c r="M11" i="10"/>
  <c r="E3" i="11" s="1"/>
  <c r="S11" i="10"/>
  <c r="K3" i="11" s="1"/>
  <c r="O11" i="10"/>
  <c r="G3" i="11" s="1"/>
  <c r="Q11" i="10"/>
  <c r="I3" i="11" s="1"/>
  <c r="K11" i="10"/>
  <c r="C3" i="11" s="1"/>
  <c r="R12" i="10"/>
  <c r="J4" i="11" s="1"/>
  <c r="T12" i="10"/>
  <c r="L4" i="11" s="1"/>
  <c r="Q13" i="10"/>
  <c r="I5" i="11" s="1"/>
  <c r="O13" i="10"/>
  <c r="G5" i="11" s="1"/>
  <c r="T13" i="10"/>
  <c r="L5" i="11" s="1"/>
  <c r="P12" i="10"/>
  <c r="H4" i="11" s="1"/>
  <c r="Q12" i="10"/>
  <c r="I4" i="11" s="1"/>
  <c r="U44" i="10" l="1"/>
  <c r="M8" i="15" s="1"/>
  <c r="V9" i="10"/>
  <c r="N1" i="18" s="1"/>
  <c r="U42" i="10"/>
  <c r="M6" i="15" s="1"/>
  <c r="U16" i="10"/>
  <c r="M8" i="11" s="1"/>
  <c r="U13" i="10"/>
  <c r="M5" i="11" s="1"/>
  <c r="U72" i="10"/>
  <c r="M8" i="19" s="1"/>
  <c r="U75" i="10"/>
  <c r="M4" i="20" s="1"/>
  <c r="U30" i="10"/>
  <c r="M8" i="13" s="1"/>
  <c r="U83" i="10"/>
  <c r="M5" i="21" s="1"/>
  <c r="U15" i="10"/>
  <c r="M7" i="11" s="1"/>
  <c r="U43" i="10"/>
  <c r="M7" i="15" s="1"/>
  <c r="U38" i="10"/>
  <c r="M2" i="15" s="1"/>
  <c r="U40" i="10"/>
  <c r="M4" i="15" s="1"/>
  <c r="U62" i="10"/>
  <c r="M5" i="18" s="1"/>
  <c r="U25" i="10"/>
  <c r="M3" i="13" s="1"/>
  <c r="U18" i="10"/>
  <c r="M3" i="12" s="1"/>
  <c r="U55" i="10"/>
  <c r="M5" i="17" s="1"/>
  <c r="U57" i="10"/>
  <c r="M7" i="17" s="1"/>
  <c r="U48" i="10"/>
  <c r="M5" i="16" s="1"/>
  <c r="U68" i="10"/>
  <c r="M4" i="19" s="1"/>
  <c r="U90" i="10"/>
  <c r="M1" i="19"/>
  <c r="U91" i="10"/>
  <c r="U59" i="10"/>
  <c r="M2" i="18" s="1"/>
  <c r="U63" i="10"/>
  <c r="M6" i="18" s="1"/>
  <c r="M1" i="17"/>
  <c r="U20" i="10"/>
  <c r="M5" i="12" s="1"/>
  <c r="U34" i="10"/>
  <c r="M5" i="14" s="1"/>
  <c r="U92" i="10"/>
  <c r="U26" i="10"/>
  <c r="M4" i="13" s="1"/>
  <c r="U47" i="10"/>
  <c r="M4" i="16" s="1"/>
  <c r="M1" i="22"/>
  <c r="U93" i="10"/>
  <c r="U88" i="10"/>
  <c r="M1" i="13"/>
  <c r="U51" i="10"/>
  <c r="M8" i="16" s="1"/>
  <c r="U39" i="10"/>
  <c r="M3" i="15" s="1"/>
  <c r="U69" i="10"/>
  <c r="M5" i="19" s="1"/>
  <c r="M1" i="11"/>
  <c r="M1" i="20"/>
  <c r="U71" i="10"/>
  <c r="M7" i="19" s="1"/>
  <c r="M1" i="16"/>
  <c r="U37" i="10"/>
  <c r="M8" i="14" s="1"/>
  <c r="U60" i="10"/>
  <c r="M3" i="18" s="1"/>
  <c r="M1" i="12"/>
  <c r="M1" i="14"/>
  <c r="U23" i="10"/>
  <c r="M8" i="12" s="1"/>
  <c r="U49" i="10"/>
  <c r="M6" i="16" s="1"/>
  <c r="U81" i="10"/>
  <c r="M3" i="21" s="1"/>
  <c r="U45" i="10"/>
  <c r="M2" i="16" s="1"/>
  <c r="U67" i="10"/>
  <c r="M3" i="19" s="1"/>
  <c r="U86" i="10"/>
  <c r="M8" i="21" s="1"/>
  <c r="U78" i="10"/>
  <c r="M7" i="20" s="1"/>
  <c r="U41" i="10"/>
  <c r="M5" i="15" s="1"/>
  <c r="U29" i="10"/>
  <c r="M7" i="13" s="1"/>
  <c r="U82" i="10"/>
  <c r="M4" i="21" s="1"/>
  <c r="U70" i="10"/>
  <c r="M6" i="19" s="1"/>
  <c r="U87" i="10"/>
  <c r="U12" i="10"/>
  <c r="M4" i="11" s="1"/>
  <c r="U11" i="10"/>
  <c r="M3" i="11" s="1"/>
  <c r="U46" i="10"/>
  <c r="M3" i="16" s="1"/>
  <c r="U19" i="10"/>
  <c r="M4" i="12" s="1"/>
  <c r="U64" i="10"/>
  <c r="M7" i="18" s="1"/>
  <c r="U52" i="10"/>
  <c r="M2" i="17" s="1"/>
  <c r="U61" i="10"/>
  <c r="M4" i="18" s="1"/>
  <c r="U66" i="10"/>
  <c r="M2" i="19" s="1"/>
  <c r="U28" i="10"/>
  <c r="M6" i="13" s="1"/>
  <c r="U22" i="10"/>
  <c r="M7" i="12" s="1"/>
  <c r="U79" i="10"/>
  <c r="M8" i="20" s="1"/>
  <c r="U76" i="10"/>
  <c r="M5" i="20" s="1"/>
  <c r="U27" i="10"/>
  <c r="M5" i="13" s="1"/>
  <c r="U89" i="10"/>
  <c r="U73" i="10"/>
  <c r="M2" i="20" s="1"/>
  <c r="U77" i="10"/>
  <c r="M6" i="20" s="1"/>
  <c r="M1" i="21"/>
  <c r="U53" i="10"/>
  <c r="M3" i="17" s="1"/>
  <c r="U35" i="10"/>
  <c r="M6" i="14" s="1"/>
  <c r="M1" i="15"/>
  <c r="U65" i="10"/>
  <c r="M8" i="18" s="1"/>
  <c r="U56" i="10"/>
  <c r="M6" i="17" s="1"/>
  <c r="U54" i="10"/>
  <c r="M4" i="17" s="1"/>
  <c r="M1" i="18"/>
  <c r="U50" i="10"/>
  <c r="M7" i="16" s="1"/>
  <c r="U33" i="10"/>
  <c r="M4" i="14" s="1"/>
  <c r="U36" i="10"/>
  <c r="M7" i="14" s="1"/>
  <c r="U85" i="10"/>
  <c r="M7" i="21" s="1"/>
  <c r="U32" i="10"/>
  <c r="M3" i="14" s="1"/>
  <c r="U58" i="10"/>
  <c r="M8" i="17" s="1"/>
  <c r="V89" i="10"/>
  <c r="N1" i="20"/>
  <c r="N1" i="13"/>
  <c r="V68" i="10"/>
  <c r="N4" i="19" s="1"/>
  <c r="V64" i="10"/>
  <c r="N7" i="18" s="1"/>
  <c r="V18" i="10"/>
  <c r="N3" i="12" s="1"/>
  <c r="V87" i="10"/>
  <c r="V42" i="10"/>
  <c r="N6" i="15" s="1"/>
  <c r="V76" i="10"/>
  <c r="N5" i="20" s="1"/>
  <c r="V54" i="10"/>
  <c r="N4" i="17" s="1"/>
  <c r="N1" i="14"/>
  <c r="V74" i="10"/>
  <c r="N3" i="20" s="1"/>
  <c r="N1" i="16"/>
  <c r="W9" i="10"/>
  <c r="V56" i="10"/>
  <c r="N6" i="17" s="1"/>
  <c r="V57" i="10"/>
  <c r="N7" i="17" s="1"/>
  <c r="N1" i="12"/>
  <c r="V88" i="10"/>
  <c r="V63" i="10"/>
  <c r="N6" i="18" s="1"/>
  <c r="V48" i="10"/>
  <c r="N5" i="16" s="1"/>
  <c r="V33" i="10"/>
  <c r="N4" i="14" s="1"/>
  <c r="V59" i="10"/>
  <c r="N2" i="18" s="1"/>
  <c r="V53" i="10"/>
  <c r="N3" i="17" s="1"/>
  <c r="V60" i="10"/>
  <c r="N3" i="18" s="1"/>
  <c r="V78" i="10"/>
  <c r="N7" i="20" s="1"/>
  <c r="V58" i="10"/>
  <c r="N8" i="17" s="1"/>
  <c r="V34" i="10"/>
  <c r="N5" i="14" s="1"/>
  <c r="V28" i="10"/>
  <c r="N6" i="13" s="1"/>
  <c r="V35" i="10"/>
  <c r="N6" i="14" s="1"/>
  <c r="V46" i="10"/>
  <c r="N3" i="16" s="1"/>
  <c r="V69" i="10"/>
  <c r="N5" i="19" s="1"/>
  <c r="V77" i="10"/>
  <c r="N6" i="20" s="1"/>
  <c r="V45" i="10"/>
  <c r="N2" i="16" s="1"/>
  <c r="V41" i="10"/>
  <c r="N5" i="15" s="1"/>
  <c r="V91" i="10"/>
  <c r="V23" i="10"/>
  <c r="N8" i="12" s="1"/>
  <c r="V22" i="10"/>
  <c r="N7" i="12" s="1"/>
  <c r="V72" i="10"/>
  <c r="N8" i="19" s="1"/>
  <c r="V39" i="10"/>
  <c r="N3" i="15" s="1"/>
  <c r="V20" i="10"/>
  <c r="N5" i="12" s="1"/>
  <c r="V75" i="10"/>
  <c r="N4" i="20" s="1"/>
  <c r="V47" i="10"/>
  <c r="N4" i="16" s="1"/>
  <c r="V30" i="10"/>
  <c r="N8" i="13" s="1"/>
  <c r="V25" i="10"/>
  <c r="N3" i="13" s="1"/>
  <c r="V70" i="10"/>
  <c r="N6" i="19" s="1"/>
  <c r="V79" i="10"/>
  <c r="N8" i="20" s="1"/>
  <c r="V73" i="10"/>
  <c r="N2" i="20" s="1"/>
  <c r="V26" i="10"/>
  <c r="N4" i="13" s="1"/>
  <c r="V27" i="10"/>
  <c r="N5" i="13" s="1"/>
  <c r="V65" i="10"/>
  <c r="N8" i="18" s="1"/>
  <c r="V51" i="10"/>
  <c r="N8" i="16" s="1"/>
  <c r="V19" i="10"/>
  <c r="N4" i="12" s="1"/>
  <c r="V38" i="10"/>
  <c r="N2" i="15" s="1"/>
  <c r="V52" i="10"/>
  <c r="N2" i="17" s="1"/>
  <c r="V13" i="10"/>
  <c r="N5" i="11" s="1"/>
  <c r="V11" i="10"/>
  <c r="N3" i="11" s="1"/>
  <c r="V85" i="10"/>
  <c r="N7" i="21" s="1"/>
  <c r="V86" i="10"/>
  <c r="N8" i="21" s="1"/>
  <c r="V15" i="10"/>
  <c r="N7" i="11" s="1"/>
  <c r="V16" i="10"/>
  <c r="N8" i="11" s="1"/>
  <c r="V83" i="10"/>
  <c r="N5" i="21" s="1"/>
  <c r="V82" i="10"/>
  <c r="N4" i="21" s="1"/>
  <c r="V62" i="10" l="1"/>
  <c r="N5" i="18" s="1"/>
  <c r="V50" i="10"/>
  <c r="N7" i="16" s="1"/>
  <c r="N1" i="22"/>
  <c r="V37" i="10"/>
  <c r="N8" i="14" s="1"/>
  <c r="V40" i="10"/>
  <c r="N4" i="15" s="1"/>
  <c r="N1" i="11"/>
  <c r="V81" i="10"/>
  <c r="N3" i="21" s="1"/>
  <c r="V49" i="10"/>
  <c r="N6" i="16" s="1"/>
  <c r="V43" i="10"/>
  <c r="N7" i="15" s="1"/>
  <c r="N1" i="15"/>
  <c r="V55" i="10"/>
  <c r="N5" i="17" s="1"/>
  <c r="V71" i="10"/>
  <c r="N7" i="19" s="1"/>
  <c r="V61" i="10"/>
  <c r="N4" i="18" s="1"/>
  <c r="N1" i="19"/>
  <c r="V90" i="10"/>
  <c r="V66" i="10"/>
  <c r="N2" i="19" s="1"/>
  <c r="V67" i="10"/>
  <c r="N3" i="19" s="1"/>
  <c r="N1" i="17"/>
  <c r="V92" i="10"/>
  <c r="V32" i="10"/>
  <c r="N3" i="14" s="1"/>
  <c r="V29" i="10"/>
  <c r="N7" i="13" s="1"/>
  <c r="N1" i="21"/>
  <c r="V12" i="10"/>
  <c r="N4" i="11" s="1"/>
  <c r="V36" i="10"/>
  <c r="N7" i="14" s="1"/>
  <c r="V93" i="10"/>
  <c r="V44" i="10"/>
  <c r="N8" i="15" s="1"/>
  <c r="O1" i="14"/>
  <c r="O1" i="19"/>
  <c r="O1" i="21"/>
  <c r="O1" i="17"/>
  <c r="O1" i="12"/>
  <c r="O1" i="11"/>
  <c r="O1" i="18"/>
  <c r="O1" i="22"/>
  <c r="O1" i="13"/>
  <c r="O1" i="20"/>
  <c r="O1" i="15"/>
  <c r="W89" i="10"/>
  <c r="W92" i="10"/>
  <c r="W73" i="10"/>
  <c r="O2" i="20" s="1"/>
  <c r="W74" i="10"/>
  <c r="O3" i="20" s="1"/>
  <c r="W87" i="10"/>
  <c r="W42" i="10"/>
  <c r="O6" i="15" s="1"/>
  <c r="W40" i="10"/>
  <c r="O4" i="15" s="1"/>
  <c r="W62" i="10"/>
  <c r="O5" i="18" s="1"/>
  <c r="W57" i="10"/>
  <c r="O7" i="17" s="1"/>
  <c r="W44" i="10"/>
  <c r="O8" i="15" s="1"/>
  <c r="W18" i="10"/>
  <c r="O3" i="12" s="1"/>
  <c r="W68" i="10"/>
  <c r="O4" i="19" s="1"/>
  <c r="X9" i="10"/>
  <c r="W63" i="10"/>
  <c r="O6" i="18" s="1"/>
  <c r="W76" i="10"/>
  <c r="O5" i="20" s="1"/>
  <c r="W59" i="10"/>
  <c r="O2" i="18" s="1"/>
  <c r="O1" i="16"/>
  <c r="W79" i="10"/>
  <c r="O8" i="20" s="1"/>
  <c r="W39" i="10"/>
  <c r="O3" i="15" s="1"/>
  <c r="W29" i="10"/>
  <c r="O7" i="13" s="1"/>
  <c r="W47" i="10"/>
  <c r="O4" i="16" s="1"/>
  <c r="W58" i="10"/>
  <c r="O8" i="17" s="1"/>
  <c r="W78" i="10"/>
  <c r="O7" i="20" s="1"/>
  <c r="W35" i="10"/>
  <c r="O6" i="14" s="1"/>
  <c r="W48" i="10"/>
  <c r="O5" i="16" s="1"/>
  <c r="W77" i="10"/>
  <c r="O6" i="20" s="1"/>
  <c r="W53" i="10"/>
  <c r="O3" i="17" s="1"/>
  <c r="W91" i="10"/>
  <c r="W50" i="10"/>
  <c r="O7" i="16" s="1"/>
  <c r="W27" i="10"/>
  <c r="O5" i="13" s="1"/>
  <c r="W60" i="10"/>
  <c r="O3" i="18" s="1"/>
  <c r="W28" i="10"/>
  <c r="O6" i="13" s="1"/>
  <c r="W34" i="10"/>
  <c r="O5" i="14" s="1"/>
  <c r="W93" i="10"/>
  <c r="W37" i="10"/>
  <c r="O8" i="14" s="1"/>
  <c r="W19" i="10"/>
  <c r="O4" i="12" s="1"/>
  <c r="W66" i="10"/>
  <c r="O2" i="19" s="1"/>
  <c r="W20" i="10"/>
  <c r="O5" i="12" s="1"/>
  <c r="W61" i="10"/>
  <c r="O4" i="18" s="1"/>
  <c r="W46" i="10"/>
  <c r="O3" i="16" s="1"/>
  <c r="W72" i="10"/>
  <c r="O8" i="19" s="1"/>
  <c r="W25" i="10"/>
  <c r="O3" i="13" s="1"/>
  <c r="W32" i="10"/>
  <c r="O3" i="14" s="1"/>
  <c r="W56" i="10"/>
  <c r="O6" i="17" s="1"/>
  <c r="W88" i="10"/>
  <c r="W70" i="10"/>
  <c r="O6" i="19" s="1"/>
  <c r="W26" i="10"/>
  <c r="O4" i="13" s="1"/>
  <c r="W22" i="10"/>
  <c r="O7" i="12" s="1"/>
  <c r="W43" i="10"/>
  <c r="O7" i="15" s="1"/>
  <c r="W41" i="10"/>
  <c r="O5" i="15" s="1"/>
  <c r="W71" i="10"/>
  <c r="O7" i="19" s="1"/>
  <c r="W69" i="10"/>
  <c r="O5" i="19" s="1"/>
  <c r="W67" i="10"/>
  <c r="O3" i="19" s="1"/>
  <c r="W64" i="10"/>
  <c r="O7" i="18" s="1"/>
  <c r="W45" i="10"/>
  <c r="O2" i="16" s="1"/>
  <c r="W30" i="10"/>
  <c r="O8" i="13" s="1"/>
  <c r="W33" i="10"/>
  <c r="O4" i="14" s="1"/>
  <c r="W49" i="10"/>
  <c r="O6" i="16" s="1"/>
  <c r="W51" i="10"/>
  <c r="O8" i="16" s="1"/>
  <c r="W65" i="10"/>
  <c r="O8" i="18" s="1"/>
  <c r="W23" i="10"/>
  <c r="O8" i="12" s="1"/>
  <c r="W36" i="10"/>
  <c r="O7" i="14" s="1"/>
  <c r="W75" i="10"/>
  <c r="O4" i="20" s="1"/>
  <c r="W90" i="10"/>
  <c r="W38" i="10"/>
  <c r="O2" i="15" s="1"/>
  <c r="W54" i="10"/>
  <c r="O4" i="17" s="1"/>
  <c r="W52" i="10"/>
  <c r="O2" i="17" s="1"/>
  <c r="W55" i="10"/>
  <c r="O5" i="17" s="1"/>
  <c r="W11" i="10"/>
  <c r="O3" i="11" s="1"/>
  <c r="W13" i="10"/>
  <c r="O5" i="11" s="1"/>
  <c r="W81" i="10"/>
  <c r="O3" i="21" s="1"/>
  <c r="W86" i="10"/>
  <c r="O8" i="21" s="1"/>
  <c r="W16" i="10"/>
  <c r="O8" i="11" s="1"/>
  <c r="W12" i="10"/>
  <c r="O4" i="11" s="1"/>
  <c r="W83" i="10"/>
  <c r="O5" i="21" s="1"/>
  <c r="W82" i="10"/>
  <c r="O4" i="21" s="1"/>
  <c r="W15" i="10"/>
  <c r="O7" i="11" s="1"/>
  <c r="W85" i="10"/>
  <c r="O7" i="21" s="1"/>
  <c r="P1" i="14" l="1"/>
  <c r="P1" i="19"/>
  <c r="P1" i="20"/>
  <c r="P1" i="12"/>
  <c r="P1" i="16"/>
  <c r="P1" i="22"/>
  <c r="P1" i="13"/>
  <c r="P1" i="21"/>
  <c r="P1" i="11"/>
  <c r="P1" i="15"/>
  <c r="X89" i="10"/>
  <c r="P1" i="17"/>
  <c r="X74" i="10"/>
  <c r="P3" i="20" s="1"/>
  <c r="X40" i="10"/>
  <c r="P4" i="15" s="1"/>
  <c r="X53" i="10"/>
  <c r="P3" i="17" s="1"/>
  <c r="X65" i="10"/>
  <c r="P8" i="18" s="1"/>
  <c r="X56" i="10"/>
  <c r="P6" i="17" s="1"/>
  <c r="X18" i="10"/>
  <c r="P3" i="12" s="1"/>
  <c r="X92" i="10"/>
  <c r="X76" i="10"/>
  <c r="P5" i="20" s="1"/>
  <c r="X29" i="10"/>
  <c r="P7" i="13" s="1"/>
  <c r="X68" i="10"/>
  <c r="P4" i="19" s="1"/>
  <c r="X54" i="10"/>
  <c r="P4" i="17" s="1"/>
  <c r="X67" i="10"/>
  <c r="P3" i="19" s="1"/>
  <c r="X62" i="10"/>
  <c r="P5" i="18" s="1"/>
  <c r="X60" i="10"/>
  <c r="P3" i="18" s="1"/>
  <c r="X47" i="10"/>
  <c r="P4" i="16" s="1"/>
  <c r="X44" i="10"/>
  <c r="P8" i="15" s="1"/>
  <c r="X57" i="10"/>
  <c r="P7" i="17" s="1"/>
  <c r="X88" i="10"/>
  <c r="X42" i="10"/>
  <c r="P6" i="15" s="1"/>
  <c r="P1" i="18"/>
  <c r="X61" i="10"/>
  <c r="P4" i="18" s="1"/>
  <c r="X34" i="10"/>
  <c r="P5" i="14" s="1"/>
  <c r="X73" i="10"/>
  <c r="P2" i="20" s="1"/>
  <c r="X50" i="10"/>
  <c r="P7" i="16" s="1"/>
  <c r="X37" i="10"/>
  <c r="P8" i="14" s="1"/>
  <c r="X87" i="10"/>
  <c r="X39" i="10"/>
  <c r="P3" i="15" s="1"/>
  <c r="X63" i="10"/>
  <c r="P6" i="18" s="1"/>
  <c r="X48" i="10"/>
  <c r="P5" i="16" s="1"/>
  <c r="X51" i="10"/>
  <c r="P8" i="16" s="1"/>
  <c r="X36" i="10"/>
  <c r="P7" i="14" s="1"/>
  <c r="X35" i="10"/>
  <c r="P6" i="14" s="1"/>
  <c r="Y9" i="10"/>
  <c r="X91" i="10"/>
  <c r="X45" i="10"/>
  <c r="P2" i="16" s="1"/>
  <c r="X90" i="10"/>
  <c r="X30" i="10"/>
  <c r="P8" i="13" s="1"/>
  <c r="X26" i="10"/>
  <c r="P4" i="13" s="1"/>
  <c r="X46" i="10"/>
  <c r="P3" i="16" s="1"/>
  <c r="X27" i="10"/>
  <c r="P5" i="13" s="1"/>
  <c r="X59" i="10"/>
  <c r="P2" i="18" s="1"/>
  <c r="X69" i="10"/>
  <c r="P5" i="19" s="1"/>
  <c r="X25" i="10"/>
  <c r="P3" i="13" s="1"/>
  <c r="X58" i="10"/>
  <c r="P8" i="17" s="1"/>
  <c r="X23" i="10"/>
  <c r="P8" i="12" s="1"/>
  <c r="X66" i="10"/>
  <c r="P2" i="19" s="1"/>
  <c r="X70" i="10"/>
  <c r="P6" i="19" s="1"/>
  <c r="X64" i="10"/>
  <c r="P7" i="18" s="1"/>
  <c r="X32" i="10"/>
  <c r="P3" i="14" s="1"/>
  <c r="X19" i="10"/>
  <c r="P4" i="12" s="1"/>
  <c r="X20" i="10"/>
  <c r="P5" i="12" s="1"/>
  <c r="X77" i="10"/>
  <c r="P6" i="20" s="1"/>
  <c r="X28" i="10"/>
  <c r="P6" i="13" s="1"/>
  <c r="X33" i="10"/>
  <c r="P4" i="14" s="1"/>
  <c r="X75" i="10"/>
  <c r="P4" i="20" s="1"/>
  <c r="X78" i="10"/>
  <c r="P7" i="20" s="1"/>
  <c r="X49" i="10"/>
  <c r="P6" i="16" s="1"/>
  <c r="X22" i="10"/>
  <c r="P7" i="12" s="1"/>
  <c r="X72" i="10"/>
  <c r="P8" i="19" s="1"/>
  <c r="X79" i="10"/>
  <c r="P8" i="20" s="1"/>
  <c r="X71" i="10"/>
  <c r="P7" i="19" s="1"/>
  <c r="X38" i="10"/>
  <c r="P2" i="15" s="1"/>
  <c r="X93" i="10"/>
  <c r="X43" i="10"/>
  <c r="P7" i="15" s="1"/>
  <c r="X41" i="10"/>
  <c r="P5" i="15" s="1"/>
  <c r="X52" i="10"/>
  <c r="P2" i="17" s="1"/>
  <c r="X55" i="10"/>
  <c r="P5" i="17" s="1"/>
  <c r="X13" i="10"/>
  <c r="P5" i="11" s="1"/>
  <c r="X11" i="10"/>
  <c r="P3" i="11" s="1"/>
  <c r="X83" i="10"/>
  <c r="P5" i="21" s="1"/>
  <c r="X15" i="10"/>
  <c r="P7" i="11" s="1"/>
  <c r="X12" i="10"/>
  <c r="P4" i="11" s="1"/>
  <c r="X16" i="10"/>
  <c r="P8" i="11" s="1"/>
  <c r="X85" i="10"/>
  <c r="P7" i="21" s="1"/>
  <c r="X81" i="10"/>
  <c r="P3" i="21" s="1"/>
  <c r="X86" i="10"/>
  <c r="P8" i="21" s="1"/>
  <c r="X82" i="10"/>
  <c r="P4" i="21" s="1"/>
  <c r="Q1" i="19" l="1"/>
  <c r="Q1" i="15"/>
  <c r="Q1" i="12"/>
  <c r="Q1" i="13"/>
  <c r="Q1" i="20"/>
  <c r="Q1" i="14"/>
  <c r="Q1" i="18"/>
  <c r="Q1" i="21"/>
  <c r="Q1" i="17"/>
  <c r="Y89" i="10"/>
  <c r="Y73" i="10"/>
  <c r="Q2" i="20" s="1"/>
  <c r="Y40" i="10"/>
  <c r="Q4" i="15" s="1"/>
  <c r="Y59" i="10"/>
  <c r="Q2" i="18" s="1"/>
  <c r="Y53" i="10"/>
  <c r="Q3" i="17" s="1"/>
  <c r="Y34" i="10"/>
  <c r="Q5" i="14" s="1"/>
  <c r="Q1" i="11"/>
  <c r="Y67" i="10"/>
  <c r="Q3" i="19" s="1"/>
  <c r="Y18" i="10"/>
  <c r="Q3" i="12" s="1"/>
  <c r="Y29" i="10"/>
  <c r="Q7" i="13" s="1"/>
  <c r="Y91" i="10"/>
  <c r="Y70" i="10"/>
  <c r="Q6" i="19" s="1"/>
  <c r="Y62" i="10"/>
  <c r="Q5" i="18" s="1"/>
  <c r="Y47" i="10"/>
  <c r="Q4" i="16" s="1"/>
  <c r="Y44" i="10"/>
  <c r="Q8" i="15" s="1"/>
  <c r="Y87" i="10"/>
  <c r="Y79" i="10"/>
  <c r="Q8" i="20" s="1"/>
  <c r="Y61" i="10"/>
  <c r="Q4" i="18" s="1"/>
  <c r="Y54" i="10"/>
  <c r="Q4" i="17" s="1"/>
  <c r="Y78" i="10"/>
  <c r="Q7" i="20" s="1"/>
  <c r="Q1" i="22"/>
  <c r="Z9" i="10"/>
  <c r="Y46" i="10"/>
  <c r="Q3" i="16" s="1"/>
  <c r="Y65" i="10"/>
  <c r="Q8" i="18" s="1"/>
  <c r="Q1" i="16"/>
  <c r="Y88" i="10"/>
  <c r="Y56" i="10"/>
  <c r="Q6" i="17" s="1"/>
  <c r="Y43" i="10"/>
  <c r="Q7" i="15" s="1"/>
  <c r="Y48" i="10"/>
  <c r="Q5" i="16" s="1"/>
  <c r="Y42" i="10"/>
  <c r="Q6" i="15" s="1"/>
  <c r="Y77" i="10"/>
  <c r="Q6" i="20" s="1"/>
  <c r="Y35" i="10"/>
  <c r="Q6" i="14" s="1"/>
  <c r="Y36" i="10"/>
  <c r="Q7" i="14" s="1"/>
  <c r="Y50" i="10"/>
  <c r="Q7" i="16" s="1"/>
  <c r="Y63" i="10"/>
  <c r="Q6" i="18" s="1"/>
  <c r="Y39" i="10"/>
  <c r="Q3" i="15" s="1"/>
  <c r="Y32" i="10"/>
  <c r="Q3" i="14" s="1"/>
  <c r="Y26" i="10"/>
  <c r="Q4" i="13" s="1"/>
  <c r="Y49" i="10"/>
  <c r="Q6" i="16" s="1"/>
  <c r="Y75" i="10"/>
  <c r="Q4" i="20" s="1"/>
  <c r="Y38" i="10"/>
  <c r="Q2" i="15" s="1"/>
  <c r="Y76" i="10"/>
  <c r="Q5" i="20" s="1"/>
  <c r="Y28" i="10"/>
  <c r="Q6" i="13" s="1"/>
  <c r="Y72" i="10"/>
  <c r="Q8" i="19" s="1"/>
  <c r="Y57" i="10"/>
  <c r="Q7" i="17" s="1"/>
  <c r="Y64" i="10"/>
  <c r="Q7" i="18" s="1"/>
  <c r="Y69" i="10"/>
  <c r="Q5" i="19" s="1"/>
  <c r="Y66" i="10"/>
  <c r="Q2" i="19" s="1"/>
  <c r="Y45" i="10"/>
  <c r="Q2" i="16" s="1"/>
  <c r="Y51" i="10"/>
  <c r="Q8" i="16" s="1"/>
  <c r="Y19" i="10"/>
  <c r="Q4" i="12" s="1"/>
  <c r="Y58" i="10"/>
  <c r="Q8" i="17" s="1"/>
  <c r="Y33" i="10"/>
  <c r="Q4" i="14" s="1"/>
  <c r="Y27" i="10"/>
  <c r="Q5" i="13" s="1"/>
  <c r="Y74" i="10"/>
  <c r="Q3" i="20" s="1"/>
  <c r="Y25" i="10"/>
  <c r="Q3" i="13" s="1"/>
  <c r="Y22" i="10"/>
  <c r="Q7" i="12" s="1"/>
  <c r="Y60" i="10"/>
  <c r="Q3" i="18" s="1"/>
  <c r="Y68" i="10"/>
  <c r="Q4" i="19" s="1"/>
  <c r="Y20" i="10"/>
  <c r="Q5" i="12" s="1"/>
  <c r="Y93" i="10"/>
  <c r="Y90" i="10"/>
  <c r="Y92" i="10"/>
  <c r="Y23" i="10"/>
  <c r="Q8" i="12" s="1"/>
  <c r="Y30" i="10"/>
  <c r="Q8" i="13" s="1"/>
  <c r="Y37" i="10"/>
  <c r="Q8" i="14" s="1"/>
  <c r="Y71" i="10"/>
  <c r="Q7" i="19" s="1"/>
  <c r="Y41" i="10"/>
  <c r="Q5" i="15" s="1"/>
  <c r="Y52" i="10"/>
  <c r="Q2" i="17" s="1"/>
  <c r="Y55" i="10"/>
  <c r="Q5" i="17" s="1"/>
  <c r="Y13" i="10"/>
  <c r="Q5" i="11" s="1"/>
  <c r="Y11" i="10"/>
  <c r="Q3" i="11" s="1"/>
  <c r="Y82" i="10"/>
  <c r="Q4" i="21" s="1"/>
  <c r="Y15" i="10"/>
  <c r="Q7" i="11" s="1"/>
  <c r="Y83" i="10"/>
  <c r="Q5" i="21" s="1"/>
  <c r="Y12" i="10"/>
  <c r="Q4" i="11" s="1"/>
  <c r="Y85" i="10"/>
  <c r="Q7" i="21" s="1"/>
  <c r="Y16" i="10"/>
  <c r="Q8" i="11" s="1"/>
  <c r="Y86" i="10"/>
  <c r="Q8" i="21" s="1"/>
  <c r="Y81" i="10"/>
  <c r="Q3" i="21" s="1"/>
  <c r="R1" i="19" l="1"/>
  <c r="R1" i="15"/>
  <c r="R1" i="16"/>
  <c r="R1" i="20"/>
  <c r="R1" i="17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2" i="10"/>
  <c r="R5" i="18" s="1"/>
  <c r="Z61" i="10"/>
  <c r="R4" i="18" s="1"/>
  <c r="Z67" i="10"/>
  <c r="R3" i="19" s="1"/>
  <c r="Z44" i="10"/>
  <c r="R8" i="15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42" i="10"/>
  <c r="R6" i="15" s="1"/>
  <c r="Z22" i="10"/>
  <c r="R7" i="12" s="1"/>
  <c r="Z28" i="10"/>
  <c r="R6" i="13" s="1"/>
  <c r="Z90" i="10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50" i="10"/>
  <c r="R7" i="16" s="1"/>
  <c r="Z77" i="10"/>
  <c r="R6" i="20" s="1"/>
  <c r="Z93" i="10"/>
  <c r="Z66" i="10"/>
  <c r="R2" i="19" s="1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S1" i="19" l="1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98" i="10" l="1"/>
  <c r="AH10" i="10" s="1"/>
  <c r="Z2" i="11" s="1"/>
  <c r="AH101" i="10"/>
  <c r="AH97" i="10"/>
  <c r="AH84" i="10" s="1"/>
  <c r="Z6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24" i="10"/>
  <c r="Z2" i="13" s="1"/>
  <c r="AH99" i="10"/>
  <c r="AH14" i="10" s="1"/>
  <c r="Z6" i="11" s="1"/>
  <c r="AH80" i="10" l="1"/>
  <c r="Z2" i="21" s="1"/>
  <c r="M10" i="10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<sst xmlns="http://schemas.openxmlformats.org/spreadsheetml/2006/main" count="1579" uniqueCount="340">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</sst>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99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OK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22600</v>
      </c>
      <c r="C2">
        <f>SUMIFS(SYVbT_all!$D$4:$D$291,SYVbT_all!$A$4:$A$291,About!$B$2,SYVbT_all!$B$4:$B$291,$A2)</f>
        <v>1700</v>
      </c>
      <c r="D2">
        <f>SUMIFS(SYVbT_all!$E$4:$E$291,SYVbT_all!$A$4:$A$291,About!$B$2,SYVbT_all!$B$4:$B$291,$A2)</f>
        <v>3300240</v>
      </c>
      <c r="E2">
        <f>SUMIFS(SYVbT_all!$F$4:$F$291,SYVbT_all!$A$4:$A$291,About!$B$2,SYVbT_all!$B$4:$B$291,$A2)</f>
        <v>32652</v>
      </c>
      <c r="F2">
        <f>SUMIFS(SYVbT_all!$G$4:$G$291,SYVbT_all!$A$4:$A$291,About!$B$2,SYVbT_all!$B$4:$B$291,$A2)</f>
        <v>7632</v>
      </c>
      <c r="G2">
        <f>SUMIFS(SYVbT_all!$H$4:$H$291,SYVbT_all!$A$4:$A$291,About!$B$2,SYVbT_all!$B$4:$B$291,$A2)</f>
        <v>200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1</v>
      </c>
      <c r="C3">
        <f>SUMIFS(SYVbT_all!$D$4:$D$291,SYVbT_all!$A$4:$A$291,About!$B$2,SYVbT_all!$B$4:$B$291,$A3)</f>
        <v>244</v>
      </c>
      <c r="D3">
        <f>SUMIFS(SYVbT_all!$E$4:$E$291,SYVbT_all!$A$4:$A$291,About!$B$2,SYVbT_all!$B$4:$B$291,$A3)</f>
        <v>192</v>
      </c>
      <c r="E3">
        <f>SUMIFS(SYVbT_all!$F$4:$F$291,SYVbT_all!$A$4:$A$291,About!$B$2,SYVbT_all!$B$4:$B$291,$A3)</f>
        <v>1526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89</v>
      </c>
      <c r="H3">
        <f>SUMIFS(SYVbT_all!$I$4:$I$291,SYVbT_all!$A$4:$A$291,About!$B$2,SYVbT_all!$B$4:$B$291,$A3)</f>
        <v>0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28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4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0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180719</v>
      </c>
      <c r="E6">
        <f>SUMIFS(SYVbT_all!$F$4:$F$291,SYVbT_all!$A$4:$A$291,About!$B$2,SYVbT_all!$B$4:$B$291,$A6)</f>
        <v>44056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139387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9.3934897959797564E-2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9.3934897959797564E-2</v>
      </c>
      <c r="K10" s="2">
        <f t="shared" ref="K10:AI10" si="1">IF($G10="s-curve",$E10+($F10-$E10)*K$98,TREND($E10:$F10,$E$9:$F$9,K$9))</f>
        <v>0.105245445349345</v>
      </c>
      <c r="L10" s="2">
        <f t="shared" si="1"/>
        <v>0.1200792902081546</v>
      </c>
      <c r="M10" s="2">
        <f t="shared" si="1"/>
        <v>0.13935146980245222</v>
      </c>
      <c r="N10" s="2">
        <f t="shared" si="1"/>
        <v>0.16408566291316468</v>
      </c>
      <c r="O10" s="2">
        <f t="shared" si="1"/>
        <v>0.19533646880590455</v>
      </c>
      <c r="P10" s="2">
        <f t="shared" si="1"/>
        <v>0.23404853771810871</v>
      </c>
      <c r="Q10" s="2">
        <f t="shared" si="1"/>
        <v>0.2808468225238776</v>
      </c>
      <c r="R10" s="2">
        <f t="shared" si="1"/>
        <v>0.33577936631959926</v>
      </c>
      <c r="S10" s="2">
        <f t="shared" si="1"/>
        <v>0.39807556907040542</v>
      </c>
      <c r="T10" s="2">
        <f t="shared" si="1"/>
        <v>0.46602060635839526</v>
      </c>
      <c r="U10" s="2">
        <f t="shared" si="1"/>
        <v>0.53704617067945259</v>
      </c>
      <c r="V10" s="2">
        <f t="shared" si="1"/>
        <v>0.60807173500051004</v>
      </c>
      <c r="W10" s="2">
        <f t="shared" si="1"/>
        <v>0.67601677228849977</v>
      </c>
      <c r="X10" s="2">
        <f t="shared" si="1"/>
        <v>0.73831297503930604</v>
      </c>
      <c r="Y10" s="2">
        <f t="shared" si="1"/>
        <v>0.79324551883502759</v>
      </c>
      <c r="Z10" s="2">
        <f t="shared" si="1"/>
        <v>0.84004380364079656</v>
      </c>
      <c r="AA10" s="2">
        <f t="shared" si="1"/>
        <v>0.87875587255300081</v>
      </c>
      <c r="AB10" s="2">
        <f t="shared" si="1"/>
        <v>0.91000667844574068</v>
      </c>
      <c r="AC10" s="2">
        <f t="shared" si="1"/>
        <v>0.93474087155645302</v>
      </c>
      <c r="AD10" s="2">
        <f t="shared" si="1"/>
        <v>0.95401305115075075</v>
      </c>
      <c r="AE10" s="2">
        <f t="shared" si="1"/>
        <v>0.96884689600956042</v>
      </c>
      <c r="AF10" s="2">
        <f t="shared" si="1"/>
        <v>0.98015744339910771</v>
      </c>
      <c r="AG10" s="2">
        <f t="shared" si="1"/>
        <v>0.98871971857355279</v>
      </c>
      <c r="AH10" s="2">
        <f t="shared" si="1"/>
        <v>0.99516627072585895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1.0021685120951168E-2</v>
      </c>
      <c r="F14" s="2">
        <f>E14/E10*F10</f>
        <v>0.10668756062566084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1.0021685120951168E-2</v>
      </c>
      <c r="K14" s="2">
        <f t="shared" ref="K14:AI14" si="2">IF($G14="s-curve",$E14+($F14-$E14)*K$99,TREND($E14:$F14,$E$9:$F$9,K$9))</f>
        <v>1.0597029806144494E-2</v>
      </c>
      <c r="L14" s="2">
        <f t="shared" si="2"/>
        <v>1.1442772192438094E-2</v>
      </c>
      <c r="M14" s="2">
        <f t="shared" si="2"/>
        <v>1.2677259960180435E-2</v>
      </c>
      <c r="N14" s="2">
        <f t="shared" si="2"/>
        <v>1.4460764707834778E-2</v>
      </c>
      <c r="O14" s="2">
        <f t="shared" si="2"/>
        <v>1.6999580043144179E-2</v>
      </c>
      <c r="P14" s="2">
        <f t="shared" si="2"/>
        <v>2.0538432054780884E-2</v>
      </c>
      <c r="Q14" s="2">
        <f t="shared" si="2"/>
        <v>2.5329425526658171E-2</v>
      </c>
      <c r="R14" s="2">
        <f t="shared" si="2"/>
        <v>3.1565702335303633E-2</v>
      </c>
      <c r="S14" s="2">
        <f t="shared" si="2"/>
        <v>3.9280832937086549E-2</v>
      </c>
      <c r="T14" s="2">
        <f t="shared" si="2"/>
        <v>4.8246931412729434E-2</v>
      </c>
      <c r="U14" s="2">
        <f t="shared" si="2"/>
        <v>5.7939932757929836E-2</v>
      </c>
      <c r="V14" s="2">
        <f t="shared" si="2"/>
        <v>6.763293410313026E-2</v>
      </c>
      <c r="W14" s="2">
        <f t="shared" si="2"/>
        <v>7.6599032578773138E-2</v>
      </c>
      <c r="X14" s="2">
        <f t="shared" si="2"/>
        <v>8.4314163180556054E-2</v>
      </c>
      <c r="Y14" s="2">
        <f t="shared" si="2"/>
        <v>9.0550439989201509E-2</v>
      </c>
      <c r="Z14" s="2">
        <f t="shared" si="2"/>
        <v>9.5341433461078776E-2</v>
      </c>
      <c r="AA14" s="2">
        <f t="shared" si="2"/>
        <v>9.8880285472715504E-2</v>
      </c>
      <c r="AB14" s="2">
        <f t="shared" si="2"/>
        <v>0.10141910080802491</v>
      </c>
      <c r="AC14" s="2">
        <f t="shared" si="2"/>
        <v>0.10320260555567924</v>
      </c>
      <c r="AD14" s="2">
        <f t="shared" si="2"/>
        <v>0.10443709332342159</v>
      </c>
      <c r="AE14" s="2">
        <f t="shared" si="2"/>
        <v>0.10528283570971519</v>
      </c>
      <c r="AF14" s="2">
        <f t="shared" si="2"/>
        <v>0.1058581803949085</v>
      </c>
      <c r="AG14" s="2">
        <f t="shared" si="2"/>
        <v>0.10624770349643986</v>
      </c>
      <c r="AH14" s="2">
        <f t="shared" si="2"/>
        <v>0.10651056422822505</v>
      </c>
      <c r="AI14" s="2">
        <f t="shared" si="2"/>
        <v>0.10668756062566084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1</v>
      </c>
      <c r="F52">
        <f>E52</f>
        <v>1</v>
      </c>
      <c r="G52" t="s">
        <v>329</v>
      </c>
      <c r="I52">
        <f t="shared" si="10"/>
        <v>1</v>
      </c>
      <c r="J52">
        <f>IF($G52="s-curve",$E52+($F52-$E52)*$I$2/(1+EXP($I$3*(COUNT($I$9:J$9)+$I$4))),TREND($E52:$F52,$E$9:$F$9,J$9))</f>
        <v>1</v>
      </c>
      <c r="K52">
        <f>IF($G52="s-curve",$E52+($F52-$E52)*$I$2/(1+EXP($I$3*(COUNT($I$9:K$9)+$I$4))),TREND($E52:$F52,$E$9:$F$9,K$9))</f>
        <v>1</v>
      </c>
      <c r="L52">
        <f>IF($G52="s-curve",$E52+($F52-$E52)*$I$2/(1+EXP($I$3*(COUNT($I$9:L$9)+$I$4))),TREND($E52:$F52,$E$9:$F$9,L$9))</f>
        <v>1</v>
      </c>
      <c r="M52">
        <f>IF($G52="s-curve",$E52+($F52-$E52)*$I$2/(1+EXP($I$3*(COUNT($I$9:M$9)+$I$4))),TREND($E52:$F52,$E$9:$F$9,M$9))</f>
        <v>1</v>
      </c>
      <c r="N52">
        <f>IF($G52="s-curve",$E52+($F52-$E52)*$I$2/(1+EXP($I$3*(COUNT($I$9:N$9)+$I$4))),TREND($E52:$F52,$E$9:$F$9,N$9))</f>
        <v>1</v>
      </c>
      <c r="O52">
        <f>IF($G52="s-curve",$E52+($F52-$E52)*$I$2/(1+EXP($I$3*(COUNT($I$9:O$9)+$I$4))),TREND($E52:$F52,$E$9:$F$9,O$9))</f>
        <v>1</v>
      </c>
      <c r="P52">
        <f>IF($G52="s-curve",$E52+($F52-$E52)*$I$2/(1+EXP($I$3*(COUNT($I$9:P$9)+$I$4))),TREND($E52:$F52,$E$9:$F$9,P$9))</f>
        <v>1</v>
      </c>
      <c r="Q52">
        <f>IF($G52="s-curve",$E52+($F52-$E52)*$I$2/(1+EXP($I$3*(COUNT($I$9:Q$9)+$I$4))),TREND($E52:$F52,$E$9:$F$9,Q$9))</f>
        <v>1</v>
      </c>
      <c r="R52">
        <f>IF($G52="s-curve",$E52+($F52-$E52)*$I$2/(1+EXP($I$3*(COUNT($I$9:R$9)+$I$4))),TREND($E52:$F52,$E$9:$F$9,R$9))</f>
        <v>1</v>
      </c>
      <c r="S52">
        <f>IF($G52="s-curve",$E52+($F52-$E52)*$I$2/(1+EXP($I$3*(COUNT($I$9:S$9)+$I$4))),TREND($E52:$F52,$E$9:$F$9,S$9))</f>
        <v>1</v>
      </c>
      <c r="T52">
        <f>IF($G52="s-curve",$E52+($F52-$E52)*$I$2/(1+EXP($I$3*(COUNT($I$9:T$9)+$I$4))),TREND($E52:$F52,$E$9:$F$9,T$9))</f>
        <v>1</v>
      </c>
      <c r="U52">
        <f>IF($G52="s-curve",$E52+($F52-$E52)*$I$2/(1+EXP($I$3*(COUNT($I$9:U$9)+$I$4))),TREND($E52:$F52,$E$9:$F$9,U$9))</f>
        <v>1</v>
      </c>
      <c r="V52">
        <f>IF($G52="s-curve",$E52+($F52-$E52)*$I$2/(1+EXP($I$3*(COUNT($I$9:V$9)+$I$4))),TREND($E52:$F52,$E$9:$F$9,V$9))</f>
        <v>1</v>
      </c>
      <c r="W52">
        <f>IF($G52="s-curve",$E52+($F52-$E52)*$I$2/(1+EXP($I$3*(COUNT($I$9:W$9)+$I$4))),TREND($E52:$F52,$E$9:$F$9,W$9))</f>
        <v>1</v>
      </c>
      <c r="X52">
        <f>IF($G52="s-curve",$E52+($F52-$E52)*$I$2/(1+EXP($I$3*(COUNT($I$9:X$9)+$I$4))),TREND($E52:$F52,$E$9:$F$9,X$9))</f>
        <v>1</v>
      </c>
      <c r="Y52">
        <f>IF($G52="s-curve",$E52+($F52-$E52)*$I$2/(1+EXP($I$3*(COUNT($I$9:Y$9)+$I$4))),TREND($E52:$F52,$E$9:$F$9,Y$9))</f>
        <v>1</v>
      </c>
      <c r="Z52">
        <f>IF($G52="s-curve",$E52+($F52-$E52)*$I$2/(1+EXP($I$3*(COUNT($I$9:Z$9)+$I$4))),TREND($E52:$F52,$E$9:$F$9,Z$9))</f>
        <v>1</v>
      </c>
      <c r="AA52">
        <f>IF($G52="s-curve",$E52+($F52-$E52)*$I$2/(1+EXP($I$3*(COUNT($I$9:AA$9)+$I$4))),TREND($E52:$F52,$E$9:$F$9,AA$9))</f>
        <v>1</v>
      </c>
      <c r="AB52">
        <f>IF($G52="s-curve",$E52+($F52-$E52)*$I$2/(1+EXP($I$3*(COUNT($I$9:AB$9)+$I$4))),TREND($E52:$F52,$E$9:$F$9,AB$9))</f>
        <v>1</v>
      </c>
      <c r="AC52">
        <f>IF($G52="s-curve",$E52+($F52-$E52)*$I$2/(1+EXP($I$3*(COUNT($I$9:AC$9)+$I$4))),TREND($E52:$F52,$E$9:$F$9,AC$9))</f>
        <v>1</v>
      </c>
      <c r="AD52">
        <f>IF($G52="s-curve",$E52+($F52-$E52)*$I$2/(1+EXP($I$3*(COUNT($I$9:AD$9)+$I$4))),TREND($E52:$F52,$E$9:$F$9,AD$9))</f>
        <v>1</v>
      </c>
      <c r="AE52">
        <f>IF($G52="s-curve",$E52+($F52-$E52)*$I$2/(1+EXP($I$3*(COUNT($I$9:AE$9)+$I$4))),TREND($E52:$F52,$E$9:$F$9,AE$9))</f>
        <v>1</v>
      </c>
      <c r="AF52">
        <f>IF($G52="s-curve",$E52+($F52-$E52)*$I$2/(1+EXP($I$3*(COUNT($I$9:AF$9)+$I$4))),TREND($E52:$F52,$E$9:$F$9,AF$9))</f>
        <v>1</v>
      </c>
      <c r="AG52">
        <f>IF($G52="s-curve",$E52+($F52-$E52)*$I$2/(1+EXP($I$3*(COUNT($I$9:AG$9)+$I$4))),TREND($E52:$F52,$E$9:$F$9,AG$9))</f>
        <v>1</v>
      </c>
      <c r="AH52">
        <f>IF($G52="s-curve",$E52+($F52-$E52)*$I$2/(1+EXP($I$3*(COUNT($I$9:AH$9)+$I$4))),TREND($E52:$F52,$E$9:$F$9,AH$9))</f>
        <v>1</v>
      </c>
      <c r="AI52">
        <f>IF($G52="s-curve",$E52+($F52-$E52)*$I$2/(1+EXP($I$3*(COUNT($I$9:AI$9)+$I$4))),TREND($E52:$F52,$E$9:$F$9,AI$9))</f>
        <v>1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0</v>
      </c>
      <c r="F55">
        <f>E55</f>
        <v>0</v>
      </c>
      <c r="G55" t="str">
        <f>IF(E55=F55,"n/a",IF(OR(C55="battery electric vehicle",C55="natural gas vehicle",C55="plugin hybrid vehicle"),"s-curve","linear"))</f>
        <v>n/a</v>
      </c>
      <c r="I55">
        <f t="shared" si="10"/>
        <v>0</v>
      </c>
      <c r="J55">
        <f>IF($G55="s-curve",$E55+($F55-$E55)*$I$2/(1+EXP($I$3*(COUNT($I$9:J$9)+$I$4))),TREND($E55:$F55,$E$9:$F$9,J$9))</f>
        <v>0</v>
      </c>
      <c r="K55">
        <f>IF($G55="s-curve",$E55+($F55-$E55)*$I$2/(1+EXP($I$3*(COUNT($I$9:K$9)+$I$4))),TREND($E55:$F55,$E$9:$F$9,K$9))</f>
        <v>0</v>
      </c>
      <c r="L55">
        <f>IF($G55="s-curve",$E55+($F55-$E55)*$I$2/(1+EXP($I$3*(COUNT($I$9:L$9)+$I$4))),TREND($E55:$F55,$E$9:$F$9,L$9))</f>
        <v>0</v>
      </c>
      <c r="M55">
        <f>IF($G55="s-curve",$E55+($F55-$E55)*$I$2/(1+EXP($I$3*(COUNT($I$9:M$9)+$I$4))),TREND($E55:$F55,$E$9:$F$9,M$9))</f>
        <v>0</v>
      </c>
      <c r="N55">
        <f>IF($G55="s-curve",$E55+($F55-$E55)*$I$2/(1+EXP($I$3*(COUNT($I$9:N$9)+$I$4))),TREND($E55:$F55,$E$9:$F$9,N$9))</f>
        <v>0</v>
      </c>
      <c r="O55">
        <f>IF($G55="s-curve",$E55+($F55-$E55)*$I$2/(1+EXP($I$3*(COUNT($I$9:O$9)+$I$4))),TREND($E55:$F55,$E$9:$F$9,O$9))</f>
        <v>0</v>
      </c>
      <c r="P55">
        <f>IF($G55="s-curve",$E55+($F55-$E55)*$I$2/(1+EXP($I$3*(COUNT($I$9:P$9)+$I$4))),TREND($E55:$F55,$E$9:$F$9,P$9))</f>
        <v>0</v>
      </c>
      <c r="Q55">
        <f>IF($G55="s-curve",$E55+($F55-$E55)*$I$2/(1+EXP($I$3*(COUNT($I$9:Q$9)+$I$4))),TREND($E55:$F55,$E$9:$F$9,Q$9))</f>
        <v>0</v>
      </c>
      <c r="R55">
        <f>IF($G55="s-curve",$E55+($F55-$E55)*$I$2/(1+EXP($I$3*(COUNT($I$9:R$9)+$I$4))),TREND($E55:$F55,$E$9:$F$9,R$9))</f>
        <v>0</v>
      </c>
      <c r="S55">
        <f>IF($G55="s-curve",$E55+($F55-$E55)*$I$2/(1+EXP($I$3*(COUNT($I$9:S$9)+$I$4))),TREND($E55:$F55,$E$9:$F$9,S$9))</f>
        <v>0</v>
      </c>
      <c r="T55">
        <f>IF($G55="s-curve",$E55+($F55-$E55)*$I$2/(1+EXP($I$3*(COUNT($I$9:T$9)+$I$4))),TREND($E55:$F55,$E$9:$F$9,T$9))</f>
        <v>0</v>
      </c>
      <c r="U55">
        <f>IF($G55="s-curve",$E55+($F55-$E55)*$I$2/(1+EXP($I$3*(COUNT($I$9:U$9)+$I$4))),TREND($E55:$F55,$E$9:$F$9,U$9))</f>
        <v>0</v>
      </c>
      <c r="V55">
        <f>IF($G55="s-curve",$E55+($F55-$E55)*$I$2/(1+EXP($I$3*(COUNT($I$9:V$9)+$I$4))),TREND($E55:$F55,$E$9:$F$9,V$9))</f>
        <v>0</v>
      </c>
      <c r="W55">
        <f>IF($G55="s-curve",$E55+($F55-$E55)*$I$2/(1+EXP($I$3*(COUNT($I$9:W$9)+$I$4))),TREND($E55:$F55,$E$9:$F$9,W$9))</f>
        <v>0</v>
      </c>
      <c r="X55">
        <f>IF($G55="s-curve",$E55+($F55-$E55)*$I$2/(1+EXP($I$3*(COUNT($I$9:X$9)+$I$4))),TREND($E55:$F55,$E$9:$F$9,X$9))</f>
        <v>0</v>
      </c>
      <c r="Y55">
        <f>IF($G55="s-curve",$E55+($F55-$E55)*$I$2/(1+EXP($I$3*(COUNT($I$9:Y$9)+$I$4))),TREND($E55:$F55,$E$9:$F$9,Y$9))</f>
        <v>0</v>
      </c>
      <c r="Z55">
        <f>IF($G55="s-curve",$E55+($F55-$E55)*$I$2/(1+EXP($I$3*(COUNT($I$9:Z$9)+$I$4))),TREND($E55:$F55,$E$9:$F$9,Z$9))</f>
        <v>0</v>
      </c>
      <c r="AA55">
        <f>IF($G55="s-curve",$E55+($F55-$E55)*$I$2/(1+EXP($I$3*(COUNT($I$9:AA$9)+$I$4))),TREND($E55:$F55,$E$9:$F$9,AA$9))</f>
        <v>0</v>
      </c>
      <c r="AB55">
        <f>IF($G55="s-curve",$E55+($F55-$E55)*$I$2/(1+EXP($I$3*(COUNT($I$9:AB$9)+$I$4))),TREND($E55:$F55,$E$9:$F$9,AB$9))</f>
        <v>0</v>
      </c>
      <c r="AC55">
        <f>IF($G55="s-curve",$E55+($F55-$E55)*$I$2/(1+EXP($I$3*(COUNT($I$9:AC$9)+$I$4))),TREND($E55:$F55,$E$9:$F$9,AC$9))</f>
        <v>0</v>
      </c>
      <c r="AD55">
        <f>IF($G55="s-curve",$E55+($F55-$E55)*$I$2/(1+EXP($I$3*(COUNT($I$9:AD$9)+$I$4))),TREND($E55:$F55,$E$9:$F$9,AD$9))</f>
        <v>0</v>
      </c>
      <c r="AE55">
        <f>IF($G55="s-curve",$E55+($F55-$E55)*$I$2/(1+EXP($I$3*(COUNT($I$9:AE$9)+$I$4))),TREND($E55:$F55,$E$9:$F$9,AE$9))</f>
        <v>0</v>
      </c>
      <c r="AF55">
        <f>IF($G55="s-curve",$E55+($F55-$E55)*$I$2/(1+EXP($I$3*(COUNT($I$9:AF$9)+$I$4))),TREND($E55:$F55,$E$9:$F$9,AF$9))</f>
        <v>0</v>
      </c>
      <c r="AG55">
        <f>IF($G55="s-curve",$E55+($F55-$E55)*$I$2/(1+EXP($I$3*(COUNT($I$9:AG$9)+$I$4))),TREND($E55:$F55,$E$9:$F$9,AG$9))</f>
        <v>0</v>
      </c>
      <c r="AH55">
        <f>IF($G55="s-curve",$E55+($F55-$E55)*$I$2/(1+EXP($I$3*(COUNT($I$9:AH$9)+$I$4))),TREND($E55:$F55,$E$9:$F$9,AH$9))</f>
        <v>0</v>
      </c>
      <c r="AI55">
        <f>IF($G55="s-curve",$E55+($F55-$E55)*$I$2/(1+EXP($I$3*(COUNT($I$9:AI$9)+$I$4))),TREND($E55:$F55,$E$9:$F$9,AI$9))</f>
        <v>0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9.3934897959797564E-2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9.3934897959797564E-2</v>
      </c>
      <c r="J80" s="2">
        <f>$E80</f>
        <v>9.3934897959797564E-2</v>
      </c>
      <c r="K80" s="2">
        <f t="shared" ref="K80:AI80" si="13">IF($G80="s-curve",$E80+($F80-$E80)*K$98,TREND($E80:$F80,$E$9:$F$9,K$9))</f>
        <v>0.105245445349345</v>
      </c>
      <c r="L80" s="2">
        <f t="shared" si="13"/>
        <v>0.1200792902081546</v>
      </c>
      <c r="M80" s="2">
        <f t="shared" si="13"/>
        <v>0.13935146980245222</v>
      </c>
      <c r="N80" s="2">
        <f t="shared" si="13"/>
        <v>0.16408566291316468</v>
      </c>
      <c r="O80" s="2">
        <f t="shared" si="13"/>
        <v>0.19533646880590455</v>
      </c>
      <c r="P80" s="2">
        <f t="shared" si="13"/>
        <v>0.23404853771810871</v>
      </c>
      <c r="Q80" s="2">
        <f t="shared" si="13"/>
        <v>0.2808468225238776</v>
      </c>
      <c r="R80" s="2">
        <f t="shared" si="13"/>
        <v>0.33577936631959926</v>
      </c>
      <c r="S80" s="2">
        <f t="shared" si="13"/>
        <v>0.39807556907040542</v>
      </c>
      <c r="T80" s="2">
        <f t="shared" si="13"/>
        <v>0.46602060635839526</v>
      </c>
      <c r="U80" s="2">
        <f t="shared" si="13"/>
        <v>0.53704617067945259</v>
      </c>
      <c r="V80" s="2">
        <f t="shared" si="13"/>
        <v>0.60807173500051004</v>
      </c>
      <c r="W80" s="2">
        <f t="shared" si="13"/>
        <v>0.67601677228849977</v>
      </c>
      <c r="X80" s="2">
        <f t="shared" si="13"/>
        <v>0.73831297503930604</v>
      </c>
      <c r="Y80" s="2">
        <f t="shared" si="13"/>
        <v>0.79324551883502759</v>
      </c>
      <c r="Z80" s="2">
        <f t="shared" si="13"/>
        <v>0.84004380364079656</v>
      </c>
      <c r="AA80" s="2">
        <f t="shared" si="13"/>
        <v>0.87875587255300081</v>
      </c>
      <c r="AB80" s="2">
        <f t="shared" si="13"/>
        <v>0.91000667844574068</v>
      </c>
      <c r="AC80" s="2">
        <f t="shared" si="13"/>
        <v>0.93474087155645302</v>
      </c>
      <c r="AD80" s="2">
        <f t="shared" si="13"/>
        <v>0.95401305115075075</v>
      </c>
      <c r="AE80" s="2">
        <f t="shared" si="13"/>
        <v>0.96884689600956042</v>
      </c>
      <c r="AF80" s="2">
        <f t="shared" si="13"/>
        <v>0.98015744339910771</v>
      </c>
      <c r="AG80" s="2">
        <f t="shared" si="13"/>
        <v>0.98871971857355279</v>
      </c>
      <c r="AH80" s="2">
        <f t="shared" si="13"/>
        <v>0.99516627072585895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1.0021685120951168E-2</v>
      </c>
      <c r="F84">
        <f t="shared" si="12"/>
        <v>0.10668756062566084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1.0021685120951168E-2</v>
      </c>
      <c r="J84" s="2">
        <f>$E84</f>
        <v>1.0021685120951168E-2</v>
      </c>
      <c r="K84" s="2">
        <f t="shared" ref="K84:AI84" si="14">IF($G84="s-curve",$E84+($F84-$E84)*K$97,TREND($E84:$F84,$E$9:$F$9,K$9))</f>
        <v>1.0315614393935753E-2</v>
      </c>
      <c r="L84" s="2">
        <f t="shared" si="14"/>
        <v>1.0709732640708644E-2</v>
      </c>
      <c r="M84" s="2">
        <f t="shared" si="14"/>
        <v>1.1236974279229794E-2</v>
      </c>
      <c r="N84" s="2">
        <f t="shared" si="14"/>
        <v>1.1940135446690448E-2</v>
      </c>
      <c r="O84" s="2">
        <f t="shared" si="14"/>
        <v>1.2874070248664975E-2</v>
      </c>
      <c r="P84" s="2">
        <f t="shared" si="14"/>
        <v>1.4107774330963975E-2</v>
      </c>
      <c r="Q84" s="2">
        <f t="shared" si="14"/>
        <v>1.5725783992938051E-2</v>
      </c>
      <c r="R84" s="2">
        <f t="shared" si="14"/>
        <v>1.7827907419984305E-2</v>
      </c>
      <c r="S84" s="2">
        <f t="shared" si="14"/>
        <v>2.052580292955599E-2</v>
      </c>
      <c r="T84" s="2">
        <f t="shared" si="14"/>
        <v>2.3934501507719981E-2</v>
      </c>
      <c r="U84" s="2">
        <f t="shared" si="14"/>
        <v>2.8157041390746592E-2</v>
      </c>
      <c r="V84" s="2">
        <f t="shared" si="14"/>
        <v>3.326158965185233E-2</v>
      </c>
      <c r="W84" s="2">
        <f t="shared" si="14"/>
        <v>3.9253386617795823E-2</v>
      </c>
      <c r="X84" s="2">
        <f t="shared" si="14"/>
        <v>4.6048378672417421E-2</v>
      </c>
      <c r="Y84" s="2">
        <f t="shared" si="14"/>
        <v>5.3459520413586932E-2</v>
      </c>
      <c r="Z84" s="2">
        <f t="shared" si="14"/>
        <v>6.1206672309299451E-2</v>
      </c>
      <c r="AA84" s="2">
        <f t="shared" si="14"/>
        <v>6.8953824205011963E-2</v>
      </c>
      <c r="AB84" s="2">
        <f t="shared" si="14"/>
        <v>7.6364965946181473E-2</v>
      </c>
      <c r="AC84" s="2">
        <f t="shared" si="14"/>
        <v>8.3159958000803072E-2</v>
      </c>
      <c r="AD84" s="2">
        <f t="shared" si="14"/>
        <v>8.9151754966746558E-2</v>
      </c>
      <c r="AE84" s="2">
        <f t="shared" si="14"/>
        <v>9.4256303227852292E-2</v>
      </c>
      <c r="AF84" s="2">
        <f t="shared" si="14"/>
        <v>9.8478843110878914E-2</v>
      </c>
      <c r="AG84" s="2">
        <f t="shared" si="14"/>
        <v>0.1018875416890429</v>
      </c>
      <c r="AH84" s="2">
        <f t="shared" si="14"/>
        <v>0.1045854371986146</v>
      </c>
      <c r="AI84" s="2">
        <f t="shared" si="14"/>
        <v>0.10668756062566084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9.3934897959797564E-2</v>
      </c>
      <c r="C2">
        <f>Data!K10</f>
        <v>0.105245445349345</v>
      </c>
      <c r="D2">
        <f>Data!L10</f>
        <v>0.1200792902081546</v>
      </c>
      <c r="E2">
        <f>Data!M10</f>
        <v>0.13935146980245222</v>
      </c>
      <c r="F2">
        <f>Data!N10</f>
        <v>0.16408566291316468</v>
      </c>
      <c r="G2">
        <f>Data!O10</f>
        <v>0.19533646880590455</v>
      </c>
      <c r="H2">
        <f>Data!P10</f>
        <v>0.23404853771810871</v>
      </c>
      <c r="I2">
        <f>Data!Q10</f>
        <v>0.2808468225238776</v>
      </c>
      <c r="J2">
        <f>Data!R10</f>
        <v>0.33577936631959926</v>
      </c>
      <c r="K2">
        <f>Data!S10</f>
        <v>0.39807556907040542</v>
      </c>
      <c r="L2">
        <f>Data!T10</f>
        <v>0.46602060635839526</v>
      </c>
      <c r="M2">
        <f>Data!U10</f>
        <v>0.53704617067945259</v>
      </c>
      <c r="N2">
        <f>Data!V10</f>
        <v>0.60807173500051004</v>
      </c>
      <c r="O2">
        <f>Data!W10</f>
        <v>0.67601677228849977</v>
      </c>
      <c r="P2">
        <f>Data!X10</f>
        <v>0.73831297503930604</v>
      </c>
      <c r="Q2">
        <f>Data!Y10</f>
        <v>0.79324551883502759</v>
      </c>
      <c r="R2">
        <f>Data!Z10</f>
        <v>0.84004380364079656</v>
      </c>
      <c r="S2">
        <f>Data!AA10</f>
        <v>0.87875587255300081</v>
      </c>
      <c r="T2">
        <f>Data!AB10</f>
        <v>0.91000667844574068</v>
      </c>
      <c r="U2">
        <f>Data!AC10</f>
        <v>0.93474087155645302</v>
      </c>
      <c r="V2">
        <f>Data!AD10</f>
        <v>0.95401305115075075</v>
      </c>
      <c r="W2">
        <f>Data!AE10</f>
        <v>0.96884689600956042</v>
      </c>
      <c r="X2">
        <f>Data!AF10</f>
        <v>0.98015744339910771</v>
      </c>
      <c r="Y2">
        <f>Data!AG10</f>
        <v>0.98871971857355279</v>
      </c>
      <c r="Z2">
        <f>Data!AH10</f>
        <v>0.99516627072585895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1.0021685120951168E-2</v>
      </c>
      <c r="C6">
        <f>Data!K14</f>
        <v>1.0597029806144494E-2</v>
      </c>
      <c r="D6">
        <f>Data!L14</f>
        <v>1.1442772192438094E-2</v>
      </c>
      <c r="E6">
        <f>Data!M14</f>
        <v>1.2677259960180435E-2</v>
      </c>
      <c r="F6">
        <f>Data!N14</f>
        <v>1.4460764707834778E-2</v>
      </c>
      <c r="G6">
        <f>Data!O14</f>
        <v>1.6999580043144179E-2</v>
      </c>
      <c r="H6">
        <f>Data!P14</f>
        <v>2.0538432054780884E-2</v>
      </c>
      <c r="I6">
        <f>Data!Q14</f>
        <v>2.5329425526658171E-2</v>
      </c>
      <c r="J6">
        <f>Data!R14</f>
        <v>3.1565702335303633E-2</v>
      </c>
      <c r="K6">
        <f>Data!S14</f>
        <v>3.9280832937086549E-2</v>
      </c>
      <c r="L6">
        <f>Data!T14</f>
        <v>4.8246931412729434E-2</v>
      </c>
      <c r="M6">
        <f>Data!U14</f>
        <v>5.7939932757929836E-2</v>
      </c>
      <c r="N6">
        <f>Data!V14</f>
        <v>6.763293410313026E-2</v>
      </c>
      <c r="O6">
        <f>Data!W14</f>
        <v>7.6599032578773138E-2</v>
      </c>
      <c r="P6">
        <f>Data!X14</f>
        <v>8.4314163180556054E-2</v>
      </c>
      <c r="Q6">
        <f>Data!Y14</f>
        <v>9.0550439989201509E-2</v>
      </c>
      <c r="R6">
        <f>Data!Z14</f>
        <v>9.5341433461078776E-2</v>
      </c>
      <c r="S6">
        <f>Data!AA14</f>
        <v>9.8880285472715504E-2</v>
      </c>
      <c r="T6">
        <f>Data!AB14</f>
        <v>0.10141910080802491</v>
      </c>
      <c r="U6">
        <f>Data!AC14</f>
        <v>0.10320260555567924</v>
      </c>
      <c r="V6">
        <f>Data!AD14</f>
        <v>0.10443709332342159</v>
      </c>
      <c r="W6">
        <f>Data!AE14</f>
        <v>0.10528283570971519</v>
      </c>
      <c r="X6">
        <f>Data!AF14</f>
        <v>0.1058581803949085</v>
      </c>
      <c r="Y6">
        <f>Data!AG14</f>
        <v>0.10624770349643986</v>
      </c>
      <c r="Z6">
        <f>Data!AH14</f>
        <v>0.10651056422822505</v>
      </c>
      <c r="AA6">
        <f>Data!AI14</f>
        <v>0.10668756062566084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1</v>
      </c>
      <c r="C2">
        <f>Data!K52</f>
        <v>1</v>
      </c>
      <c r="D2">
        <f>Data!L52</f>
        <v>1</v>
      </c>
      <c r="E2">
        <f>Data!M52</f>
        <v>1</v>
      </c>
      <c r="F2">
        <f>Data!N52</f>
        <v>1</v>
      </c>
      <c r="G2">
        <f>Data!O52</f>
        <v>1</v>
      </c>
      <c r="H2">
        <f>Data!P52</f>
        <v>1</v>
      </c>
      <c r="I2">
        <f>Data!Q52</f>
        <v>1</v>
      </c>
      <c r="J2">
        <f>Data!R52</f>
        <v>1</v>
      </c>
      <c r="K2">
        <f>Data!S52</f>
        <v>1</v>
      </c>
      <c r="L2">
        <f>Data!T52</f>
        <v>1</v>
      </c>
      <c r="M2">
        <f>Data!U52</f>
        <v>1</v>
      </c>
      <c r="N2">
        <f>Data!V52</f>
        <v>1</v>
      </c>
      <c r="O2">
        <f>Data!W52</f>
        <v>1</v>
      </c>
      <c r="P2">
        <f>Data!X52</f>
        <v>1</v>
      </c>
      <c r="Q2">
        <f>Data!Y52</f>
        <v>1</v>
      </c>
      <c r="R2">
        <f>Data!Z52</f>
        <v>1</v>
      </c>
      <c r="S2">
        <f>Data!AA52</f>
        <v>1</v>
      </c>
      <c r="T2">
        <f>Data!AB52</f>
        <v>1</v>
      </c>
      <c r="U2">
        <f>Data!AC52</f>
        <v>1</v>
      </c>
      <c r="V2">
        <f>Data!AD52</f>
        <v>1</v>
      </c>
      <c r="W2">
        <f>Data!AE52</f>
        <v>1</v>
      </c>
      <c r="X2">
        <f>Data!AF52</f>
        <v>1</v>
      </c>
      <c r="Y2">
        <f>Data!AG52</f>
        <v>1</v>
      </c>
      <c r="Z2">
        <f>Data!AH52</f>
        <v>1</v>
      </c>
      <c r="AA2">
        <f>Data!AI52</f>
        <v>1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0</v>
      </c>
      <c r="C5">
        <f>Data!K55</f>
        <v>0</v>
      </c>
      <c r="D5">
        <f>Data!L55</f>
        <v>0</v>
      </c>
      <c r="E5">
        <f>Data!M55</f>
        <v>0</v>
      </c>
      <c r="F5">
        <f>Data!N55</f>
        <v>0</v>
      </c>
      <c r="G5">
        <f>Data!O55</f>
        <v>0</v>
      </c>
      <c r="H5">
        <f>Data!P55</f>
        <v>0</v>
      </c>
      <c r="I5">
        <f>Data!Q55</f>
        <v>0</v>
      </c>
      <c r="J5">
        <f>Data!R55</f>
        <v>0</v>
      </c>
      <c r="K5">
        <f>Data!S55</f>
        <v>0</v>
      </c>
      <c r="L5">
        <f>Data!T55</f>
        <v>0</v>
      </c>
      <c r="M5">
        <f>Data!U55</f>
        <v>0</v>
      </c>
      <c r="N5">
        <f>Data!V55</f>
        <v>0</v>
      </c>
      <c r="O5">
        <f>Data!W55</f>
        <v>0</v>
      </c>
      <c r="P5">
        <f>Data!X55</f>
        <v>0</v>
      </c>
      <c r="Q5">
        <f>Data!Y55</f>
        <v>0</v>
      </c>
      <c r="R5">
        <f>Data!Z55</f>
        <v>0</v>
      </c>
      <c r="S5">
        <f>Data!AA55</f>
        <v>0</v>
      </c>
      <c r="T5">
        <f>Data!AB55</f>
        <v>0</v>
      </c>
      <c r="U5">
        <f>Data!AC55</f>
        <v>0</v>
      </c>
      <c r="V5">
        <f>Data!AD55</f>
        <v>0</v>
      </c>
      <c r="W5">
        <f>Data!AE55</f>
        <v>0</v>
      </c>
      <c r="X5">
        <f>Data!AF55</f>
        <v>0</v>
      </c>
      <c r="Y5">
        <f>Data!AG55</f>
        <v>0</v>
      </c>
      <c r="Z5">
        <f>Data!AH55</f>
        <v>0</v>
      </c>
      <c r="AA5">
        <f>Data!AI55</f>
        <v>0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9.3934897959797564E-2</v>
      </c>
      <c r="C2">
        <f>Data!K80</f>
        <v>0.105245445349345</v>
      </c>
      <c r="D2">
        <f>Data!L80</f>
        <v>0.1200792902081546</v>
      </c>
      <c r="E2">
        <f>Data!M80</f>
        <v>0.13935146980245222</v>
      </c>
      <c r="F2">
        <f>Data!N80</f>
        <v>0.16408566291316468</v>
      </c>
      <c r="G2">
        <f>Data!O80</f>
        <v>0.19533646880590455</v>
      </c>
      <c r="H2">
        <f>Data!P80</f>
        <v>0.23404853771810871</v>
      </c>
      <c r="I2">
        <f>Data!Q80</f>
        <v>0.2808468225238776</v>
      </c>
      <c r="J2">
        <f>Data!R80</f>
        <v>0.33577936631959926</v>
      </c>
      <c r="K2">
        <f>Data!S80</f>
        <v>0.39807556907040542</v>
      </c>
      <c r="L2">
        <f>Data!T80</f>
        <v>0.46602060635839526</v>
      </c>
      <c r="M2">
        <f>Data!U80</f>
        <v>0.53704617067945259</v>
      </c>
      <c r="N2">
        <f>Data!V80</f>
        <v>0.60807173500051004</v>
      </c>
      <c r="O2">
        <f>Data!W80</f>
        <v>0.67601677228849977</v>
      </c>
      <c r="P2">
        <f>Data!X80</f>
        <v>0.73831297503930604</v>
      </c>
      <c r="Q2">
        <f>Data!Y80</f>
        <v>0.79324551883502759</v>
      </c>
      <c r="R2">
        <f>Data!Z80</f>
        <v>0.84004380364079656</v>
      </c>
      <c r="S2">
        <f>Data!AA80</f>
        <v>0.87875587255300081</v>
      </c>
      <c r="T2">
        <f>Data!AB80</f>
        <v>0.91000667844574068</v>
      </c>
      <c r="U2">
        <f>Data!AC80</f>
        <v>0.93474087155645302</v>
      </c>
      <c r="V2">
        <f>Data!AD80</f>
        <v>0.95401305115075075</v>
      </c>
      <c r="W2">
        <f>Data!AE80</f>
        <v>0.96884689600956042</v>
      </c>
      <c r="X2">
        <f>Data!AF80</f>
        <v>0.98015744339910771</v>
      </c>
      <c r="Y2">
        <f>Data!AG80</f>
        <v>0.98871971857355279</v>
      </c>
      <c r="Z2">
        <f>Data!AH80</f>
        <v>0.99516627072585895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1.0021685120951168E-2</v>
      </c>
      <c r="C6">
        <f>Data!K84</f>
        <v>1.0315614393935753E-2</v>
      </c>
      <c r="D6">
        <f>Data!L84</f>
        <v>1.0709732640708644E-2</v>
      </c>
      <c r="E6">
        <f>Data!M84</f>
        <v>1.1236974279229794E-2</v>
      </c>
      <c r="F6">
        <f>Data!N84</f>
        <v>1.1940135446690448E-2</v>
      </c>
      <c r="G6">
        <f>Data!O84</f>
        <v>1.2874070248664975E-2</v>
      </c>
      <c r="H6">
        <f>Data!P84</f>
        <v>1.4107774330963975E-2</v>
      </c>
      <c r="I6">
        <f>Data!Q84</f>
        <v>1.5725783992938051E-2</v>
      </c>
      <c r="J6">
        <f>Data!R84</f>
        <v>1.7827907419984305E-2</v>
      </c>
      <c r="K6">
        <f>Data!S84</f>
        <v>2.052580292955599E-2</v>
      </c>
      <c r="L6">
        <f>Data!T84</f>
        <v>2.3934501507719981E-2</v>
      </c>
      <c r="M6">
        <f>Data!U84</f>
        <v>2.8157041390746592E-2</v>
      </c>
      <c r="N6">
        <f>Data!V84</f>
        <v>3.326158965185233E-2</v>
      </c>
      <c r="O6">
        <f>Data!W84</f>
        <v>3.9253386617795823E-2</v>
      </c>
      <c r="P6">
        <f>Data!X84</f>
        <v>4.6048378672417421E-2</v>
      </c>
      <c r="Q6">
        <f>Data!Y84</f>
        <v>5.3459520413586932E-2</v>
      </c>
      <c r="R6">
        <f>Data!Z84</f>
        <v>6.1206672309299451E-2</v>
      </c>
      <c r="S6">
        <f>Data!AA84</f>
        <v>6.8953824205011963E-2</v>
      </c>
      <c r="T6">
        <f>Data!AB84</f>
        <v>7.6364965946181473E-2</v>
      </c>
      <c r="U6">
        <f>Data!AC84</f>
        <v>8.3159958000803072E-2</v>
      </c>
      <c r="V6">
        <f>Data!AD84</f>
        <v>8.9151754966746558E-2</v>
      </c>
      <c r="W6">
        <f>Data!AE84</f>
        <v>9.4256303227852292E-2</v>
      </c>
      <c r="X6">
        <f>Data!AF84</f>
        <v>9.8478843110878914E-2</v>
      </c>
      <c r="Y6">
        <f>Data!AG84</f>
        <v>0.1018875416890429</v>
      </c>
      <c r="Z6">
        <f>Data!AH84</f>
        <v>0.1045854371986146</v>
      </c>
      <c r="AA6">
        <f>Data!AI84</f>
        <v>0.10668756062566084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2026-09-04T21:33:06Z</dcterms:modified>
</cp:coreProperties>
</file>