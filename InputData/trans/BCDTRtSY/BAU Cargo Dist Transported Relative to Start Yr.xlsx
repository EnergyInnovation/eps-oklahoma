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OK\trans\BCDTRtSY\"/>
    </mc:Choice>
  </mc:AlternateContent>
  <xr:revisionPtr revIDLastSave="0" documentId="8_{1204E46B-04EE-4AF4-883D-94A9C133815E}"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<sst xmlns="http://schemas.openxmlformats.org/spreadsheetml/2006/main" count="6428" uniqueCount="3038">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</sst>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2921</v>
      </c>
      <c r="C1" s="77">
        <v>46248</v>
      </c>
      <c r="H1" t="s">
        <v>2981</v>
      </c>
      <c r="I1" t="s">
        <v>2982</v>
      </c>
    </row>
    <row r="2" spans="1:9">
      <c r="B2" t="str">
        <f>VLOOKUP(B1,H2:I52,2)</f>
        <v>OK</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Oklahoma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1.0024767555773233</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1.0063556156315938</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1.0071626733671371</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1.0075650574245749</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1.0072395498468136</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1.0089343254561707</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1.0107921133239952</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1.0112841229895702</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1.0123668948211562</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1.0126234788750788</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1.0135664902521857</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1.0149354003376982</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1.0163612882169735</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1.017201948194832</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1.0182415819795332</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1.0181536742334902</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1.0179473031135968</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1.0174141590217802</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1.0171034729871544</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1.0165810480921327</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1.0158013358168048</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1.014262239452149</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1.0128498893512405</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1.0112169378319145</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1.0099711445637394</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1.0142427047336566</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1.022630562465412</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1.0275319452293326</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1.0312038148969387</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1.0334696631493225</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1.0367798431091142</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1.0396793169312732</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1.0430539035718613</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1.0459730864355015</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1.0492109066922422</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1.0516900634839732</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1.054299583551749</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1.0564257802438288</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1.0585345964320543</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1.0605957192576172</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1.061598225079748</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1.0625562254850773</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1.0631930054465086</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1.0637158615982969</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1.0641322732235388</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1.0641792269372863</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1.0641197638121858</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1.0636983024547213</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1.0631112084775076</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1.0624592765387724</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1.0276118250297372</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1.0425360293618189</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1.046693182006692</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1.0555814563133126</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1.0684772927421562</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1.0831363908929472</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1.102072944199104</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1.1228487435106211</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1.1459132537304413</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1.1714544550301307</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1.1901893698879145</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1.2089864380721349</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1.2275306366527223</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1.2450994046517565</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1.2630977891611654</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1.279359506796361</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1.2966578101211841</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1.3152252198584959</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1.3336893242906984</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1.3522583473359846</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1.3698196940389578</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1.3854548724174665</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1.4012466097158953</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1.4159919395652347</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1.4311945871864746</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1.0598551928052182</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1.1030385378554701</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1.1345275018619567</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1.161062181271868</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1.1828776990437224</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1.2034079304178595</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1.2217715558075346</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1.2409650452618837</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1.2552022957945221</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1.2693987549555046</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1.2799556745985017</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1.2913557949140932</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1.3014843474229352</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1.3089756716007024</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1.3168132986399068</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1.3227792365141775</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1.3287653828928354</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1.3332360893875885</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1.338493347066706</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1.3443824857984343</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1.3486859599444947</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1.353688048649869</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1.3564520246273193</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1.3588150915908161</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1.3608827431763055</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0.99831207754504681</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0.98960660367634246</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0.97506795594951223</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0.96303643915124104</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0.9533374201085566</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0.94565916758064905</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0.94027973313484936</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0.93607935492626515</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0.9330985797388397</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0.93138963275013364</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0.92679018227808263</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0.92223655095530821</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0.91753228049194435</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0.9127685742528141</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0.90810411118860546</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0.90245491719436688</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0.89722871428149453</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0.89229929954037512</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0.88738093814715557</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0.88244198238397342</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0.87706197874912706</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0.87106842456227385</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0.86495199549405344</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0.85848801035627365</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0.85229866222287154</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1.0022419728855441</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1.0066502503379871</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1.0081250169588636</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1.0093882316199456</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1.0096332357039213</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1.0125526858909983</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1.0155236890651098</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1.0169928354248603</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1.0188154724508314</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1.0197519330497096</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1.0214806672472996</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1.0236537508129067</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1.025801722567405</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1.0272455604625919</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1.0289178958858842</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1.0297362203660338</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1.030296295501486</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1.0306318415605549</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1.0312989191615045</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1.0318397901275211</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1.0319313901085505</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1.0313119871555374</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1.0306463222445379</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1.0298330109833236</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1.0294132194865262</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0.99247519824999053</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0.99042808265501503</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0.98803089064552974</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0.98680586731776709</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0.99029658965435607</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0.99492601105648126</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1.0013377438108022</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1.0064867391704799</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1.0135561646430857</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1.0213411133336352</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1.0294799090329518</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1.0388874795920047</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1.049536361942742</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1.0605708343437186</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1.0721383066768253</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1.0824263915425778</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1.0921201232465918</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1.0992811910888822</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1.1061870288167293</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1.1144571956189191</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1.1232060914064428</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1.1326495782646868</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1.1408383683558789</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1.1498162077519491</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1.1580542520043238</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1.0070662641063151</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1.0182943175355319</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1.0285919560128414</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1.036260226950525</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1.0462151973119811</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1.0544298772843523</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1.0635549189000089</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1.070531183555343</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1.078757141623061</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1.0868598499219677</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1.0941805309315555</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1.1008203446188431</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1.1064678875260145</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1.1115591716523856</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1.1168343428938021</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1.1215276469493414</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1.1256988164797477</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1.1288640602110136</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1.1323466432182268</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1.1376954071770331</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1.1432583409653623</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1.1487318304697081</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1.1520967167001748</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1.1553891365793929</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1.1581234423409119</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1.0230776952845011</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1.0382846011883049</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1.0469934751984629</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1.0592932046277992</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1.0744434960731775</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1.0918919094337904</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1.1124082643214335</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1.1343747550379384</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1.1580947815764737</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1.1836836991293325</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1.2048538739859753</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1.2262189142661639</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1.2475574861115235</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1.268362605474614</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1.2896110873929207</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1.3096511178498682</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1.3305217803640521</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1.3523907204632459</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1.3743157091872642</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1.3964378464184923</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1.417987795023665</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1.4383160198396661</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1.4588823347171822</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1.4788454824808659</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1.4992789187998408</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0.97369947693751646</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1.0014198071528704</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0.97731014116242787</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0.96607672187563032</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0.96899270183008168</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0.9431497191548468</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0.9461196982753558</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0.94923644354819603</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0.94556924544970666</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0.94768909572487425</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0.9489710597119021</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0.95160376496011267</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0.951037522184908</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0.95200769931246199</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0.95201283940952786</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0.94993666260787923</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0.94579937617127519</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0.94229390284157899</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0.94120441564583424</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0.93954052211394168</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0.94032925187322913</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0.94469070910134312</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0.94650799047235123</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0.94264530152076687</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0.93943839101748461</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0.98851647281828037</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1.003918082273042</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1.0212101700389911</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1.0350569083061587</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1.049710737128404</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1.0655568632982957</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1.0833940224008156</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1.1014953493286046</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1.1202787189068442</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1.1400266768691518</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1.1558112026831804</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1.1682939113575945</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1.1807509494633233</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1.1920323862227606</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1.2033788974878601</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1.2139686498195097</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1.2255813762618684</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1.2367604954013325</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1.2477732036142741</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1.2600874848004544</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1.2725319601896505</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1.2851407152158152</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1.2969757834854234</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1.3084892027699608</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1.3213834808909974</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1.0024767555773233</v>
      </c>
      <c r="E2">
        <f>'BCDTRtSY-state-adjusted'!E5</f>
        <v>1.0063556156315938</v>
      </c>
      <c r="F2">
        <f>'BCDTRtSY-state-adjusted'!F5</f>
        <v>1.0071626733671371</v>
      </c>
      <c r="G2">
        <f>'BCDTRtSY-state-adjusted'!G5</f>
        <v>1.0075650574245749</v>
      </c>
      <c r="H2">
        <f>'BCDTRtSY-state-adjusted'!H5</f>
        <v>1.0072395498468136</v>
      </c>
      <c r="I2">
        <f>'BCDTRtSY-state-adjusted'!I5</f>
        <v>1.0089343254561707</v>
      </c>
      <c r="J2">
        <f>'BCDTRtSY-state-adjusted'!J5</f>
        <v>1.0107921133239952</v>
      </c>
      <c r="K2">
        <f>'BCDTRtSY-state-adjusted'!K5</f>
        <v>1.0112841229895702</v>
      </c>
      <c r="L2">
        <f>'BCDTRtSY-state-adjusted'!L5</f>
        <v>1.0123668948211562</v>
      </c>
      <c r="M2">
        <f>'BCDTRtSY-state-adjusted'!M5</f>
        <v>1.0126234788750788</v>
      </c>
      <c r="N2">
        <f>'BCDTRtSY-state-adjusted'!N5</f>
        <v>1.0135664902521857</v>
      </c>
      <c r="O2">
        <f>'BCDTRtSY-state-adjusted'!O5</f>
        <v>1.0149354003376982</v>
      </c>
      <c r="P2">
        <f>'BCDTRtSY-state-adjusted'!P5</f>
        <v>1.0163612882169735</v>
      </c>
      <c r="Q2">
        <f>'BCDTRtSY-state-adjusted'!Q5</f>
        <v>1.017201948194832</v>
      </c>
      <c r="R2">
        <f>'BCDTRtSY-state-adjusted'!R5</f>
        <v>1.0182415819795332</v>
      </c>
      <c r="S2">
        <f>'BCDTRtSY-state-adjusted'!S5</f>
        <v>1.0181536742334902</v>
      </c>
      <c r="T2">
        <f>'BCDTRtSY-state-adjusted'!T5</f>
        <v>1.0179473031135968</v>
      </c>
      <c r="U2">
        <f>'BCDTRtSY-state-adjusted'!U5</f>
        <v>1.0174141590217802</v>
      </c>
      <c r="V2">
        <f>'BCDTRtSY-state-adjusted'!V5</f>
        <v>1.0171034729871544</v>
      </c>
      <c r="W2">
        <f>'BCDTRtSY-state-adjusted'!W5</f>
        <v>1.0165810480921327</v>
      </c>
      <c r="X2">
        <f>'BCDTRtSY-state-adjusted'!X5</f>
        <v>1.0158013358168048</v>
      </c>
      <c r="Y2">
        <f>'BCDTRtSY-state-adjusted'!Y5</f>
        <v>1.014262239452149</v>
      </c>
      <c r="Z2">
        <f>'BCDTRtSY-state-adjusted'!Z5</f>
        <v>1.0128498893512405</v>
      </c>
      <c r="AA2">
        <f>'BCDTRtSY-state-adjusted'!AA5</f>
        <v>1.0112169378319145</v>
      </c>
      <c r="AB2">
        <f>'BCDTRtSY-state-adjusted'!AB5</f>
        <v>1.0099711445637394</v>
      </c>
    </row>
    <row r="3" spans="1:28">
      <c r="A3" t="s">
        <v>118</v>
      </c>
      <c r="B3">
        <f>'BCDTRtSY-state-adjusted'!B6</f>
        <v>1</v>
      </c>
      <c r="C3">
        <f>'BCDTRtSY-state-adjusted'!C6</f>
        <v>1</v>
      </c>
      <c r="D3">
        <f>'BCDTRtSY-state-adjusted'!D6</f>
        <v>1.0142427047336566</v>
      </c>
      <c r="E3">
        <f>'BCDTRtSY-state-adjusted'!E6</f>
        <v>1.022630562465412</v>
      </c>
      <c r="F3">
        <f>'BCDTRtSY-state-adjusted'!F6</f>
        <v>1.0275319452293326</v>
      </c>
      <c r="G3">
        <f>'BCDTRtSY-state-adjusted'!G6</f>
        <v>1.0312038148969387</v>
      </c>
      <c r="H3">
        <f>'BCDTRtSY-state-adjusted'!H6</f>
        <v>1.0334696631493225</v>
      </c>
      <c r="I3">
        <f>'BCDTRtSY-state-adjusted'!I6</f>
        <v>1.0367798431091142</v>
      </c>
      <c r="J3">
        <f>'BCDTRtSY-state-adjusted'!J6</f>
        <v>1.0396793169312732</v>
      </c>
      <c r="K3">
        <f>'BCDTRtSY-state-adjusted'!K6</f>
        <v>1.0430539035718613</v>
      </c>
      <c r="L3">
        <f>'BCDTRtSY-state-adjusted'!L6</f>
        <v>1.0459730864355015</v>
      </c>
      <c r="M3">
        <f>'BCDTRtSY-state-adjusted'!M6</f>
        <v>1.0492109066922422</v>
      </c>
      <c r="N3">
        <f>'BCDTRtSY-state-adjusted'!N6</f>
        <v>1.0516900634839732</v>
      </c>
      <c r="O3">
        <f>'BCDTRtSY-state-adjusted'!O6</f>
        <v>1.054299583551749</v>
      </c>
      <c r="P3">
        <f>'BCDTRtSY-state-adjusted'!P6</f>
        <v>1.0564257802438288</v>
      </c>
      <c r="Q3">
        <f>'BCDTRtSY-state-adjusted'!Q6</f>
        <v>1.0585345964320543</v>
      </c>
      <c r="R3">
        <f>'BCDTRtSY-state-adjusted'!R6</f>
        <v>1.0605957192576172</v>
      </c>
      <c r="S3">
        <f>'BCDTRtSY-state-adjusted'!S6</f>
        <v>1.061598225079748</v>
      </c>
      <c r="T3">
        <f>'BCDTRtSY-state-adjusted'!T6</f>
        <v>1.0625562254850773</v>
      </c>
      <c r="U3">
        <f>'BCDTRtSY-state-adjusted'!U6</f>
        <v>1.0631930054465086</v>
      </c>
      <c r="V3">
        <f>'BCDTRtSY-state-adjusted'!V6</f>
        <v>1.0637158615982969</v>
      </c>
      <c r="W3">
        <f>'BCDTRtSY-state-adjusted'!W6</f>
        <v>1.0641322732235388</v>
      </c>
      <c r="X3">
        <f>'BCDTRtSY-state-adjusted'!X6</f>
        <v>1.0641792269372863</v>
      </c>
      <c r="Y3">
        <f>'BCDTRtSY-state-adjusted'!Y6</f>
        <v>1.0641197638121858</v>
      </c>
      <c r="Z3">
        <f>'BCDTRtSY-state-adjusted'!Z6</f>
        <v>1.0636983024547213</v>
      </c>
      <c r="AA3">
        <f>'BCDTRtSY-state-adjusted'!AA6</f>
        <v>1.0631112084775076</v>
      </c>
      <c r="AB3">
        <f>'BCDTRtSY-state-adjusted'!AB6</f>
        <v>1.0624592765387724</v>
      </c>
    </row>
    <row r="4" spans="1:28">
      <c r="A4" t="s">
        <v>116</v>
      </c>
      <c r="B4">
        <f>'BCDTRtSY-state-adjusted'!B7</f>
        <v>1</v>
      </c>
      <c r="C4">
        <f>'BCDTRtSY-state-adjusted'!C7</f>
        <v>1</v>
      </c>
      <c r="D4">
        <f>'BCDTRtSY-state-adjusted'!D7</f>
        <v>1.0276118250297372</v>
      </c>
      <c r="E4">
        <f>'BCDTRtSY-state-adjusted'!E7</f>
        <v>1.0425360293618189</v>
      </c>
      <c r="F4">
        <f>'BCDTRtSY-state-adjusted'!F7</f>
        <v>1.046693182006692</v>
      </c>
      <c r="G4">
        <f>'BCDTRtSY-state-adjusted'!G7</f>
        <v>1.0555814563133126</v>
      </c>
      <c r="H4">
        <f>'BCDTRtSY-state-adjusted'!H7</f>
        <v>1.0684772927421562</v>
      </c>
      <c r="I4">
        <f>'BCDTRtSY-state-adjusted'!I7</f>
        <v>1.0831363908929472</v>
      </c>
      <c r="J4">
        <f>'BCDTRtSY-state-adjusted'!J7</f>
        <v>1.102072944199104</v>
      </c>
      <c r="K4">
        <f>'BCDTRtSY-state-adjusted'!K7</f>
        <v>1.1228487435106211</v>
      </c>
      <c r="L4">
        <f>'BCDTRtSY-state-adjusted'!L7</f>
        <v>1.1459132537304413</v>
      </c>
      <c r="M4">
        <f>'BCDTRtSY-state-adjusted'!M7</f>
        <v>1.1714544550301307</v>
      </c>
      <c r="N4">
        <f>'BCDTRtSY-state-adjusted'!N7</f>
        <v>1.1901893698879145</v>
      </c>
      <c r="O4">
        <f>'BCDTRtSY-state-adjusted'!O7</f>
        <v>1.2089864380721349</v>
      </c>
      <c r="P4">
        <f>'BCDTRtSY-state-adjusted'!P7</f>
        <v>1.2275306366527223</v>
      </c>
      <c r="Q4">
        <f>'BCDTRtSY-state-adjusted'!Q7</f>
        <v>1.2450994046517565</v>
      </c>
      <c r="R4">
        <f>'BCDTRtSY-state-adjusted'!R7</f>
        <v>1.2630977891611654</v>
      </c>
      <c r="S4">
        <f>'BCDTRtSY-state-adjusted'!S7</f>
        <v>1.279359506796361</v>
      </c>
      <c r="T4">
        <f>'BCDTRtSY-state-adjusted'!T7</f>
        <v>1.2966578101211841</v>
      </c>
      <c r="U4">
        <f>'BCDTRtSY-state-adjusted'!U7</f>
        <v>1.3152252198584959</v>
      </c>
      <c r="V4">
        <f>'BCDTRtSY-state-adjusted'!V7</f>
        <v>1.3336893242906984</v>
      </c>
      <c r="W4">
        <f>'BCDTRtSY-state-adjusted'!W7</f>
        <v>1.3522583473359846</v>
      </c>
      <c r="X4">
        <f>'BCDTRtSY-state-adjusted'!X7</f>
        <v>1.3698196940389578</v>
      </c>
      <c r="Y4">
        <f>'BCDTRtSY-state-adjusted'!Y7</f>
        <v>1.3854548724174665</v>
      </c>
      <c r="Z4">
        <f>'BCDTRtSY-state-adjusted'!Z7</f>
        <v>1.4012466097158953</v>
      </c>
      <c r="AA4">
        <f>'BCDTRtSY-state-adjusted'!AA7</f>
        <v>1.4159919395652347</v>
      </c>
      <c r="AB4">
        <f>'BCDTRtSY-state-adjusted'!AB7</f>
        <v>1.4311945871864746</v>
      </c>
    </row>
    <row r="5" spans="1:28">
      <c r="A5" t="s">
        <v>121</v>
      </c>
      <c r="B5">
        <f>'BCDTRtSY-state-adjusted'!B8</f>
        <v>1</v>
      </c>
      <c r="C5">
        <f>'BCDTRtSY-state-adjusted'!C8</f>
        <v>1</v>
      </c>
      <c r="D5">
        <f>'BCDTRtSY-state-adjusted'!D8</f>
        <v>1.0598551928052182</v>
      </c>
      <c r="E5">
        <f>'BCDTRtSY-state-adjusted'!E8</f>
        <v>1.1030385378554701</v>
      </c>
      <c r="F5">
        <f>'BCDTRtSY-state-adjusted'!F8</f>
        <v>1.1345275018619567</v>
      </c>
      <c r="G5">
        <f>'BCDTRtSY-state-adjusted'!G8</f>
        <v>1.161062181271868</v>
      </c>
      <c r="H5">
        <f>'BCDTRtSY-state-adjusted'!H8</f>
        <v>1.1828776990437224</v>
      </c>
      <c r="I5">
        <f>'BCDTRtSY-state-adjusted'!I8</f>
        <v>1.2034079304178595</v>
      </c>
      <c r="J5">
        <f>'BCDTRtSY-state-adjusted'!J8</f>
        <v>1.2217715558075346</v>
      </c>
      <c r="K5">
        <f>'BCDTRtSY-state-adjusted'!K8</f>
        <v>1.2409650452618837</v>
      </c>
      <c r="L5">
        <f>'BCDTRtSY-state-adjusted'!L8</f>
        <v>1.2552022957945221</v>
      </c>
      <c r="M5">
        <f>'BCDTRtSY-state-adjusted'!M8</f>
        <v>1.2693987549555046</v>
      </c>
      <c r="N5">
        <f>'BCDTRtSY-state-adjusted'!N8</f>
        <v>1.2799556745985017</v>
      </c>
      <c r="O5">
        <f>'BCDTRtSY-state-adjusted'!O8</f>
        <v>1.2913557949140932</v>
      </c>
      <c r="P5">
        <f>'BCDTRtSY-state-adjusted'!P8</f>
        <v>1.3014843474229352</v>
      </c>
      <c r="Q5">
        <f>'BCDTRtSY-state-adjusted'!Q8</f>
        <v>1.3089756716007024</v>
      </c>
      <c r="R5">
        <f>'BCDTRtSY-state-adjusted'!R8</f>
        <v>1.3168132986399068</v>
      </c>
      <c r="S5">
        <f>'BCDTRtSY-state-adjusted'!S8</f>
        <v>1.3227792365141775</v>
      </c>
      <c r="T5">
        <f>'BCDTRtSY-state-adjusted'!T8</f>
        <v>1.3287653828928354</v>
      </c>
      <c r="U5">
        <f>'BCDTRtSY-state-adjusted'!U8</f>
        <v>1.3332360893875885</v>
      </c>
      <c r="V5">
        <f>'BCDTRtSY-state-adjusted'!V8</f>
        <v>1.338493347066706</v>
      </c>
      <c r="W5">
        <f>'BCDTRtSY-state-adjusted'!W8</f>
        <v>1.3443824857984343</v>
      </c>
      <c r="X5">
        <f>'BCDTRtSY-state-adjusted'!X8</f>
        <v>1.3486859599444947</v>
      </c>
      <c r="Y5">
        <f>'BCDTRtSY-state-adjusted'!Y8</f>
        <v>1.353688048649869</v>
      </c>
      <c r="Z5">
        <f>'BCDTRtSY-state-adjusted'!Z8</f>
        <v>1.3564520246273193</v>
      </c>
      <c r="AA5">
        <f>'BCDTRtSY-state-adjusted'!AA8</f>
        <v>1.3588150915908161</v>
      </c>
      <c r="AB5">
        <f>'BCDTRtSY-state-adjusted'!AB8</f>
        <v>1.3608827431763055</v>
      </c>
    </row>
    <row r="6" spans="1:28">
      <c r="A6" t="s">
        <v>122</v>
      </c>
      <c r="B6">
        <f>'BCDTRtSY-state-adjusted'!B9</f>
        <v>1</v>
      </c>
      <c r="C6">
        <f>'BCDTRtSY-state-adjusted'!C9</f>
        <v>1</v>
      </c>
      <c r="D6">
        <f>'BCDTRtSY-state-adjusted'!D9</f>
        <v>0.99831207754504681</v>
      </c>
      <c r="E6">
        <f>'BCDTRtSY-state-adjusted'!E9</f>
        <v>0.98960660367634246</v>
      </c>
      <c r="F6">
        <f>'BCDTRtSY-state-adjusted'!F9</f>
        <v>0.97506795594951223</v>
      </c>
      <c r="G6">
        <f>'BCDTRtSY-state-adjusted'!G9</f>
        <v>0.96303643915124104</v>
      </c>
      <c r="H6">
        <f>'BCDTRtSY-state-adjusted'!H9</f>
        <v>0.9533374201085566</v>
      </c>
      <c r="I6">
        <f>'BCDTRtSY-state-adjusted'!I9</f>
        <v>0.94565916758064905</v>
      </c>
      <c r="J6">
        <f>'BCDTRtSY-state-adjusted'!J9</f>
        <v>0.94027973313484936</v>
      </c>
      <c r="K6">
        <f>'BCDTRtSY-state-adjusted'!K9</f>
        <v>0.93607935492626515</v>
      </c>
      <c r="L6">
        <f>'BCDTRtSY-state-adjusted'!L9</f>
        <v>0.9330985797388397</v>
      </c>
      <c r="M6">
        <f>'BCDTRtSY-state-adjusted'!M9</f>
        <v>0.93138963275013364</v>
      </c>
      <c r="N6">
        <f>'BCDTRtSY-state-adjusted'!N9</f>
        <v>0.92679018227808263</v>
      </c>
      <c r="O6">
        <f>'BCDTRtSY-state-adjusted'!O9</f>
        <v>0.92223655095530821</v>
      </c>
      <c r="P6">
        <f>'BCDTRtSY-state-adjusted'!P9</f>
        <v>0.91753228049194435</v>
      </c>
      <c r="Q6">
        <f>'BCDTRtSY-state-adjusted'!Q9</f>
        <v>0.9127685742528141</v>
      </c>
      <c r="R6">
        <f>'BCDTRtSY-state-adjusted'!R9</f>
        <v>0.90810411118860546</v>
      </c>
      <c r="S6">
        <f>'BCDTRtSY-state-adjusted'!S9</f>
        <v>0.90245491719436688</v>
      </c>
      <c r="T6">
        <f>'BCDTRtSY-state-adjusted'!T9</f>
        <v>0.89722871428149453</v>
      </c>
      <c r="U6">
        <f>'BCDTRtSY-state-adjusted'!U9</f>
        <v>0.89229929954037512</v>
      </c>
      <c r="V6">
        <f>'BCDTRtSY-state-adjusted'!V9</f>
        <v>0.88738093814715557</v>
      </c>
      <c r="W6">
        <f>'BCDTRtSY-state-adjusted'!W9</f>
        <v>0.88244198238397342</v>
      </c>
      <c r="X6">
        <f>'BCDTRtSY-state-adjusted'!X9</f>
        <v>0.87706197874912706</v>
      </c>
      <c r="Y6">
        <f>'BCDTRtSY-state-adjusted'!Y9</f>
        <v>0.87106842456227385</v>
      </c>
      <c r="Z6">
        <f>'BCDTRtSY-state-adjusted'!Z9</f>
        <v>0.86495199549405344</v>
      </c>
      <c r="AA6">
        <f>'BCDTRtSY-state-adjusted'!AA9</f>
        <v>0.85848801035627365</v>
      </c>
      <c r="AB6">
        <f>'BCDTRtSY-state-adjusted'!AB9</f>
        <v>0.85229866222287154</v>
      </c>
    </row>
    <row r="7" spans="1:28">
      <c r="A7" t="s">
        <v>123</v>
      </c>
      <c r="B7">
        <f>'BCDTRtSY-state-adjusted'!B10</f>
        <v>1</v>
      </c>
      <c r="C7">
        <f>'BCDTRtSY-state-adjusted'!C10</f>
        <v>1</v>
      </c>
      <c r="D7">
        <f>'BCDTRtSY-state-adjusted'!D10</f>
        <v>1.0022419728855441</v>
      </c>
      <c r="E7">
        <f>'BCDTRtSY-state-adjusted'!E10</f>
        <v>1.0066502503379871</v>
      </c>
      <c r="F7">
        <f>'BCDTRtSY-state-adjusted'!F10</f>
        <v>1.0081250169588636</v>
      </c>
      <c r="G7">
        <f>'BCDTRtSY-state-adjusted'!G10</f>
        <v>1.0093882316199456</v>
      </c>
      <c r="H7">
        <f>'BCDTRtSY-state-adjusted'!H10</f>
        <v>1.0096332357039213</v>
      </c>
      <c r="I7">
        <f>'BCDTRtSY-state-adjusted'!I10</f>
        <v>1.0125526858909983</v>
      </c>
      <c r="J7">
        <f>'BCDTRtSY-state-adjusted'!J10</f>
        <v>1.0155236890651098</v>
      </c>
      <c r="K7">
        <f>'BCDTRtSY-state-adjusted'!K10</f>
        <v>1.0169928354248603</v>
      </c>
      <c r="L7">
        <f>'BCDTRtSY-state-adjusted'!L10</f>
        <v>1.0188154724508314</v>
      </c>
      <c r="M7">
        <f>'BCDTRtSY-state-adjusted'!M10</f>
        <v>1.0197519330497096</v>
      </c>
      <c r="N7">
        <f>'BCDTRtSY-state-adjusted'!N10</f>
        <v>1.0214806672472996</v>
      </c>
      <c r="O7">
        <f>'BCDTRtSY-state-adjusted'!O10</f>
        <v>1.0236537508129067</v>
      </c>
      <c r="P7">
        <f>'BCDTRtSY-state-adjusted'!P10</f>
        <v>1.025801722567405</v>
      </c>
      <c r="Q7">
        <f>'BCDTRtSY-state-adjusted'!Q10</f>
        <v>1.0272455604625919</v>
      </c>
      <c r="R7">
        <f>'BCDTRtSY-state-adjusted'!R10</f>
        <v>1.0289178958858842</v>
      </c>
      <c r="S7">
        <f>'BCDTRtSY-state-adjusted'!S10</f>
        <v>1.0297362203660338</v>
      </c>
      <c r="T7">
        <f>'BCDTRtSY-state-adjusted'!T10</f>
        <v>1.030296295501486</v>
      </c>
      <c r="U7">
        <f>'BCDTRtSY-state-adjusted'!U10</f>
        <v>1.0306318415605549</v>
      </c>
      <c r="V7">
        <f>'BCDTRtSY-state-adjusted'!V10</f>
        <v>1.0312989191615045</v>
      </c>
      <c r="W7">
        <f>'BCDTRtSY-state-adjusted'!W10</f>
        <v>1.0318397901275211</v>
      </c>
      <c r="X7">
        <f>'BCDTRtSY-state-adjusted'!X10</f>
        <v>1.0319313901085505</v>
      </c>
      <c r="Y7">
        <f>'BCDTRtSY-state-adjusted'!Y10</f>
        <v>1.0313119871555374</v>
      </c>
      <c r="Z7">
        <f>'BCDTRtSY-state-adjusted'!Z10</f>
        <v>1.0306463222445379</v>
      </c>
      <c r="AA7">
        <f>'BCDTRtSY-state-adjusted'!AA10</f>
        <v>1.0298330109833236</v>
      </c>
      <c r="AB7">
        <f>'BCDTRtSY-state-adjusted'!AB10</f>
        <v>1.0294132194865262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0.99247519824999053</v>
      </c>
      <c r="E2">
        <f>'BCDTRtSY-state-adjusted'!E13</f>
        <v>0.99042808265501503</v>
      </c>
      <c r="F2">
        <f>'BCDTRtSY-state-adjusted'!F13</f>
        <v>0.98803089064552974</v>
      </c>
      <c r="G2">
        <f>'BCDTRtSY-state-adjusted'!G13</f>
        <v>0.98680586731776709</v>
      </c>
      <c r="H2">
        <f>'BCDTRtSY-state-adjusted'!H13</f>
        <v>0.99029658965435607</v>
      </c>
      <c r="I2">
        <f>'BCDTRtSY-state-adjusted'!I13</f>
        <v>0.99492601105648126</v>
      </c>
      <c r="J2">
        <f>'BCDTRtSY-state-adjusted'!J13</f>
        <v>1.0013377438108022</v>
      </c>
      <c r="K2">
        <f>'BCDTRtSY-state-adjusted'!K13</f>
        <v>1.0064867391704799</v>
      </c>
      <c r="L2">
        <f>'BCDTRtSY-state-adjusted'!L13</f>
        <v>1.0135561646430857</v>
      </c>
      <c r="M2">
        <f>'BCDTRtSY-state-adjusted'!M13</f>
        <v>1.0213411133336352</v>
      </c>
      <c r="N2">
        <f>'BCDTRtSY-state-adjusted'!N13</f>
        <v>1.0294799090329518</v>
      </c>
      <c r="O2">
        <f>'BCDTRtSY-state-adjusted'!O13</f>
        <v>1.0388874795920047</v>
      </c>
      <c r="P2">
        <f>'BCDTRtSY-state-adjusted'!P13</f>
        <v>1.049536361942742</v>
      </c>
      <c r="Q2">
        <f>'BCDTRtSY-state-adjusted'!Q13</f>
        <v>1.0605708343437186</v>
      </c>
      <c r="R2">
        <f>'BCDTRtSY-state-adjusted'!R13</f>
        <v>1.0721383066768253</v>
      </c>
      <c r="S2">
        <f>'BCDTRtSY-state-adjusted'!S13</f>
        <v>1.0824263915425778</v>
      </c>
      <c r="T2">
        <f>'BCDTRtSY-state-adjusted'!T13</f>
        <v>1.0921201232465918</v>
      </c>
      <c r="U2">
        <f>'BCDTRtSY-state-adjusted'!U13</f>
        <v>1.0992811910888822</v>
      </c>
      <c r="V2">
        <f>'BCDTRtSY-state-adjusted'!V13</f>
        <v>1.1061870288167293</v>
      </c>
      <c r="W2">
        <f>'BCDTRtSY-state-adjusted'!W13</f>
        <v>1.1144571956189191</v>
      </c>
      <c r="X2">
        <f>'BCDTRtSY-state-adjusted'!X13</f>
        <v>1.1232060914064428</v>
      </c>
      <c r="Y2">
        <f>'BCDTRtSY-state-adjusted'!Y13</f>
        <v>1.1326495782646868</v>
      </c>
      <c r="Z2">
        <f>'BCDTRtSY-state-adjusted'!Z13</f>
        <v>1.1408383683558789</v>
      </c>
      <c r="AA2">
        <f>'BCDTRtSY-state-adjusted'!AA13</f>
        <v>1.1498162077519491</v>
      </c>
      <c r="AB2">
        <f>'BCDTRtSY-state-adjusted'!AB13</f>
        <v>1.1580542520043238</v>
      </c>
    </row>
    <row r="3" spans="1:28">
      <c r="A3" t="s">
        <v>118</v>
      </c>
      <c r="B3">
        <f>'BCDTRtSY-state-adjusted'!B14</f>
        <v>1</v>
      </c>
      <c r="C3">
        <f>'BCDTRtSY-state-adjusted'!C14</f>
        <v>1</v>
      </c>
      <c r="D3">
        <f>'BCDTRtSY-state-adjusted'!D14</f>
        <v>1.0070662641063151</v>
      </c>
      <c r="E3">
        <f>'BCDTRtSY-state-adjusted'!E14</f>
        <v>1.0182943175355319</v>
      </c>
      <c r="F3">
        <f>'BCDTRtSY-state-adjusted'!F14</f>
        <v>1.0285919560128414</v>
      </c>
      <c r="G3">
        <f>'BCDTRtSY-state-adjusted'!G14</f>
        <v>1.036260226950525</v>
      </c>
      <c r="H3">
        <f>'BCDTRtSY-state-adjusted'!H14</f>
        <v>1.0462151973119811</v>
      </c>
      <c r="I3">
        <f>'BCDTRtSY-state-adjusted'!I14</f>
        <v>1.0544298772843523</v>
      </c>
      <c r="J3">
        <f>'BCDTRtSY-state-adjusted'!J14</f>
        <v>1.0635549189000089</v>
      </c>
      <c r="K3">
        <f>'BCDTRtSY-state-adjusted'!K14</f>
        <v>1.070531183555343</v>
      </c>
      <c r="L3">
        <f>'BCDTRtSY-state-adjusted'!L14</f>
        <v>1.078757141623061</v>
      </c>
      <c r="M3">
        <f>'BCDTRtSY-state-adjusted'!M14</f>
        <v>1.0868598499219677</v>
      </c>
      <c r="N3">
        <f>'BCDTRtSY-state-adjusted'!N14</f>
        <v>1.0941805309315555</v>
      </c>
      <c r="O3">
        <f>'BCDTRtSY-state-adjusted'!O14</f>
        <v>1.1008203446188431</v>
      </c>
      <c r="P3">
        <f>'BCDTRtSY-state-adjusted'!P14</f>
        <v>1.1064678875260145</v>
      </c>
      <c r="Q3">
        <f>'BCDTRtSY-state-adjusted'!Q14</f>
        <v>1.1115591716523856</v>
      </c>
      <c r="R3">
        <f>'BCDTRtSY-state-adjusted'!R14</f>
        <v>1.1168343428938021</v>
      </c>
      <c r="S3">
        <f>'BCDTRtSY-state-adjusted'!S14</f>
        <v>1.1215276469493414</v>
      </c>
      <c r="T3">
        <f>'BCDTRtSY-state-adjusted'!T14</f>
        <v>1.1256988164797477</v>
      </c>
      <c r="U3">
        <f>'BCDTRtSY-state-adjusted'!U14</f>
        <v>1.1288640602110136</v>
      </c>
      <c r="V3">
        <f>'BCDTRtSY-state-adjusted'!V14</f>
        <v>1.1323466432182268</v>
      </c>
      <c r="W3">
        <f>'BCDTRtSY-state-adjusted'!W14</f>
        <v>1.1376954071770331</v>
      </c>
      <c r="X3">
        <f>'BCDTRtSY-state-adjusted'!X14</f>
        <v>1.1432583409653623</v>
      </c>
      <c r="Y3">
        <f>'BCDTRtSY-state-adjusted'!Y14</f>
        <v>1.1487318304697081</v>
      </c>
      <c r="Z3">
        <f>'BCDTRtSY-state-adjusted'!Z14</f>
        <v>1.1520967167001748</v>
      </c>
      <c r="AA3">
        <f>'BCDTRtSY-state-adjusted'!AA14</f>
        <v>1.1553891365793929</v>
      </c>
      <c r="AB3">
        <f>'BCDTRtSY-state-adjusted'!AB14</f>
        <v>1.1581234423409119</v>
      </c>
    </row>
    <row r="4" spans="1:28">
      <c r="A4" t="s">
        <v>116</v>
      </c>
      <c r="B4">
        <f>'BCDTRtSY-state-adjusted'!B15</f>
        <v>1</v>
      </c>
      <c r="C4">
        <f>'BCDTRtSY-state-adjusted'!C15</f>
        <v>1</v>
      </c>
      <c r="D4">
        <f>'BCDTRtSY-state-adjusted'!D15</f>
        <v>1.0230776952845011</v>
      </c>
      <c r="E4">
        <f>'BCDTRtSY-state-adjusted'!E15</f>
        <v>1.0382846011883049</v>
      </c>
      <c r="F4">
        <f>'BCDTRtSY-state-adjusted'!F15</f>
        <v>1.0469934751984629</v>
      </c>
      <c r="G4">
        <f>'BCDTRtSY-state-adjusted'!G15</f>
        <v>1.0592932046277992</v>
      </c>
      <c r="H4">
        <f>'BCDTRtSY-state-adjusted'!H15</f>
        <v>1.0744434960731775</v>
      </c>
      <c r="I4">
        <f>'BCDTRtSY-state-adjusted'!I15</f>
        <v>1.0918919094337904</v>
      </c>
      <c r="J4">
        <f>'BCDTRtSY-state-adjusted'!J15</f>
        <v>1.1124082643214335</v>
      </c>
      <c r="K4">
        <f>'BCDTRtSY-state-adjusted'!K15</f>
        <v>1.1343747550379384</v>
      </c>
      <c r="L4">
        <f>'BCDTRtSY-state-adjusted'!L15</f>
        <v>1.1580947815764737</v>
      </c>
      <c r="M4">
        <f>'BCDTRtSY-state-adjusted'!M15</f>
        <v>1.1836836991293325</v>
      </c>
      <c r="N4">
        <f>'BCDTRtSY-state-adjusted'!N15</f>
        <v>1.2048538739859753</v>
      </c>
      <c r="O4">
        <f>'BCDTRtSY-state-adjusted'!O15</f>
        <v>1.2262189142661639</v>
      </c>
      <c r="P4">
        <f>'BCDTRtSY-state-adjusted'!P15</f>
        <v>1.2475574861115235</v>
      </c>
      <c r="Q4">
        <f>'BCDTRtSY-state-adjusted'!Q15</f>
        <v>1.268362605474614</v>
      </c>
      <c r="R4">
        <f>'BCDTRtSY-state-adjusted'!R15</f>
        <v>1.2896110873929207</v>
      </c>
      <c r="S4">
        <f>'BCDTRtSY-state-adjusted'!S15</f>
        <v>1.3096511178498682</v>
      </c>
      <c r="T4">
        <f>'BCDTRtSY-state-adjusted'!T15</f>
        <v>1.3305217803640521</v>
      </c>
      <c r="U4">
        <f>'BCDTRtSY-state-adjusted'!U15</f>
        <v>1.3523907204632459</v>
      </c>
      <c r="V4">
        <f>'BCDTRtSY-state-adjusted'!V15</f>
        <v>1.3743157091872642</v>
      </c>
      <c r="W4">
        <f>'BCDTRtSY-state-adjusted'!W15</f>
        <v>1.3964378464184923</v>
      </c>
      <c r="X4">
        <f>'BCDTRtSY-state-adjusted'!X15</f>
        <v>1.417987795023665</v>
      </c>
      <c r="Y4">
        <f>'BCDTRtSY-state-adjusted'!Y15</f>
        <v>1.4383160198396661</v>
      </c>
      <c r="Z4">
        <f>'BCDTRtSY-state-adjusted'!Z15</f>
        <v>1.4588823347171822</v>
      </c>
      <c r="AA4">
        <f>'BCDTRtSY-state-adjusted'!AA15</f>
        <v>1.4788454824808659</v>
      </c>
      <c r="AB4">
        <f>'BCDTRtSY-state-adjusted'!AB15</f>
        <v>1.4992789187998408</v>
      </c>
    </row>
    <row r="5" spans="1:28">
      <c r="A5" t="s">
        <v>121</v>
      </c>
      <c r="B5">
        <f>'BCDTRtSY-state-adjusted'!B16</f>
        <v>1</v>
      </c>
      <c r="C5">
        <f>'BCDTRtSY-state-adjusted'!C16</f>
        <v>1</v>
      </c>
      <c r="D5">
        <f>'BCDTRtSY-state-adjusted'!D16</f>
        <v>0.97369947693751646</v>
      </c>
      <c r="E5">
        <f>'BCDTRtSY-state-adjusted'!E16</f>
        <v>1.0014198071528704</v>
      </c>
      <c r="F5">
        <f>'BCDTRtSY-state-adjusted'!F16</f>
        <v>0.97731014116242787</v>
      </c>
      <c r="G5">
        <f>'BCDTRtSY-state-adjusted'!G16</f>
        <v>0.96607672187563032</v>
      </c>
      <c r="H5">
        <f>'BCDTRtSY-state-adjusted'!H16</f>
        <v>0.96899270183008168</v>
      </c>
      <c r="I5">
        <f>'BCDTRtSY-state-adjusted'!I16</f>
        <v>0.9431497191548468</v>
      </c>
      <c r="J5">
        <f>'BCDTRtSY-state-adjusted'!J16</f>
        <v>0.9461196982753558</v>
      </c>
      <c r="K5">
        <f>'BCDTRtSY-state-adjusted'!K16</f>
        <v>0.94923644354819603</v>
      </c>
      <c r="L5">
        <f>'BCDTRtSY-state-adjusted'!L16</f>
        <v>0.94556924544970666</v>
      </c>
      <c r="M5">
        <f>'BCDTRtSY-state-adjusted'!M16</f>
        <v>0.94768909572487425</v>
      </c>
      <c r="N5">
        <f>'BCDTRtSY-state-adjusted'!N16</f>
        <v>0.9489710597119021</v>
      </c>
      <c r="O5">
        <f>'BCDTRtSY-state-adjusted'!O16</f>
        <v>0.95160376496011267</v>
      </c>
      <c r="P5">
        <f>'BCDTRtSY-state-adjusted'!P16</f>
        <v>0.951037522184908</v>
      </c>
      <c r="Q5">
        <f>'BCDTRtSY-state-adjusted'!Q16</f>
        <v>0.95200769931246199</v>
      </c>
      <c r="R5">
        <f>'BCDTRtSY-state-adjusted'!R16</f>
        <v>0.95201283940952786</v>
      </c>
      <c r="S5">
        <f>'BCDTRtSY-state-adjusted'!S16</f>
        <v>0.94993666260787923</v>
      </c>
      <c r="T5">
        <f>'BCDTRtSY-state-adjusted'!T16</f>
        <v>0.94579937617127519</v>
      </c>
      <c r="U5">
        <f>'BCDTRtSY-state-adjusted'!U16</f>
        <v>0.94229390284157899</v>
      </c>
      <c r="V5">
        <f>'BCDTRtSY-state-adjusted'!V16</f>
        <v>0.94120441564583424</v>
      </c>
      <c r="W5">
        <f>'BCDTRtSY-state-adjusted'!W16</f>
        <v>0.93954052211394168</v>
      </c>
      <c r="X5">
        <f>'BCDTRtSY-state-adjusted'!X16</f>
        <v>0.94032925187322913</v>
      </c>
      <c r="Y5">
        <f>'BCDTRtSY-state-adjusted'!Y16</f>
        <v>0.94469070910134312</v>
      </c>
      <c r="Z5">
        <f>'BCDTRtSY-state-adjusted'!Z16</f>
        <v>0.94650799047235123</v>
      </c>
      <c r="AA5">
        <f>'BCDTRtSY-state-adjusted'!AA16</f>
        <v>0.94264530152076687</v>
      </c>
      <c r="AB5">
        <f>'BCDTRtSY-state-adjusted'!AB16</f>
        <v>0.93943839101748461</v>
      </c>
    </row>
    <row r="6" spans="1:28">
      <c r="A6" t="s">
        <v>122</v>
      </c>
      <c r="B6">
        <f>'BCDTRtSY-state-adjusted'!B17</f>
        <v>1</v>
      </c>
      <c r="C6">
        <f>'BCDTRtSY-state-adjusted'!C17</f>
        <v>1</v>
      </c>
      <c r="D6">
        <f>'BCDTRtSY-state-adjusted'!D17</f>
        <v>0.98851647281828037</v>
      </c>
      <c r="E6">
        <f>'BCDTRtSY-state-adjusted'!E17</f>
        <v>1.003918082273042</v>
      </c>
      <c r="F6">
        <f>'BCDTRtSY-state-adjusted'!F17</f>
        <v>1.0212101700389911</v>
      </c>
      <c r="G6">
        <f>'BCDTRtSY-state-adjusted'!G17</f>
        <v>1.0350569083061587</v>
      </c>
      <c r="H6">
        <f>'BCDTRtSY-state-adjusted'!H17</f>
        <v>1.049710737128404</v>
      </c>
      <c r="I6">
        <f>'BCDTRtSY-state-adjusted'!I17</f>
        <v>1.0655568632982957</v>
      </c>
      <c r="J6">
        <f>'BCDTRtSY-state-adjusted'!J17</f>
        <v>1.0833940224008156</v>
      </c>
      <c r="K6">
        <f>'BCDTRtSY-state-adjusted'!K17</f>
        <v>1.1014953493286046</v>
      </c>
      <c r="L6">
        <f>'BCDTRtSY-state-adjusted'!L17</f>
        <v>1.1202787189068442</v>
      </c>
      <c r="M6">
        <f>'BCDTRtSY-state-adjusted'!M17</f>
        <v>1.1400266768691518</v>
      </c>
      <c r="N6">
        <f>'BCDTRtSY-state-adjusted'!N17</f>
        <v>1.1558112026831804</v>
      </c>
      <c r="O6">
        <f>'BCDTRtSY-state-adjusted'!O17</f>
        <v>1.1682939113575945</v>
      </c>
      <c r="P6">
        <f>'BCDTRtSY-state-adjusted'!P17</f>
        <v>1.1807509494633233</v>
      </c>
      <c r="Q6">
        <f>'BCDTRtSY-state-adjusted'!Q17</f>
        <v>1.1920323862227606</v>
      </c>
      <c r="R6">
        <f>'BCDTRtSY-state-adjusted'!R17</f>
        <v>1.2033788974878601</v>
      </c>
      <c r="S6">
        <f>'BCDTRtSY-state-adjusted'!S17</f>
        <v>1.2139686498195097</v>
      </c>
      <c r="T6">
        <f>'BCDTRtSY-state-adjusted'!T17</f>
        <v>1.2255813762618684</v>
      </c>
      <c r="U6">
        <f>'BCDTRtSY-state-adjusted'!U17</f>
        <v>1.2367604954013325</v>
      </c>
      <c r="V6">
        <f>'BCDTRtSY-state-adjusted'!V17</f>
        <v>1.2477732036142741</v>
      </c>
      <c r="W6">
        <f>'BCDTRtSY-state-adjusted'!W17</f>
        <v>1.2600874848004544</v>
      </c>
      <c r="X6">
        <f>'BCDTRtSY-state-adjusted'!X17</f>
        <v>1.2725319601896505</v>
      </c>
      <c r="Y6">
        <f>'BCDTRtSY-state-adjusted'!Y17</f>
        <v>1.2851407152158152</v>
      </c>
      <c r="Z6">
        <f>'BCDTRtSY-state-adjusted'!Z17</f>
        <v>1.2969757834854234</v>
      </c>
      <c r="AA6">
        <f>'BCDTRtSY-state-adjusted'!AA17</f>
        <v>1.3084892027699608</v>
      </c>
      <c r="AB6">
        <f>'BCDTRtSY-state-adjusted'!AB17</f>
        <v>1.3213834808909974</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2026-08-14T21:49:26Z</dcterms:modified>
</cp:coreProperties>
</file>